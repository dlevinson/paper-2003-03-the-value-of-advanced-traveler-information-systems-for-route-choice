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I" sheetId="1" state="visible" r:id="rId3"/>
    <sheet name="ATU" sheetId="2" state="visible" r:id="rId4"/>
    <sheet name="ATO" sheetId="3" state="visible" r:id="rId5"/>
    <sheet name="T%I" sheetId="4" state="visible" r:id="rId6"/>
    <sheet name="T%U" sheetId="5" state="visible" r:id="rId7"/>
    <sheet name="SDI" sheetId="6" state="visible" r:id="rId8"/>
    <sheet name="SDU" sheetId="7" state="visible" r:id="rId9"/>
    <sheet name="Summary" sheetId="8" state="visible" r:id="rId10"/>
    <sheet name="Summary-Rec" sheetId="9" state="visible" r:id="rId11"/>
    <sheet name="RESULTS" sheetId="10" state="visible" r:id="rId12"/>
    <sheet name="QUEUE" sheetId="11" state="visible" r:id="rId13"/>
  </sheets>
  <definedNames>
    <definedName function="false" hidden="false" name="Arterial" vbProcedure="false">QUEUE!$H$17:$H$1017</definedName>
    <definedName function="false" hidden="false" name="Informed" vbProcedure="false">QUEUE!$B$15:$B$1017</definedName>
    <definedName function="false" hidden="false" name="RESET" vbProcedure="false">QUEUE!$G$1</definedName>
    <definedName function="false" hidden="false" name="_Fill" vbProcedure="false">QUEUE!$A$18:$A$65536</definedName>
    <definedName function="false" hidden="false" name="__123Graph_A" vbProcedure="false">QUEUE!$D$18:$D$67</definedName>
    <definedName function="false" hidden="false" name="__123Graph_B" vbProcedure="false">QUEUE!$J$18:$J$67</definedName>
    <definedName function="false" hidden="false" name="__123Graph_X" vbProcedure="false">QUEUE!$A$18:$A$67</definedName>
    <definedName function="false" hidden="false" localSheetId="10" name="_Regression_Int" vbProcedure="false">1</definedName>
  </definedNames>
  <calcPr iterateCount="1" refMode="A1" iterate="true" iterateDelta="0.001"/>
  <pivotCaches>
    <pivotCache cacheId="1" r:id="rId15"/>
    <pivotCache cacheId="2" r:id="rId1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<sst xmlns="http://schemas.openxmlformats.org/spreadsheetml/2006/main" count="363" uniqueCount="103">
  <si>
    <t xml:space="preserve">Average of TimeInformed</t>
  </si>
  <si>
    <t xml:space="preserve">PercentInformed</t>
  </si>
  <si>
    <t xml:space="preserve">FreewayServiceRate</t>
  </si>
  <si>
    <t xml:space="preserve">Grand Total</t>
  </si>
  <si>
    <t xml:space="preserve">Average of TimeUninformed</t>
  </si>
  <si>
    <t xml:space="preserve">Average of TimeOverall</t>
  </si>
  <si>
    <t xml:space="preserve">Average of Informed%Savings</t>
  </si>
  <si>
    <t xml:space="preserve">Average of Uninformed%Savings</t>
  </si>
  <si>
    <t xml:space="preserve">Average of StdDevFwyInformed</t>
  </si>
  <si>
    <t xml:space="preserve">Average of StdDevFreewayUninformed</t>
  </si>
  <si>
    <t xml:space="preserve">TimeInformed</t>
  </si>
  <si>
    <t xml:space="preserve">TimeUninformed</t>
  </si>
  <si>
    <t xml:space="preserve">TimeOverall</t>
  </si>
  <si>
    <t xml:space="preserve">Informed%Savings</t>
  </si>
  <si>
    <t xml:space="preserve">Uninformed%Savings</t>
  </si>
  <si>
    <t xml:space="preserve">StdDevFwyInformed</t>
  </si>
  <si>
    <t xml:space="preserve">StdDevFreewayUninformed</t>
  </si>
  <si>
    <t xml:space="preserve">Poisson arrival rate</t>
  </si>
  <si>
    <t xml:space="preserve">Percent Informed</t>
  </si>
  <si>
    <t xml:space="preserve">Time Informed</t>
  </si>
  <si>
    <t xml:space="preserve">Time Uninformed</t>
  </si>
  <si>
    <t xml:space="preserve">Time Overall</t>
  </si>
  <si>
    <t xml:space="preserve">Informed %Savings</t>
  </si>
  <si>
    <t xml:space="preserve">Uninformed %Savings</t>
  </si>
  <si>
    <t xml:space="preserve">INFORMED STD DEV</t>
  </si>
  <si>
    <t xml:space="preserve">UNINFORMED STD DEV</t>
  </si>
  <si>
    <t xml:space="preserve"> </t>
  </si>
  <si>
    <t xml:space="preserve">Poisson</t>
  </si>
  <si>
    <t xml:space="preserve">Freeway</t>
  </si>
  <si>
    <t xml:space="preserve">Arterial </t>
  </si>
  <si>
    <t xml:space="preserve">Demand</t>
  </si>
  <si>
    <t xml:space="preserve">Alternate</t>
  </si>
  <si>
    <t xml:space="preserve">Percent</t>
  </si>
  <si>
    <t xml:space="preserve">MEAN</t>
  </si>
  <si>
    <t xml:space="preserve">STD.DEV</t>
  </si>
  <si>
    <t xml:space="preserve">N</t>
  </si>
  <si>
    <t xml:space="preserve">arrival rate</t>
  </si>
  <si>
    <t xml:space="preserve">Service time mean</t>
  </si>
  <si>
    <t xml:space="preserve">range</t>
  </si>
  <si>
    <t xml:space="preserve">Coefficient</t>
  </si>
  <si>
    <t xml:space="preserve">Time</t>
  </si>
  <si>
    <t xml:space="preserve">Informed</t>
  </si>
  <si>
    <t xml:space="preserve">FREEWAY</t>
  </si>
  <si>
    <t xml:space="preserve">ARTERIAL</t>
  </si>
  <si>
    <t xml:space="preserve">Uninformed</t>
  </si>
  <si>
    <t xml:space="preserve">(cust/sec)</t>
  </si>
  <si>
    <t xml:space="preserve">(sec)</t>
  </si>
  <si>
    <t xml:space="preserve">INFORMED</t>
  </si>
  <si>
    <t xml:space="preserve">UNINFORMED</t>
  </si>
  <si>
    <t xml:space="preserve">Overall</t>
  </si>
  <si>
    <t xml:space="preserve">%Savings</t>
  </si>
  <si>
    <t xml:space="preserve">THE VALUE OF INFORMATION: QUEUEING MODEL</t>
  </si>
  <si>
    <t xml:space="preserve">RESET (1=Y,0=N)</t>
  </si>
  <si>
    <t xml:space="preserve">Poisson arrival rate (cust/sec) =</t>
  </si>
  <si>
    <t xml:space="preserve">ITERATION</t>
  </si>
  <si>
    <t xml:space="preserve">Freeway Service time mean (sec) =</t>
  </si>
  <si>
    <t xml:space="preserve">Arterial Service time mean (sec) =</t>
  </si>
  <si>
    <t xml:space="preserve">Freeway Service time range (sec) =</t>
  </si>
  <si>
    <t xml:space="preserve">Demand Coefficient =</t>
  </si>
  <si>
    <t xml:space="preserve">Alternate Time (sec)</t>
  </si>
  <si>
    <t xml:space="preserve">Percent Arterial (RESULT)</t>
  </si>
  <si>
    <t xml:space="preserve">Percent Informed (RESULT)</t>
  </si>
  <si>
    <t xml:space="preserve">EXPECTED</t>
  </si>
  <si>
    <t xml:space="preserve">ART.</t>
  </si>
  <si>
    <t xml:space="preserve">CUMULATIVE</t>
  </si>
  <si>
    <t xml:space="preserve">AVERAGE</t>
  </si>
  <si>
    <t xml:space="preserve">AVERAGE </t>
  </si>
  <si>
    <t xml:space="preserve">(X-E(X))^2</t>
  </si>
  <si>
    <t xml:space="preserve">CUSTOMER</t>
  </si>
  <si>
    <t xml:space="preserve">(1=Y,0=N)</t>
  </si>
  <si>
    <t xml:space="preserve">ARRIVAL</t>
  </si>
  <si>
    <t xml:space="preserve">Uninform</t>
  </si>
  <si>
    <t xml:space="preserve">F/A</t>
  </si>
  <si>
    <t xml:space="preserve">SERVICE</t>
  </si>
  <si>
    <t xml:space="preserve">DEPARTURE</t>
  </si>
  <si>
    <t xml:space="preserve">DELAY</t>
  </si>
  <si>
    <t xml:space="preserve">Arterial</t>
  </si>
  <si>
    <t xml:space="preserve">ACTUAL</t>
  </si>
  <si>
    <t xml:space="preserve">#</t>
  </si>
  <si>
    <t xml:space="preserve">HEADWAY</t>
  </si>
  <si>
    <t xml:space="preserve">TIME</t>
  </si>
  <si>
    <t xml:space="preserve">SPLIT</t>
  </si>
  <si>
    <t xml:space="preserve">F=0,A=1</t>
  </si>
  <si>
    <t xml:space="preserve">FWY DELAY</t>
  </si>
  <si>
    <t xml:space="preserve">ART DELAY</t>
  </si>
  <si>
    <t xml:space="preserve">FWY USERS</t>
  </si>
  <si>
    <t xml:space="preserve">ART USERS</t>
  </si>
  <si>
    <t xml:space="preserve">USERS</t>
  </si>
  <si>
    <t xml:space="preserve">SUMS</t>
  </si>
  <si>
    <t xml:space="preserve">AVERAGES</t>
  </si>
  <si>
    <t xml:space="preserve">CUMULATIVE SUMS</t>
  </si>
  <si>
    <t xml:space="preserve">CUMULATIVE AVGS</t>
  </si>
  <si>
    <t xml:space="preserve">RESULTS</t>
  </si>
  <si>
    <t xml:space="preserve">TOTAL</t>
  </si>
  <si>
    <t xml:space="preserve">TOT. DELAY =</t>
  </si>
  <si>
    <t xml:space="preserve">secs.</t>
  </si>
  <si>
    <t xml:space="preserve">Std Dev</t>
  </si>
  <si>
    <t xml:space="preserve">AVG.DELAY</t>
  </si>
  <si>
    <t xml:space="preserve">CUM TOT. DELAY</t>
  </si>
  <si>
    <t xml:space="preserve">CUM</t>
  </si>
  <si>
    <t xml:space="preserve">CUM N</t>
  </si>
  <si>
    <t xml:space="preserve">CUM. AVG. DELAY</t>
  </si>
  <si>
    <t xml:space="preserve">AVG. CUM Std Dev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</si>
</sst>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0.000"/>
    <numFmt numFmtId="168" formatCode="_(* #,##0.00_);_(* \(#,##0.00\);_(* \-??_);_(@_)"/>
    <numFmt numFmtId="169" formatCode="0.00_)"/>
    <numFmt numFmtId="170" formatCode="0_)"/>
    <numFmt numFmtId="171" formatCode="0"/>
  </numFmts>
  <fonts count="12">
    <font>
      <sz val="10"/>
      <name val="Courier New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1.25"/>
      <color rgb="FF000000"/>
      <name val="Arial"/>
      <family val="2"/>
    </font>
    <font>
      <sz val="17.75"/>
      <color rgb="FF000000"/>
      <name val="Arial"/>
      <family val="2"/>
    </font>
    <font>
      <b val="true"/>
      <sz val="17.75"/>
      <color rgb="FF000000"/>
      <name val="Arial"/>
      <family val="2"/>
    </font>
    <font>
      <b val="true"/>
      <sz val="21.5"/>
      <color rgb="FF000000"/>
      <name val="Arial"/>
      <family val="2"/>
    </font>
    <font>
      <sz val="18"/>
      <color rgb="FF000000"/>
      <name val="Arial"/>
      <family val="2"/>
    </font>
    <font>
      <b val="true"/>
      <sz val="18"/>
      <color rgb="FF000000"/>
      <name val="Arial"/>
      <family val="2"/>
    </font>
    <font>
      <sz val="10"/>
      <name val="Courier New"/>
      <family val="3"/>
    </font>
    <font>
      <b val="true"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2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25" b="1" u="none" strike="noStrike">
                <a:solidFill>
                  <a:srgbClr val="000000"/>
                </a:solidFill>
                <a:uFillTx/>
                <a:latin typeface="Arial"/>
              </a:rPr>
              <a:t>Average Time (Informed Travelers) 
by Service Rate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ATI!$B$18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ATI!$B$19:$B$30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ATI!$C$18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ATI!$C$19:$C$30</c:f>
              <c:numCache>
                <c:formatCode>General</c:formatCode>
                <c:ptCount val="12"/>
                <c:pt idx="0">
                  <c:v>2.79328585311029</c:v>
                </c:pt>
                <c:pt idx="1">
                  <c:v>3.14575649429239</c:v>
                </c:pt>
                <c:pt idx="2">
                  <c:v>3.45035660202336</c:v>
                </c:pt>
                <c:pt idx="3">
                  <c:v>3.80852773623653</c:v>
                </c:pt>
                <c:pt idx="4">
                  <c:v>4.20267696911248</c:v>
                </c:pt>
                <c:pt idx="5">
                  <c:v>4.63414981969976</c:v>
                </c:pt>
                <c:pt idx="6">
                  <c:v>6.8795608674476</c:v>
                </c:pt>
                <c:pt idx="7">
                  <c:v>9.61099183918233</c:v>
                </c:pt>
                <c:pt idx="8">
                  <c:v>14.89934866161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ATI!$D$18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ATI!$D$19:$D$30</c:f>
              <c:numCache>
                <c:formatCode>General</c:formatCode>
                <c:ptCount val="12"/>
                <c:pt idx="0">
                  <c:v>2.84252177113151</c:v>
                </c:pt>
                <c:pt idx="1">
                  <c:v>3.15726797645734</c:v>
                </c:pt>
                <c:pt idx="2">
                  <c:v>3.50519623674313</c:v>
                </c:pt>
                <c:pt idx="3">
                  <c:v>3.79252642110224</c:v>
                </c:pt>
                <c:pt idx="4">
                  <c:v>4.08852432399158</c:v>
                </c:pt>
                <c:pt idx="5">
                  <c:v>4.6940392988763</c:v>
                </c:pt>
                <c:pt idx="6">
                  <c:v>7.75495081984661</c:v>
                </c:pt>
                <c:pt idx="7">
                  <c:v>11.7457330953673</c:v>
                </c:pt>
                <c:pt idx="8">
                  <c:v>16.2135490311154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ATI!$E$18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ATI!$E$19:$E$30</c:f>
              <c:numCache>
                <c:formatCode>General</c:formatCode>
                <c:ptCount val="12"/>
                <c:pt idx="0">
                  <c:v>2.91740670002301</c:v>
                </c:pt>
                <c:pt idx="1">
                  <c:v>3.13993290862051</c:v>
                </c:pt>
                <c:pt idx="2">
                  <c:v>3.55911390983423</c:v>
                </c:pt>
                <c:pt idx="3">
                  <c:v>3.9084037160137</c:v>
                </c:pt>
                <c:pt idx="4">
                  <c:v>4.24356762758891</c:v>
                </c:pt>
                <c:pt idx="5">
                  <c:v>4.79803190984886</c:v>
                </c:pt>
                <c:pt idx="6">
                  <c:v>7.9573246364207</c:v>
                </c:pt>
                <c:pt idx="7">
                  <c:v>22.3240977123823</c:v>
                </c:pt>
                <c:pt idx="8">
                  <c:v>24.0707527582358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ATI!$F$18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ATI!$F$19:$F$30</c:f>
              <c:numCache>
                <c:formatCode>General</c:formatCode>
                <c:ptCount val="12"/>
                <c:pt idx="0">
                  <c:v>2.92057193156245</c:v>
                </c:pt>
                <c:pt idx="1">
                  <c:v>3.23105713903725</c:v>
                </c:pt>
                <c:pt idx="2">
                  <c:v>3.57642453242654</c:v>
                </c:pt>
                <c:pt idx="3">
                  <c:v>3.86434964979366</c:v>
                </c:pt>
                <c:pt idx="4">
                  <c:v>4.22572398593914</c:v>
                </c:pt>
                <c:pt idx="5">
                  <c:v>4.88330059177422</c:v>
                </c:pt>
                <c:pt idx="6">
                  <c:v>8.06874139036631</c:v>
                </c:pt>
                <c:pt idx="7">
                  <c:v>27.1384680119132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ATI!$G$18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ATI!$G$19:$G$30</c:f>
              <c:numCache>
                <c:formatCode>General</c:formatCode>
                <c:ptCount val="12"/>
                <c:pt idx="0">
                  <c:v>2.92000412695373</c:v>
                </c:pt>
                <c:pt idx="1">
                  <c:v>3.20752055841398</c:v>
                </c:pt>
                <c:pt idx="2">
                  <c:v>3.52596480995099</c:v>
                </c:pt>
                <c:pt idx="3">
                  <c:v>3.78038073092565</c:v>
                </c:pt>
                <c:pt idx="4">
                  <c:v>4.26659053074955</c:v>
                </c:pt>
                <c:pt idx="5">
                  <c:v>4.75358742330367</c:v>
                </c:pt>
                <c:pt idx="6">
                  <c:v>8.56391731795429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ATI!$H$18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ATI!$H$19:$H$30</c:f>
              <c:numCache>
                <c:formatCode>General</c:formatCode>
                <c:ptCount val="12"/>
                <c:pt idx="0">
                  <c:v>2.92373995064609</c:v>
                </c:pt>
                <c:pt idx="1">
                  <c:v>3.27353640667865</c:v>
                </c:pt>
                <c:pt idx="2">
                  <c:v>3.5093002656054</c:v>
                </c:pt>
                <c:pt idx="3">
                  <c:v>3.86838829232134</c:v>
                </c:pt>
                <c:pt idx="4">
                  <c:v>4.34371343097699</c:v>
                </c:pt>
                <c:pt idx="5">
                  <c:v>4.67133174763471</c:v>
                </c:pt>
                <c:pt idx="6">
                  <c:v>7.84747150008179</c:v>
                </c:pt>
                <c:pt idx="7">
                  <c:v>32.3739940153871</c:v>
                </c:pt>
              </c:numCache>
            </c:numRef>
          </c:yVal>
          <c:smooth val="0"/>
        </c:ser>
        <c:axId val="89728363"/>
        <c:axId val="64756251"/>
      </c:scatterChart>
      <c:valAx>
        <c:axId val="89728363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Service Rate (sec/veh)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756251"/>
        <c:crossesAt val="0"/>
        <c:crossBetween val="midCat"/>
        <c:majorUnit val="2"/>
      </c:valAx>
      <c:valAx>
        <c:axId val="6475625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9728363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775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25" b="1" u="none" strike="noStrike">
                <a:solidFill>
                  <a:srgbClr val="000000"/>
                </a:solidFill>
                <a:uFillTx/>
                <a:latin typeface="Arial"/>
              </a:rPr>
              <a:t>Average Time (Uninformed Travelers) 
by Service Rate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ATU!$B$19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ATU!$B$20:$B$31</c:f>
              <c:numCache>
                <c:formatCode>General</c:formatCode>
                <c:ptCount val="12"/>
                <c:pt idx="0">
                  <c:v>3.95611599698547</c:v>
                </c:pt>
                <c:pt idx="1">
                  <c:v>4.57155918243325</c:v>
                </c:pt>
                <c:pt idx="2">
                  <c:v>5.68890869749916</c:v>
                </c:pt>
                <c:pt idx="3">
                  <c:v>7.64105107128546</c:v>
                </c:pt>
                <c:pt idx="4">
                  <c:v>14.5515808491853</c:v>
                </c:pt>
                <c:pt idx="5">
                  <c:v>21.3725297702314</c:v>
                </c:pt>
                <c:pt idx="6">
                  <c:v>129.973376937965</c:v>
                </c:pt>
                <c:pt idx="7">
                  <c:v>385.29792182222</c:v>
                </c:pt>
                <c:pt idx="8">
                  <c:v>638.463913606185</c:v>
                </c:pt>
                <c:pt idx="9">
                  <c:v>879.844675195934</c:v>
                </c:pt>
                <c:pt idx="10">
                  <c:v>1521.30370938622</c:v>
                </c:pt>
                <c:pt idx="11">
                  <c:v>2166.13407885415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ATU!$C$19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ATU!$C$20:$C$31</c:f>
              <c:numCache>
                <c:formatCode>General</c:formatCode>
                <c:ptCount val="12"/>
                <c:pt idx="0">
                  <c:v>3.65120062125664</c:v>
                </c:pt>
                <c:pt idx="1">
                  <c:v>4.12424242637928</c:v>
                </c:pt>
                <c:pt idx="2">
                  <c:v>4.74167813563806</c:v>
                </c:pt>
                <c:pt idx="3">
                  <c:v>5.51688577085859</c:v>
                </c:pt>
                <c:pt idx="4">
                  <c:v>6.50095915500266</c:v>
                </c:pt>
                <c:pt idx="5">
                  <c:v>8.10833111037516</c:v>
                </c:pt>
                <c:pt idx="6">
                  <c:v>55.3757957039639</c:v>
                </c:pt>
                <c:pt idx="7">
                  <c:v>258.31627180941</c:v>
                </c:pt>
                <c:pt idx="8">
                  <c:v>462.006114132324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ATU!$D$19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ATU!$D$20:$D$31</c:f>
              <c:numCache>
                <c:formatCode>General</c:formatCode>
                <c:ptCount val="12"/>
                <c:pt idx="0">
                  <c:v>3.5933603049842</c:v>
                </c:pt>
                <c:pt idx="1">
                  <c:v>3.96965997403081</c:v>
                </c:pt>
                <c:pt idx="2">
                  <c:v>4.38537060811535</c:v>
                </c:pt>
                <c:pt idx="3">
                  <c:v>4.91572629194532</c:v>
                </c:pt>
                <c:pt idx="4">
                  <c:v>5.30160726951844</c:v>
                </c:pt>
                <c:pt idx="5">
                  <c:v>6.26040777220069</c:v>
                </c:pt>
                <c:pt idx="6">
                  <c:v>16.3027571127564</c:v>
                </c:pt>
                <c:pt idx="7">
                  <c:v>142.040927186825</c:v>
                </c:pt>
                <c:pt idx="8">
                  <c:v>321.84638119911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ATU!$E$19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ATU!$E$20:$E$31</c:f>
              <c:numCache>
                <c:formatCode>General</c:formatCode>
                <c:ptCount val="12"/>
                <c:pt idx="0">
                  <c:v>3.44838698651189</c:v>
                </c:pt>
                <c:pt idx="1">
                  <c:v>3.78857613709279</c:v>
                </c:pt>
                <c:pt idx="2">
                  <c:v>4.26313898232271</c:v>
                </c:pt>
                <c:pt idx="3">
                  <c:v>4.72807627044355</c:v>
                </c:pt>
                <c:pt idx="4">
                  <c:v>5.1640964706667</c:v>
                </c:pt>
                <c:pt idx="5">
                  <c:v>5.83411473022689</c:v>
                </c:pt>
                <c:pt idx="6">
                  <c:v>9.93061861532445</c:v>
                </c:pt>
                <c:pt idx="7">
                  <c:v>45.6534991074096</c:v>
                </c:pt>
                <c:pt idx="8">
                  <c:v>152.878010237947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ATU!$F$19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ATU!$F$20:$F$31</c:f>
              <c:numCache>
                <c:formatCode>General</c:formatCode>
                <c:ptCount val="12"/>
                <c:pt idx="0">
                  <c:v>3.41046175337227</c:v>
                </c:pt>
                <c:pt idx="1">
                  <c:v>3.74586591622029</c:v>
                </c:pt>
                <c:pt idx="2">
                  <c:v>4.1066283993502</c:v>
                </c:pt>
                <c:pt idx="3">
                  <c:v>4.43248217317164</c:v>
                </c:pt>
                <c:pt idx="4">
                  <c:v>4.93036709230235</c:v>
                </c:pt>
                <c:pt idx="5">
                  <c:v>5.68517669944908</c:v>
                </c:pt>
                <c:pt idx="6">
                  <c:v>9.28588437989827</c:v>
                </c:pt>
                <c:pt idx="7">
                  <c:v>29.4841015223764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ATU!$G$19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ATU!$G$20:$G$31</c:f>
              <c:numCache>
                <c:formatCode>General</c:formatCode>
                <c:ptCount val="12"/>
                <c:pt idx="0">
                  <c:v>3.33371328626231</c:v>
                </c:pt>
                <c:pt idx="1">
                  <c:v>3.66935006414689</c:v>
                </c:pt>
                <c:pt idx="2">
                  <c:v>4.02418318774969</c:v>
                </c:pt>
                <c:pt idx="3">
                  <c:v>4.39493071284546</c:v>
                </c:pt>
                <c:pt idx="4">
                  <c:v>4.80026733107906</c:v>
                </c:pt>
                <c:pt idx="5">
                  <c:v>5.42106190651573</c:v>
                </c:pt>
                <c:pt idx="6">
                  <c:v>9.27890537615558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ATU!$H$19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ATU!$H$20:$H$31</c:f>
              <c:numCache>
                <c:formatCode>General</c:formatCode>
                <c:ptCount val="12"/>
              </c:numCache>
            </c:numRef>
          </c:yVal>
          <c:smooth val="0"/>
        </c:ser>
        <c:axId val="26011331"/>
        <c:axId val="31666788"/>
      </c:scatterChart>
      <c:valAx>
        <c:axId val="26011331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Service Rate (sec/veh)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1666788"/>
        <c:crossesAt val="0"/>
        <c:crossBetween val="midCat"/>
        <c:majorUnit val="2"/>
      </c:valAx>
      <c:valAx>
        <c:axId val="31666788"/>
        <c:scaling>
          <c:orientation val="minMax"/>
          <c:max val="100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011331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775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25" b="1" u="none" strike="noStrike">
                <a:solidFill>
                  <a:srgbClr val="000000"/>
                </a:solidFill>
                <a:uFillTx/>
                <a:latin typeface="Arial"/>
              </a:rPr>
              <a:t>Average Time (Uninformed Travelers) as Freeway Service Rate and Percent Informed Vary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ATU!$B$19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ATU!$B$20:$B$31</c:f>
              <c:numCache>
                <c:formatCode>General</c:formatCode>
                <c:ptCount val="12"/>
                <c:pt idx="0">
                  <c:v>3.95611599698547</c:v>
                </c:pt>
                <c:pt idx="1">
                  <c:v>4.57155918243325</c:v>
                </c:pt>
                <c:pt idx="2">
                  <c:v>5.68890869749916</c:v>
                </c:pt>
                <c:pt idx="3">
                  <c:v>7.64105107128546</c:v>
                </c:pt>
                <c:pt idx="4">
                  <c:v>14.5515808491853</c:v>
                </c:pt>
                <c:pt idx="5">
                  <c:v>21.3725297702314</c:v>
                </c:pt>
                <c:pt idx="6">
                  <c:v>129.973376937965</c:v>
                </c:pt>
                <c:pt idx="7">
                  <c:v>385.29792182222</c:v>
                </c:pt>
                <c:pt idx="8">
                  <c:v>638.463913606185</c:v>
                </c:pt>
                <c:pt idx="9">
                  <c:v>879.844675195934</c:v>
                </c:pt>
                <c:pt idx="10">
                  <c:v>1521.30370938622</c:v>
                </c:pt>
                <c:pt idx="11">
                  <c:v>2166.13407885415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ATU!$C$19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ATU!$C$20:$C$31</c:f>
              <c:numCache>
                <c:formatCode>General</c:formatCode>
                <c:ptCount val="12"/>
                <c:pt idx="0">
                  <c:v>3.65120062125664</c:v>
                </c:pt>
                <c:pt idx="1">
                  <c:v>4.12424242637928</c:v>
                </c:pt>
                <c:pt idx="2">
                  <c:v>4.74167813563806</c:v>
                </c:pt>
                <c:pt idx="3">
                  <c:v>5.51688577085859</c:v>
                </c:pt>
                <c:pt idx="4">
                  <c:v>6.50095915500266</c:v>
                </c:pt>
                <c:pt idx="5">
                  <c:v>8.10833111037516</c:v>
                </c:pt>
                <c:pt idx="6">
                  <c:v>55.3757957039639</c:v>
                </c:pt>
                <c:pt idx="7">
                  <c:v>258.31627180941</c:v>
                </c:pt>
                <c:pt idx="8">
                  <c:v>462.006114132324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ATU!$D$19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ATU!$D$20:$D$31</c:f>
              <c:numCache>
                <c:formatCode>General</c:formatCode>
                <c:ptCount val="12"/>
                <c:pt idx="0">
                  <c:v>3.5933603049842</c:v>
                </c:pt>
                <c:pt idx="1">
                  <c:v>3.96965997403081</c:v>
                </c:pt>
                <c:pt idx="2">
                  <c:v>4.38537060811535</c:v>
                </c:pt>
                <c:pt idx="3">
                  <c:v>4.91572629194532</c:v>
                </c:pt>
                <c:pt idx="4">
                  <c:v>5.30160726951844</c:v>
                </c:pt>
                <c:pt idx="5">
                  <c:v>6.26040777220069</c:v>
                </c:pt>
                <c:pt idx="6">
                  <c:v>16.3027571127564</c:v>
                </c:pt>
                <c:pt idx="7">
                  <c:v>142.040927186825</c:v>
                </c:pt>
                <c:pt idx="8">
                  <c:v>321.84638119911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ATU!$E$19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ATU!$E$20:$E$31</c:f>
              <c:numCache>
                <c:formatCode>General</c:formatCode>
                <c:ptCount val="12"/>
                <c:pt idx="0">
                  <c:v>3.44838698651189</c:v>
                </c:pt>
                <c:pt idx="1">
                  <c:v>3.78857613709279</c:v>
                </c:pt>
                <c:pt idx="2">
                  <c:v>4.26313898232271</c:v>
                </c:pt>
                <c:pt idx="3">
                  <c:v>4.72807627044355</c:v>
                </c:pt>
                <c:pt idx="4">
                  <c:v>5.1640964706667</c:v>
                </c:pt>
                <c:pt idx="5">
                  <c:v>5.83411473022689</c:v>
                </c:pt>
                <c:pt idx="6">
                  <c:v>9.93061861532445</c:v>
                </c:pt>
                <c:pt idx="7">
                  <c:v>45.6534991074096</c:v>
                </c:pt>
                <c:pt idx="8">
                  <c:v>152.878010237947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ATU!$F$19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ATU!$F$20:$F$31</c:f>
              <c:numCache>
                <c:formatCode>General</c:formatCode>
                <c:ptCount val="12"/>
                <c:pt idx="0">
                  <c:v>3.41046175337227</c:v>
                </c:pt>
                <c:pt idx="1">
                  <c:v>3.74586591622029</c:v>
                </c:pt>
                <c:pt idx="2">
                  <c:v>4.1066283993502</c:v>
                </c:pt>
                <c:pt idx="3">
                  <c:v>4.43248217317164</c:v>
                </c:pt>
                <c:pt idx="4">
                  <c:v>4.93036709230235</c:v>
                </c:pt>
                <c:pt idx="5">
                  <c:v>5.68517669944908</c:v>
                </c:pt>
                <c:pt idx="6">
                  <c:v>9.28588437989827</c:v>
                </c:pt>
                <c:pt idx="7">
                  <c:v>29.4841015223764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ATU!$G$19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ATU!$G$20:$G$31</c:f>
              <c:numCache>
                <c:formatCode>General</c:formatCode>
                <c:ptCount val="12"/>
                <c:pt idx="0">
                  <c:v>3.33371328626231</c:v>
                </c:pt>
                <c:pt idx="1">
                  <c:v>3.66935006414689</c:v>
                </c:pt>
                <c:pt idx="2">
                  <c:v>4.02418318774969</c:v>
                </c:pt>
                <c:pt idx="3">
                  <c:v>4.39493071284546</c:v>
                </c:pt>
                <c:pt idx="4">
                  <c:v>4.80026733107906</c:v>
                </c:pt>
                <c:pt idx="5">
                  <c:v>5.42106190651573</c:v>
                </c:pt>
                <c:pt idx="6">
                  <c:v>9.27890537615558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ATU!$H$19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ATU!$A$20:$A$31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ATU!$H$20:$H$31</c:f>
              <c:numCache>
                <c:formatCode>General</c:formatCode>
                <c:ptCount val="12"/>
              </c:numCache>
            </c:numRef>
          </c:yVal>
          <c:smooth val="0"/>
        </c:ser>
        <c:axId val="79671279"/>
        <c:axId val="45233457"/>
      </c:scatterChart>
      <c:valAx>
        <c:axId val="79671279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Freeway Service Rate (sec/veh)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233457"/>
        <c:crossesAt val="0"/>
        <c:crossBetween val="midCat"/>
        <c:majorUnit val="2"/>
      </c:valAx>
      <c:valAx>
        <c:axId val="45233457"/>
        <c:scaling>
          <c:orientation val="minMax"/>
          <c:max val="35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Average 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671279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775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25" b="1" u="none" strike="noStrike">
                <a:solidFill>
                  <a:srgbClr val="000000"/>
                </a:solidFill>
                <a:uFillTx/>
                <a:latin typeface="Arial"/>
              </a:rPr>
              <a:t>Average Time (All Travelers) 
by Service Rate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ATO!$B$18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ATO!$A$19:$A$30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ATO!$B$19:$B$30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ATO!$C$18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ATO!$A$19:$A$30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ATO!$C$19:$C$30</c:f>
              <c:numCache>
                <c:formatCode>General</c:formatCode>
                <c:ptCount val="12"/>
                <c:pt idx="0">
                  <c:v>3.22224323718346</c:v>
                </c:pt>
                <c:pt idx="1">
                  <c:v>3.63499946033583</c:v>
                </c:pt>
                <c:pt idx="2">
                  <c:v>4.09601736883071</c:v>
                </c:pt>
                <c:pt idx="3">
                  <c:v>4.66270675354756</c:v>
                </c:pt>
                <c:pt idx="4">
                  <c:v>5.35181806205757</c:v>
                </c:pt>
                <c:pt idx="5">
                  <c:v>6.37124046503746</c:v>
                </c:pt>
                <c:pt idx="6">
                  <c:v>31.1276782857057</c:v>
                </c:pt>
                <c:pt idx="7">
                  <c:v>133.963631824296</c:v>
                </c:pt>
                <c:pt idx="8">
                  <c:v>238.452731396967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ATO!$D$18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ATO!$A$19:$A$30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ATO!$D$19:$D$30</c:f>
              <c:numCache>
                <c:formatCode>General</c:formatCode>
                <c:ptCount val="12"/>
                <c:pt idx="0">
                  <c:v>3.21794103805785</c:v>
                </c:pt>
                <c:pt idx="1">
                  <c:v>3.56346397524408</c:v>
                </c:pt>
                <c:pt idx="2">
                  <c:v>3.94528342242924</c:v>
                </c:pt>
                <c:pt idx="3">
                  <c:v>4.35412635652378</c:v>
                </c:pt>
                <c:pt idx="4">
                  <c:v>4.69506579675501</c:v>
                </c:pt>
                <c:pt idx="5">
                  <c:v>5.4772235355385</c:v>
                </c:pt>
                <c:pt idx="6">
                  <c:v>12.0288539663015</c:v>
                </c:pt>
                <c:pt idx="7">
                  <c:v>76.8933301410964</c:v>
                </c:pt>
                <c:pt idx="8">
                  <c:v>169.029965115113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ATO!$E$18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ATO!$A$19:$A$30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ATO!$E$19:$E$30</c:f>
              <c:numCache>
                <c:formatCode>General</c:formatCode>
                <c:ptCount val="12"/>
                <c:pt idx="0">
                  <c:v>3.18289684326745</c:v>
                </c:pt>
                <c:pt idx="1">
                  <c:v>3.46425452285665</c:v>
                </c:pt>
                <c:pt idx="2">
                  <c:v>3.91112644607847</c:v>
                </c:pt>
                <c:pt idx="3">
                  <c:v>4.31823999322863</c:v>
                </c:pt>
                <c:pt idx="4">
                  <c:v>4.70383204912781</c:v>
                </c:pt>
                <c:pt idx="5">
                  <c:v>5.31607332003788</c:v>
                </c:pt>
                <c:pt idx="6">
                  <c:v>8.94397162587257</c:v>
                </c:pt>
                <c:pt idx="7">
                  <c:v>33.988798409896</c:v>
                </c:pt>
                <c:pt idx="8">
                  <c:v>88.4743814980912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ATO!$F$18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ATO!$A$19:$A$30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ATO!$F$19:$F$30</c:f>
              <c:numCache>
                <c:formatCode>General</c:formatCode>
                <c:ptCount val="12"/>
                <c:pt idx="0">
                  <c:v>3.16551684246736</c:v>
                </c:pt>
                <c:pt idx="1">
                  <c:v>3.48846152762877</c:v>
                </c:pt>
                <c:pt idx="2">
                  <c:v>3.84152646588837</c:v>
                </c:pt>
                <c:pt idx="3">
                  <c:v>4.14841591148265</c:v>
                </c:pt>
                <c:pt idx="4">
                  <c:v>4.57804553912075</c:v>
                </c:pt>
                <c:pt idx="5">
                  <c:v>5.28423864561165</c:v>
                </c:pt>
                <c:pt idx="6">
                  <c:v>8.67731288513229</c:v>
                </c:pt>
                <c:pt idx="7">
                  <c:v>28.3112847671448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ATO!$G$18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ATO!$A$19:$A$30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ATO!$G$19:$G$30</c:f>
              <c:numCache>
                <c:formatCode>General</c:formatCode>
                <c:ptCount val="12"/>
                <c:pt idx="0">
                  <c:v>3.12685870660802</c:v>
                </c:pt>
                <c:pt idx="1">
                  <c:v>3.43843531128044</c:v>
                </c:pt>
                <c:pt idx="2">
                  <c:v>3.77507399885034</c:v>
                </c:pt>
                <c:pt idx="3">
                  <c:v>4.08765572188555</c:v>
                </c:pt>
                <c:pt idx="4">
                  <c:v>4.5334289309143</c:v>
                </c:pt>
                <c:pt idx="5">
                  <c:v>5.0873246649097</c:v>
                </c:pt>
                <c:pt idx="6">
                  <c:v>8.92141134705494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ATO!$H$18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ATO!$A$19:$A$30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ATO!$H$19:$H$30</c:f>
              <c:numCache>
                <c:formatCode>General</c:formatCode>
                <c:ptCount val="12"/>
              </c:numCache>
            </c:numRef>
          </c:yVal>
          <c:smooth val="0"/>
        </c:ser>
        <c:axId val="14653701"/>
        <c:axId val="14635172"/>
      </c:scatterChart>
      <c:valAx>
        <c:axId val="14653701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Service Rate (sec/veh)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4635172"/>
        <c:crossesAt val="0"/>
        <c:crossBetween val="midCat"/>
        <c:majorUnit val="2"/>
      </c:valAx>
      <c:valAx>
        <c:axId val="14635172"/>
        <c:scaling>
          <c:orientation val="minMax"/>
          <c:max val="35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7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77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4653701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775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50" b="1" u="none" strike="noStrike">
                <a:solidFill>
                  <a:srgbClr val="000000"/>
                </a:solidFill>
                <a:uFillTx/>
                <a:latin typeface="Arial"/>
              </a:rPr>
              <a:t>Percent of Time Saved (Informed Travelers) 
by Service Rate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2811705949356"/>
          <c:y val="0.250648954038785"/>
          <c:w val="0.787566809778323"/>
          <c:h val="0.64261719346465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'T%I'!$B$18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'T%I'!$A$19:$A$30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'T%I'!$B$19:$B$30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'T%I'!$C$18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'T%I'!$A$19:$A$30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'T%I'!$C$19:$C$30</c:f>
              <c:numCache>
                <c:formatCode>0%</c:formatCode>
                <c:ptCount val="12"/>
                <c:pt idx="0">
                  <c:v>0.293932267092585</c:v>
                </c:pt>
                <c:pt idx="1">
                  <c:v>0.311885427103224</c:v>
                </c:pt>
                <c:pt idx="2">
                  <c:v>0.393494115393321</c:v>
                </c:pt>
                <c:pt idx="3">
                  <c:v>0.501570176575745</c:v>
                </c:pt>
                <c:pt idx="4">
                  <c:v>0.711187601356194</c:v>
                </c:pt>
                <c:pt idx="5">
                  <c:v>0.783172611313687</c:v>
                </c:pt>
                <c:pt idx="6">
                  <c:v>0.947069461227193</c:v>
                </c:pt>
                <c:pt idx="7">
                  <c:v>0.975055687314045</c:v>
                </c:pt>
                <c:pt idx="8">
                  <c:v>0.976663757584269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'T%I'!$D$18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'T%I'!$A$19:$A$30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'T%I'!$D$19:$D$30</c:f>
              <c:numCache>
                <c:formatCode>0%</c:formatCode>
                <c:ptCount val="12"/>
                <c:pt idx="0">
                  <c:v>0.281486747785583</c:v>
                </c:pt>
                <c:pt idx="1">
                  <c:v>0.309367362323666</c:v>
                </c:pt>
                <c:pt idx="2">
                  <c:v>0.383854369418161</c:v>
                </c:pt>
                <c:pt idx="3">
                  <c:v>0.503664301452677</c:v>
                </c:pt>
                <c:pt idx="4">
                  <c:v>0.719032291655069</c:v>
                </c:pt>
                <c:pt idx="5">
                  <c:v>0.78037044049814</c:v>
                </c:pt>
                <c:pt idx="6">
                  <c:v>0.940334313052834</c:v>
                </c:pt>
                <c:pt idx="7">
                  <c:v>0.969515192192532</c:v>
                </c:pt>
                <c:pt idx="8">
                  <c:v>0.974605379120744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'T%I'!$E$18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'T%I'!$A$19:$A$30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'T%I'!$E$19:$E$30</c:f>
              <c:numCache>
                <c:formatCode>0%</c:formatCode>
                <c:ptCount val="12"/>
                <c:pt idx="0">
                  <c:v>0.262557846573243</c:v>
                </c:pt>
                <c:pt idx="1">
                  <c:v>0.313159300072924</c:v>
                </c:pt>
                <c:pt idx="2">
                  <c:v>0.374376686446241</c:v>
                </c:pt>
                <c:pt idx="3">
                  <c:v>0.488499202589914</c:v>
                </c:pt>
                <c:pt idx="4">
                  <c:v>0.708377552131974</c:v>
                </c:pt>
                <c:pt idx="5">
                  <c:v>0.775504726795058</c:v>
                </c:pt>
                <c:pt idx="6">
                  <c:v>0.938777272516212</c:v>
                </c:pt>
                <c:pt idx="7">
                  <c:v>0.942060165788585</c:v>
                </c:pt>
                <c:pt idx="8">
                  <c:v>0.96229896123294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'T%I'!$F$18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'T%I'!$A$19:$A$30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'T%I'!$F$19:$F$30</c:f>
              <c:numCache>
                <c:formatCode>0%</c:formatCode>
                <c:ptCount val="12"/>
                <c:pt idx="0">
                  <c:v>0.26175776094839</c:v>
                </c:pt>
                <c:pt idx="1">
                  <c:v>0.293226444174022</c:v>
                </c:pt>
                <c:pt idx="2">
                  <c:v>0.371333814163913</c:v>
                </c:pt>
                <c:pt idx="3">
                  <c:v>0.494264648444031</c:v>
                </c:pt>
                <c:pt idx="4">
                  <c:v>0.709603786026057</c:v>
                </c:pt>
                <c:pt idx="5">
                  <c:v>0.771515087625429</c:v>
                </c:pt>
                <c:pt idx="6">
                  <c:v>0.937920045008775</c:v>
                </c:pt>
                <c:pt idx="7">
                  <c:v>0.929564976931189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'T%I'!$G$18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'T%I'!$A$19:$A$30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'T%I'!$G$19:$G$30</c:f>
              <c:numCache>
                <c:formatCode>0%</c:formatCode>
                <c:ptCount val="12"/>
                <c:pt idx="0">
                  <c:v>0.261901286721939</c:v>
                </c:pt>
                <c:pt idx="1">
                  <c:v>0.298374924087333</c:v>
                </c:pt>
                <c:pt idx="2">
                  <c:v>0.380203656370685</c:v>
                </c:pt>
                <c:pt idx="3">
                  <c:v>0.505253832796373</c:v>
                </c:pt>
                <c:pt idx="4">
                  <c:v>0.706795393918426</c:v>
                </c:pt>
                <c:pt idx="5">
                  <c:v>0.777584241341206</c:v>
                </c:pt>
                <c:pt idx="6">
                  <c:v>0.934110219187105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'T%I'!$H$18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'T%I'!$A$19:$A$30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'T%I'!$H$19:$H$30</c:f>
              <c:numCache>
                <c:formatCode>0%</c:formatCode>
                <c:ptCount val="12"/>
                <c:pt idx="0">
                  <c:v>0.260956970707138</c:v>
                </c:pt>
                <c:pt idx="1">
                  <c:v>0.283934369862783</c:v>
                </c:pt>
                <c:pt idx="2">
                  <c:v>0.383132960606647</c:v>
                </c:pt>
                <c:pt idx="3">
                  <c:v>0.493736103026654</c:v>
                </c:pt>
                <c:pt idx="4">
                  <c:v>0.701495426785868</c:v>
                </c:pt>
                <c:pt idx="5">
                  <c:v>0.781432904861775</c:v>
                </c:pt>
                <c:pt idx="6">
                  <c:v>0.939622469732187</c:v>
                </c:pt>
                <c:pt idx="7">
                  <c:v>0.915976722993267</c:v>
                </c:pt>
              </c:numCache>
            </c:numRef>
          </c:yVal>
          <c:smooth val="0"/>
        </c:ser>
        <c:axId val="87818814"/>
        <c:axId val="71989291"/>
      </c:scatterChart>
      <c:valAx>
        <c:axId val="87818814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Service Rate (sec/veh)</a:t>
                </a:r>
              </a:p>
            </c:rich>
          </c:tx>
          <c:layout>
            <c:manualLayout>
              <c:xMode val="edge"/>
              <c:yMode val="edge"/>
              <c:x val="0.343073687899763"/>
              <c:y val="0.86402504199114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1989291"/>
        <c:crossesAt val="0"/>
        <c:crossBetween val="midCat"/>
      </c:valAx>
      <c:valAx>
        <c:axId val="71989291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Saved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818814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1911854902304"/>
          <c:y val="0.3615055733699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8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50" b="1" u="none" strike="noStrike">
                <a:solidFill>
                  <a:srgbClr val="000000"/>
                </a:solidFill>
                <a:uFillTx/>
                <a:latin typeface="Arial"/>
              </a:rPr>
              <a:t>Percent of Time Saved (Uninformed Travelers) by Service Rate and Percent Informed</a:t>
            </a:r>
          </a:p>
        </c:rich>
      </c:tx>
      <c:layout>
        <c:manualLayout>
          <c:xMode val="edge"/>
          <c:yMode val="edge"/>
          <c:x val="0.11950290990242"/>
          <c:y val="0.038783907345321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08519669190041"/>
          <c:y val="0.32322462663822"/>
          <c:w val="0.752111320176782"/>
          <c:h val="0.5702529716549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'T%U'!$B$18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'T%U'!$A$19:$A$30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'T%U'!$B$19:$B$30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'T%U'!$C$18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'T%U'!$A$19:$A$30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'T%U'!$C$19:$C$30</c:f>
              <c:numCache>
                <c:formatCode>General</c:formatCode>
                <c:ptCount val="12"/>
                <c:pt idx="0">
                  <c:v>0.0770744275347777</c:v>
                </c:pt>
                <c:pt idx="1">
                  <c:v>0.0978477447635027</c:v>
                </c:pt>
                <c:pt idx="2">
                  <c:v>0.166504792435411</c:v>
                </c:pt>
                <c:pt idx="3">
                  <c:v>0.277993862442477</c:v>
                </c:pt>
                <c:pt idx="4">
                  <c:v>0.553247222938899</c:v>
                </c:pt>
                <c:pt idx="5">
                  <c:v>0.620619028372167</c:v>
                </c:pt>
                <c:pt idx="6">
                  <c:v>0.573945087766748</c:v>
                </c:pt>
                <c:pt idx="7">
                  <c:v>0.329567440728116</c:v>
                </c:pt>
                <c:pt idx="8">
                  <c:v>0.276378657764992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'T%U'!$D$18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'T%U'!$A$19:$A$30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'T%U'!$D$19:$D$30</c:f>
              <c:numCache>
                <c:formatCode>General</c:formatCode>
                <c:ptCount val="12"/>
                <c:pt idx="0">
                  <c:v>0.091694907904038</c:v>
                </c:pt>
                <c:pt idx="1">
                  <c:v>0.13166169011118</c:v>
                </c:pt>
                <c:pt idx="2">
                  <c:v>0.229136756924372</c:v>
                </c:pt>
                <c:pt idx="3">
                  <c:v>0.356668834420139</c:v>
                </c:pt>
                <c:pt idx="4">
                  <c:v>0.635667950825064</c:v>
                </c:pt>
                <c:pt idx="5">
                  <c:v>0.707081574361849</c:v>
                </c:pt>
                <c:pt idx="6">
                  <c:v>0.874568488587185</c:v>
                </c:pt>
                <c:pt idx="7">
                  <c:v>0.631347798308748</c:v>
                </c:pt>
                <c:pt idx="8">
                  <c:v>0.495905133649213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'T%U'!$E$18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'T%U'!$A$19:$A$30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'T%U'!$E$19:$E$30</c:f>
              <c:numCache>
                <c:formatCode>General</c:formatCode>
                <c:ptCount val="12"/>
                <c:pt idx="0">
                  <c:v>0.12834027385963</c:v>
                </c:pt>
                <c:pt idx="1">
                  <c:v>0.171272647710473</c:v>
                </c:pt>
                <c:pt idx="2">
                  <c:v>0.250622710082027</c:v>
                </c:pt>
                <c:pt idx="3">
                  <c:v>0.381226976978163</c:v>
                </c:pt>
                <c:pt idx="4">
                  <c:v>0.645117838110639</c:v>
                </c:pt>
                <c:pt idx="5">
                  <c:v>0.727027413556213</c:v>
                </c:pt>
                <c:pt idx="6">
                  <c:v>0.923594978838903</c:v>
                </c:pt>
                <c:pt idx="7">
                  <c:v>0.881511172207997</c:v>
                </c:pt>
                <c:pt idx="8">
                  <c:v>0.760553404851877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'T%U'!$F$18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'T%U'!$A$19:$A$30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'T%U'!$F$19:$F$30</c:f>
              <c:numCache>
                <c:formatCode>General</c:formatCode>
                <c:ptCount val="12"/>
                <c:pt idx="0">
                  <c:v>0.137926755441192</c:v>
                </c:pt>
                <c:pt idx="1">
                  <c:v>0.180615241597612</c:v>
                </c:pt>
                <c:pt idx="2">
                  <c:v>0.278134240200504</c:v>
                </c:pt>
                <c:pt idx="3">
                  <c:v>0.419911981765363</c:v>
                </c:pt>
                <c:pt idx="4">
                  <c:v>0.661179967771104</c:v>
                </c:pt>
                <c:pt idx="5">
                  <c:v>0.733996079988264</c:v>
                </c:pt>
                <c:pt idx="6">
                  <c:v>0.928555488834222</c:v>
                </c:pt>
                <c:pt idx="7">
                  <c:v>0.923477133271483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'T%U'!$G$18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'T%U'!$A$19:$A$30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'T%U'!$G$19:$G$30</c:f>
              <c:numCache>
                <c:formatCode>General</c:formatCode>
                <c:ptCount val="12"/>
                <c:pt idx="0">
                  <c:v>0.15732670912517</c:v>
                </c:pt>
                <c:pt idx="1">
                  <c:v>0.197352606032796</c:v>
                </c:pt>
                <c:pt idx="2">
                  <c:v>0.292626512090322</c:v>
                </c:pt>
                <c:pt idx="3">
                  <c:v>0.424826418271002</c:v>
                </c:pt>
                <c:pt idx="4">
                  <c:v>0.670120560726032</c:v>
                </c:pt>
                <c:pt idx="5">
                  <c:v>0.746353755741801</c:v>
                </c:pt>
                <c:pt idx="6">
                  <c:v>0.928609184474876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'T%U'!$H$18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'T%U'!$A$19:$A$30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'T%U'!$H$19:$H$30</c:f>
              <c:numCache>
                <c:formatCode>General</c:formatCode>
                <c:ptCount val="12"/>
              </c:numCache>
            </c:numRef>
          </c:yVal>
          <c:smooth val="0"/>
        </c:ser>
        <c:axId val="45088785"/>
        <c:axId val="48331961"/>
      </c:scatterChart>
      <c:valAx>
        <c:axId val="45088785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Service Rate (sec/veh)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8331961"/>
        <c:crossesAt val="0"/>
        <c:crossBetween val="midCat"/>
      </c:valAx>
      <c:valAx>
        <c:axId val="48331961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Saved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088785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2162516956198"/>
          <c:y val="0.39827796403535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8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50" b="1" u="none" strike="noStrike">
                <a:solidFill>
                  <a:srgbClr val="000000"/>
                </a:solidFill>
                <a:uFillTx/>
                <a:latin typeface="Arial"/>
              </a:rPr>
              <a:t>Standard Deviation (Informed Travelers) 
by Service Rate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07992492033699"/>
          <c:y val="0.25066809192945"/>
          <c:w val="0.752848225588197"/>
          <c:h val="0.642589906085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SDI!$B$18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SDI!$B$19:$B$30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SDI!$C$18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SDI!$C$19:$C$30</c:f>
              <c:numCache>
                <c:formatCode>General</c:formatCode>
                <c:ptCount val="12"/>
                <c:pt idx="0">
                  <c:v>1.22793992045723</c:v>
                </c:pt>
                <c:pt idx="1">
                  <c:v>1.47018934264755</c:v>
                </c:pt>
                <c:pt idx="2">
                  <c:v>1.83606159640181</c:v>
                </c:pt>
                <c:pt idx="3">
                  <c:v>1.9379705347123</c:v>
                </c:pt>
                <c:pt idx="4">
                  <c:v>2.14679997800425</c:v>
                </c:pt>
                <c:pt idx="5">
                  <c:v>2.56404343411676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SDI!$D$18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SDI!$D$19:$D$30</c:f>
              <c:numCache>
                <c:formatCode>General</c:formatCode>
                <c:ptCount val="12"/>
                <c:pt idx="0">
                  <c:v>1.24173577380423</c:v>
                </c:pt>
                <c:pt idx="1">
                  <c:v>1.46216972546841</c:v>
                </c:pt>
                <c:pt idx="2">
                  <c:v>1.87549089054891</c:v>
                </c:pt>
                <c:pt idx="3">
                  <c:v>1.94110129225596</c:v>
                </c:pt>
                <c:pt idx="4">
                  <c:v>2.02784234395112</c:v>
                </c:pt>
                <c:pt idx="5">
                  <c:v>2.69969560458511</c:v>
                </c:pt>
                <c:pt idx="6">
                  <c:v>4.4520790547309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SDI!$E$18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SDI!$E$19:$E$30</c:f>
              <c:numCache>
                <c:formatCode>General</c:formatCode>
                <c:ptCount val="12"/>
                <c:pt idx="0">
                  <c:v>1.36086926624757</c:v>
                </c:pt>
                <c:pt idx="1">
                  <c:v>1.44611306765114</c:v>
                </c:pt>
                <c:pt idx="2">
                  <c:v>1.8746899377511</c:v>
                </c:pt>
                <c:pt idx="3">
                  <c:v>2.02091918521437</c:v>
                </c:pt>
                <c:pt idx="4">
                  <c:v>2.21283188090949</c:v>
                </c:pt>
                <c:pt idx="5">
                  <c:v>2.67811596938685</c:v>
                </c:pt>
                <c:pt idx="6">
                  <c:v>4.65057468189539</c:v>
                </c:pt>
                <c:pt idx="7">
                  <c:v>12.301300803113</c:v>
                </c:pt>
                <c:pt idx="8">
                  <c:v>8.36818850689624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SDI!$F$18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SDI!$F$19:$F$30</c:f>
              <c:numCache>
                <c:formatCode>General</c:formatCode>
                <c:ptCount val="12"/>
                <c:pt idx="0">
                  <c:v>1.31505091923803</c:v>
                </c:pt>
                <c:pt idx="1">
                  <c:v>1.56322189983466</c:v>
                </c:pt>
                <c:pt idx="2">
                  <c:v>1.83843117475279</c:v>
                </c:pt>
                <c:pt idx="3">
                  <c:v>1.92338260312389</c:v>
                </c:pt>
                <c:pt idx="4">
                  <c:v>2.0745192555021</c:v>
                </c:pt>
                <c:pt idx="5">
                  <c:v>2.78718950028916</c:v>
                </c:pt>
                <c:pt idx="6">
                  <c:v>4.88729432346832</c:v>
                </c:pt>
                <c:pt idx="7">
                  <c:v>14.8761002793728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SDI!$G$18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SDI!$G$19:$G$30</c:f>
              <c:numCache>
                <c:formatCode>General</c:formatCode>
                <c:ptCount val="12"/>
                <c:pt idx="0">
                  <c:v>1.32586309612108</c:v>
                </c:pt>
                <c:pt idx="1">
                  <c:v>1.55585768306818</c:v>
                </c:pt>
                <c:pt idx="2">
                  <c:v>1.77519599403783</c:v>
                </c:pt>
                <c:pt idx="3">
                  <c:v>1.8167543556821</c:v>
                </c:pt>
                <c:pt idx="4">
                  <c:v>2.17818377951191</c:v>
                </c:pt>
                <c:pt idx="5">
                  <c:v>2.53025094124135</c:v>
                </c:pt>
                <c:pt idx="6">
                  <c:v>5.23044530207488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SDI!$H$18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SDI!$A$19:$A$30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SDI!$H$19:$H$30</c:f>
              <c:numCache>
                <c:formatCode>General</c:formatCode>
                <c:ptCount val="12"/>
                <c:pt idx="0">
                  <c:v>1.30881209230649</c:v>
                </c:pt>
                <c:pt idx="1">
                  <c:v>1.55860457025862</c:v>
                </c:pt>
                <c:pt idx="2">
                  <c:v>1.72602570678709</c:v>
                </c:pt>
                <c:pt idx="3">
                  <c:v>1.99473246929086</c:v>
                </c:pt>
                <c:pt idx="4">
                  <c:v>2.20873293598992</c:v>
                </c:pt>
                <c:pt idx="5">
                  <c:v>2.43144206212981</c:v>
                </c:pt>
                <c:pt idx="6">
                  <c:v>4.36972903993878</c:v>
                </c:pt>
                <c:pt idx="7">
                  <c:v>16.4251586162617</c:v>
                </c:pt>
              </c:numCache>
            </c:numRef>
          </c:yVal>
          <c:smooth val="0"/>
        </c:ser>
        <c:axId val="62238893"/>
        <c:axId val="33966000"/>
      </c:scatterChart>
      <c:valAx>
        <c:axId val="62238893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Service Rate (sec/veh)</a:t>
                </a:r>
              </a:p>
            </c:rich>
          </c:tx>
          <c:layout>
            <c:manualLayout>
              <c:xMode val="edge"/>
              <c:yMode val="edge"/>
              <c:x val="0.343052948622812"/>
              <c:y val="0.87004657555165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966000"/>
        <c:crossesAt val="0"/>
        <c:crossBetween val="midCat"/>
      </c:valAx>
      <c:valAx>
        <c:axId val="3396600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Standard Deviation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238893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2412152429176"/>
          <c:y val="0.36344200962052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8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150" b="1" u="none" strike="noStrike">
                <a:solidFill>
                  <a:srgbClr val="000000"/>
                </a:solidFill>
                <a:uFillTx/>
                <a:latin typeface="Arial"/>
              </a:rPr>
              <a:t>Standard Deviation (Uninformed Travelers) 
by Service Rate and Percent Informed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07743960931368"/>
          <c:y val="0.250152392563243"/>
          <c:w val="0.768029999127932"/>
          <c:h val="0.643096616885096"/>
        </c:manualLayout>
      </c:layout>
      <c:scatterChart>
        <c:scatterStyle val="lineMarker"/>
        <c:varyColors val="0"/>
        <c:ser>
          <c:idx val="0"/>
          <c:order val="0"/>
          <c:tx>
            <c:strRef>
              <c:f>SDU!$B$18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SDU!$A$19:$A$30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SDU!$B$19:$B$30</c:f>
              <c:numCache>
                <c:formatCode>General</c:formatCode>
                <c:ptCount val="12"/>
                <c:pt idx="0">
                  <c:v>2.54585921317425</c:v>
                </c:pt>
                <c:pt idx="1">
                  <c:v>3.45414838057836</c:v>
                </c:pt>
                <c:pt idx="2">
                  <c:v>5.23546186696258</c:v>
                </c:pt>
                <c:pt idx="3">
                  <c:v>8.09853378826149</c:v>
                </c:pt>
                <c:pt idx="4">
                  <c:v>15.5052340392267</c:v>
                </c:pt>
                <c:pt idx="5">
                  <c:v>21.698282453438</c:v>
                </c:pt>
                <c:pt idx="6">
                  <c:v>147.651355335252</c:v>
                </c:pt>
                <c:pt idx="7">
                  <c:v>438.922155081972</c:v>
                </c:pt>
                <c:pt idx="8">
                  <c:v>734.012775204431</c:v>
                </c:pt>
                <c:pt idx="9">
                  <c:v>1006.53363333793</c:v>
                </c:pt>
                <c:pt idx="10">
                  <c:v>1751.04350182761</c:v>
                </c:pt>
                <c:pt idx="11">
                  <c:v>2489.32187960146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SDU!$C$18</c:f>
              <c:strCache>
                <c:ptCount val="1"/>
                <c:pt idx="0">
                  <c:v>17%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SDU!$A$19:$A$30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SDU!$C$19:$C$30</c:f>
              <c:numCache>
                <c:formatCode>General</c:formatCode>
                <c:ptCount val="12"/>
                <c:pt idx="0">
                  <c:v>2.04073102570719</c:v>
                </c:pt>
                <c:pt idx="1">
                  <c:v>2.63684499250904</c:v>
                </c:pt>
                <c:pt idx="2">
                  <c:v>3.42336064563289</c:v>
                </c:pt>
                <c:pt idx="3">
                  <c:v>4.31947340183875</c:v>
                </c:pt>
                <c:pt idx="4">
                  <c:v>5.5235374853379</c:v>
                </c:pt>
                <c:pt idx="5">
                  <c:v>7.77501444110654</c:v>
                </c:pt>
                <c:pt idx="6">
                  <c:v>54.5608648766399</c:v>
                </c:pt>
                <c:pt idx="7">
                  <c:v>286.79615150423</c:v>
                </c:pt>
                <c:pt idx="8">
                  <c:v>525.421052082199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SDU!$D$18</c:f>
              <c:strCache>
                <c:ptCount val="1"/>
                <c:pt idx="0">
                  <c:v>33%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SDU!$A$19:$A$30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SDU!$D$19:$D$30</c:f>
              <c:numCache>
                <c:formatCode>General</c:formatCode>
                <c:ptCount val="12"/>
                <c:pt idx="0">
                  <c:v>1.85036889312503</c:v>
                </c:pt>
                <c:pt idx="1">
                  <c:v>2.18664119683528</c:v>
                </c:pt>
                <c:pt idx="2">
                  <c:v>2.55641396091661</c:v>
                </c:pt>
                <c:pt idx="3">
                  <c:v>3.27321164918268</c:v>
                </c:pt>
                <c:pt idx="4">
                  <c:v>3.4124427099001</c:v>
                </c:pt>
                <c:pt idx="5">
                  <c:v>4.37325975007663</c:v>
                </c:pt>
                <c:pt idx="6">
                  <c:v>15.2103516625166</c:v>
                </c:pt>
                <c:pt idx="7">
                  <c:v>150.103717083293</c:v>
                </c:pt>
                <c:pt idx="8">
                  <c:v>354.044365626201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SDU!$E$18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SDU!$A$19:$A$30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SDU!$E$19:$E$30</c:f>
              <c:numCache>
                <c:formatCode>General</c:formatCode>
                <c:ptCount val="12"/>
                <c:pt idx="0">
                  <c:v>1.63705576569104</c:v>
                </c:pt>
                <c:pt idx="1">
                  <c:v>1.84187114228879</c:v>
                </c:pt>
                <c:pt idx="2">
                  <c:v>2.29150600809731</c:v>
                </c:pt>
                <c:pt idx="3">
                  <c:v>2.6999638187093</c:v>
                </c:pt>
                <c:pt idx="4">
                  <c:v>3.02136823173335</c:v>
                </c:pt>
                <c:pt idx="5">
                  <c:v>3.41741257951589</c:v>
                </c:pt>
                <c:pt idx="6">
                  <c:v>6.6255057835377</c:v>
                </c:pt>
                <c:pt idx="7">
                  <c:v>31.8423258764905</c:v>
                </c:pt>
                <c:pt idx="8">
                  <c:v>150.206229248756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SDU!$F$18</c:f>
              <c:strCache>
                <c:ptCount val="1"/>
                <c:pt idx="0">
                  <c:v>67%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SDU!$A$19:$A$30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SDU!$F$19:$F$30</c:f>
              <c:numCache>
                <c:formatCode>General</c:formatCode>
                <c:ptCount val="12"/>
                <c:pt idx="0">
                  <c:v>1.5902882256377</c:v>
                </c:pt>
                <c:pt idx="1">
                  <c:v>1.80071275721852</c:v>
                </c:pt>
                <c:pt idx="2">
                  <c:v>2.10314178949302</c:v>
                </c:pt>
                <c:pt idx="3">
                  <c:v>2.26694362197158</c:v>
                </c:pt>
                <c:pt idx="4">
                  <c:v>2.51629250943811</c:v>
                </c:pt>
                <c:pt idx="5">
                  <c:v>3.25762880298122</c:v>
                </c:pt>
                <c:pt idx="6">
                  <c:v>5.41496630013623</c:v>
                </c:pt>
                <c:pt idx="7">
                  <c:v>16.0617034852579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SDU!$G$18</c:f>
              <c:strCache>
                <c:ptCount val="1"/>
                <c:pt idx="0">
                  <c:v>83%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SDU!$A$19:$A$30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SDU!$G$19:$G$30</c:f>
              <c:numCache>
                <c:formatCode>General</c:formatCode>
                <c:ptCount val="12"/>
                <c:pt idx="0">
                  <c:v>1.51854197644907</c:v>
                </c:pt>
                <c:pt idx="1">
                  <c:v>1.69875540570397</c:v>
                </c:pt>
                <c:pt idx="2">
                  <c:v>1.9867851339394</c:v>
                </c:pt>
                <c:pt idx="3">
                  <c:v>2.15809351251056</c:v>
                </c:pt>
                <c:pt idx="4">
                  <c:v>2.35253013495711</c:v>
                </c:pt>
                <c:pt idx="5">
                  <c:v>2.85601671977382</c:v>
                </c:pt>
                <c:pt idx="6">
                  <c:v>5.37692158236399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SDU!$H$18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SDU!$A$19:$A$30</c:f>
              <c:numCache>
                <c:formatCode>General</c:formatCode>
                <c:ptCount val="12"/>
                <c:pt idx="0">
                  <c:v>2</c:v>
                </c:pt>
                <c:pt idx="1">
                  <c:v>2.2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xVal>
          <c:yVal>
            <c:numRef>
              <c:f>SDU!$H$19:$H$30</c:f>
              <c:numCache>
                <c:formatCode>General</c:formatCode>
                <c:ptCount val="12"/>
              </c:numCache>
            </c:numRef>
          </c:yVal>
          <c:smooth val="0"/>
        </c:ser>
        <c:axId val="72294038"/>
        <c:axId val="13946594"/>
      </c:scatterChart>
      <c:valAx>
        <c:axId val="72294038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Service Rate (sec/veh)</a:t>
                </a:r>
              </a:p>
            </c:rich>
          </c:tx>
          <c:layout>
            <c:manualLayout>
              <c:xMode val="edge"/>
              <c:yMode val="edge"/>
              <c:x val="0.356501264498125"/>
              <c:y val="0.87031392868028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946594"/>
        <c:crossesAt val="0"/>
        <c:crossBetween val="midCat"/>
      </c:valAx>
      <c:valAx>
        <c:axId val="13946594"/>
        <c:scaling>
          <c:orientation val="minMax"/>
          <c:max val="2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Standard Deviation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2294038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77343681869713"/>
          <c:y val="0.36391344102407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8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9360</xdr:rowOff>
    </xdr:from>
    <xdr:to>
      <xdr:col>6</xdr:col>
      <xdr:colOff>1191240</xdr:colOff>
      <xdr:row>61</xdr:row>
      <xdr:rowOff>152640</xdr:rowOff>
    </xdr:to>
    <xdr:graphicFrame>
      <xdr:nvGraphicFramePr>
        <xdr:cNvPr id="1" name="Chart 1"/>
        <xdr:cNvGraphicFramePr/>
      </xdr:nvGraphicFramePr>
      <xdr:xfrm>
        <a:off x="0" y="4886280"/>
        <a:ext cx="9055080" cy="456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151920</xdr:colOff>
      <xdr:row>33</xdr:row>
      <xdr:rowOff>123840</xdr:rowOff>
    </xdr:from>
    <xdr:to>
      <xdr:col>6</xdr:col>
      <xdr:colOff>1200960</xdr:colOff>
      <xdr:row>63</xdr:row>
      <xdr:rowOff>123840</xdr:rowOff>
    </xdr:to>
    <xdr:graphicFrame>
      <xdr:nvGraphicFramePr>
        <xdr:cNvPr id="2" name="Chart 1"/>
        <xdr:cNvGraphicFramePr/>
      </xdr:nvGraphicFramePr>
      <xdr:xfrm>
        <a:off x="151920" y="5153040"/>
        <a:ext cx="9065160" cy="457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65</xdr:row>
      <xdr:rowOff>0</xdr:rowOff>
    </xdr:from>
    <xdr:to>
      <xdr:col>6</xdr:col>
      <xdr:colOff>1058040</xdr:colOff>
      <xdr:row>95</xdr:row>
      <xdr:rowOff>9360</xdr:rowOff>
    </xdr:to>
    <xdr:graphicFrame>
      <xdr:nvGraphicFramePr>
        <xdr:cNvPr id="3" name="Chart 2"/>
        <xdr:cNvGraphicFramePr/>
      </xdr:nvGraphicFramePr>
      <xdr:xfrm>
        <a:off x="0" y="9906120"/>
        <a:ext cx="9074160" cy="458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0</xdr:rowOff>
    </xdr:from>
    <xdr:to>
      <xdr:col>7</xdr:col>
      <xdr:colOff>87120</xdr:colOff>
      <xdr:row>62</xdr:row>
      <xdr:rowOff>19080</xdr:rowOff>
    </xdr:to>
    <xdr:graphicFrame>
      <xdr:nvGraphicFramePr>
        <xdr:cNvPr id="4" name="Chart 1"/>
        <xdr:cNvGraphicFramePr/>
      </xdr:nvGraphicFramePr>
      <xdr:xfrm>
        <a:off x="0" y="4876920"/>
        <a:ext cx="9083880" cy="459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133560</xdr:rowOff>
    </xdr:from>
    <xdr:to>
      <xdr:col>6</xdr:col>
      <xdr:colOff>48240</xdr:colOff>
      <xdr:row>62</xdr:row>
      <xdr:rowOff>123840</xdr:rowOff>
    </xdr:to>
    <xdr:graphicFrame>
      <xdr:nvGraphicFramePr>
        <xdr:cNvPr id="5" name="Chart 1"/>
        <xdr:cNvGraphicFramePr/>
      </xdr:nvGraphicFramePr>
      <xdr:xfrm>
        <a:off x="0" y="4857840"/>
        <a:ext cx="8217000" cy="471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0</xdr:rowOff>
    </xdr:from>
    <xdr:to>
      <xdr:col>5</xdr:col>
      <xdr:colOff>1114560</xdr:colOff>
      <xdr:row>62</xdr:row>
      <xdr:rowOff>152280</xdr:rowOff>
    </xdr:to>
    <xdr:graphicFrame>
      <xdr:nvGraphicFramePr>
        <xdr:cNvPr id="6" name="Chart 1"/>
        <xdr:cNvGraphicFramePr/>
      </xdr:nvGraphicFramePr>
      <xdr:xfrm>
        <a:off x="0" y="4876920"/>
        <a:ext cx="8226720" cy="472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32</xdr:row>
      <xdr:rowOff>19080</xdr:rowOff>
    </xdr:from>
    <xdr:to>
      <xdr:col>6</xdr:col>
      <xdr:colOff>10800</xdr:colOff>
      <xdr:row>63</xdr:row>
      <xdr:rowOff>9360</xdr:rowOff>
    </xdr:to>
    <xdr:graphicFrame>
      <xdr:nvGraphicFramePr>
        <xdr:cNvPr id="7" name="Chart 1"/>
        <xdr:cNvGraphicFramePr/>
      </xdr:nvGraphicFramePr>
      <xdr:xfrm>
        <a:off x="8640" y="4896000"/>
        <a:ext cx="8246880" cy="471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0</xdr:rowOff>
    </xdr:from>
    <xdr:to>
      <xdr:col>5</xdr:col>
      <xdr:colOff>762840</xdr:colOff>
      <xdr:row>62</xdr:row>
      <xdr:rowOff>152280</xdr:rowOff>
    </xdr:to>
    <xdr:graphicFrame>
      <xdr:nvGraphicFramePr>
        <xdr:cNvPr id="8" name="Chart 1"/>
        <xdr:cNvGraphicFramePr/>
      </xdr:nvGraphicFramePr>
      <xdr:xfrm>
        <a:off x="0" y="4876920"/>
        <a:ext cx="8255880" cy="472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4" createdVersion="3">
  <cacheSource type="worksheet">
    <worksheetSource ref="A1:G85" sheet="Summary"/>
  </cacheSource>
  <cacheFields count="7">
    <cacheField name="FreewayServiceRate" numFmtId="0">
      <sharedItems containsSemiMixedTypes="0" containsString="0" containsNumber="1" minValue="2" maxValue="20" count="12">
        <n v="2"/>
        <n v="2.2"/>
        <n v="2.4"/>
        <n v="2.6"/>
        <n v="2.8"/>
        <n v="3"/>
        <n v="4"/>
        <n v="6"/>
        <n v="8"/>
        <n v="10"/>
        <n v="15"/>
        <n v="20"/>
      </sharedItems>
    </cacheField>
    <cacheField name="PercentInformed" numFmtId="0">
      <sharedItems containsSemiMixedTypes="0" containsString="0" containsNumber="1" minValue="0" maxValue="1" count="7">
        <n v="0"/>
        <n v="0.17"/>
        <n v="0.33"/>
        <n v="0.5"/>
        <n v="0.67"/>
        <n v="0.83"/>
        <n v="1"/>
      </sharedItems>
    </cacheField>
    <cacheField name="TimeInformed" numFmtId="0">
      <sharedItems containsString="0" containsBlank="1" containsNumber="1" minValue="2.79328585311029" maxValue="32.3739940153871" count="51">
        <n v="2.79328585311029"/>
        <n v="2.84252177113151"/>
        <n v="2.91740670002301"/>
        <n v="2.92000412695373"/>
        <n v="2.92057193156245"/>
        <n v="2.92373995064609"/>
        <n v="3.13993290862051"/>
        <n v="3.14575649429239"/>
        <n v="3.15726797645734"/>
        <n v="3.20752055841398"/>
        <n v="3.23105713903725"/>
        <n v="3.27353640667865"/>
        <n v="3.45035660202336"/>
        <n v="3.50519623674313"/>
        <n v="3.5093002656054"/>
        <n v="3.52596480995099"/>
        <n v="3.55911390983423"/>
        <n v="3.57642453242654"/>
        <n v="3.78038073092565"/>
        <n v="3.79252642110224"/>
        <n v="3.80852773623653"/>
        <n v="3.86434964979366"/>
        <n v="3.86838829232134"/>
        <n v="3.9084037160137"/>
        <n v="4.08852432399158"/>
        <n v="4.20267696911248"/>
        <n v="4.22572398593914"/>
        <n v="4.24356762758891"/>
        <n v="4.26659053074955"/>
        <n v="4.34371343097699"/>
        <n v="4.63414981969976"/>
        <n v="4.67133174763471"/>
        <n v="4.6940392988763"/>
        <n v="4.75358742330367"/>
        <n v="4.79803190984886"/>
        <n v="4.88330059177422"/>
        <n v="6.8795608674476"/>
        <n v="7.75495081984661"/>
        <n v="7.84747150008179"/>
        <n v="7.9573246364207"/>
        <n v="8.06874139036631"/>
        <n v="8.56391731795429"/>
        <n v="9.61099183918233"/>
        <n v="11.7457330953673"/>
        <n v="14.89934866161"/>
        <n v="16.2135490311154"/>
        <n v="22.3240977123823"/>
        <n v="24.0707527582358"/>
        <n v="27.1384680119132"/>
        <n v="32.3739940153871"/>
        <m/>
      </sharedItems>
    </cacheField>
    <cacheField name="TimeUninformed" numFmtId="0">
      <sharedItems containsString="0" containsBlank="1" containsNumber="1" minValue="3.33371328626231" maxValue="2166.13407885415" count="55">
        <n v="3.33371328626231"/>
        <n v="3.41046175337227"/>
        <n v="3.44838698651189"/>
        <n v="3.5933603049842"/>
        <n v="3.65120062125664"/>
        <n v="3.66935006414689"/>
        <n v="3.74586591622029"/>
        <n v="3.78857613709279"/>
        <n v="3.95611599698547"/>
        <n v="3.96965997403081"/>
        <n v="4.02418318774969"/>
        <n v="4.1066283993502"/>
        <n v="4.12424242637928"/>
        <n v="4.26313898232271"/>
        <n v="4.38537060811535"/>
        <n v="4.39493071284546"/>
        <n v="4.43248217317164"/>
        <n v="4.57155918243325"/>
        <n v="4.72807627044355"/>
        <n v="4.74167813563806"/>
        <n v="4.80026733107906"/>
        <n v="4.91572629194532"/>
        <n v="4.93036709230235"/>
        <n v="5.1640964706667"/>
        <n v="5.30160726951844"/>
        <n v="5.42106190651573"/>
        <n v="5.51688577085859"/>
        <n v="5.68517669944908"/>
        <n v="5.68890869749916"/>
        <n v="5.83411473022689"/>
        <n v="6.26040777220069"/>
        <n v="6.50095915500266"/>
        <n v="7.64105107128546"/>
        <n v="8.10833111037516"/>
        <n v="9.27890537615558"/>
        <n v="9.28588437989827"/>
        <n v="9.93061861532445"/>
        <n v="14.5515808491853"/>
        <n v="16.3027571127564"/>
        <n v="21.3725297702314"/>
        <n v="29.4841015223764"/>
        <n v="45.6534991074096"/>
        <n v="55.3757957039639"/>
        <n v="129.973376937965"/>
        <n v="142.040927186825"/>
        <n v="152.878010237947"/>
        <n v="258.31627180941"/>
        <n v="321.84638119911"/>
        <n v="385.29792182222"/>
        <n v="462.006114132324"/>
        <n v="638.463913606185"/>
        <n v="879.844675195934"/>
        <n v="1521.30370938622"/>
        <n v="2166.13407885415"/>
        <m/>
      </sharedItems>
    </cacheField>
    <cacheField name="TimeOverall" numFmtId="0">
      <sharedItems containsString="0" containsBlank="1" containsNumber="1" minValue="3.12685870660802" maxValue="238.452731396967" count="43">
        <n v="3.12685870660802"/>
        <n v="3.16551684246736"/>
        <n v="3.18289684326745"/>
        <n v="3.21794103805785"/>
        <n v="3.22224323718346"/>
        <n v="3.43843531128044"/>
        <n v="3.46425452285665"/>
        <n v="3.48846152762877"/>
        <n v="3.56346397524408"/>
        <n v="3.63499946033583"/>
        <n v="3.77507399885034"/>
        <n v="3.84152646588837"/>
        <n v="3.91112644607847"/>
        <n v="3.94528342242924"/>
        <n v="4.08765572188555"/>
        <n v="4.09601736883071"/>
        <n v="4.14841591148265"/>
        <n v="4.31823999322863"/>
        <n v="4.35412635652378"/>
        <n v="4.5334289309143"/>
        <n v="4.57804553912075"/>
        <n v="4.66270675354756"/>
        <n v="4.69506579675501"/>
        <n v="4.70383204912781"/>
        <n v="5.0873246649097"/>
        <n v="5.28423864561165"/>
        <n v="5.31607332003788"/>
        <n v="5.35181806205757"/>
        <n v="5.4772235355385"/>
        <n v="6.37124046503746"/>
        <n v="8.67731288513229"/>
        <n v="8.92141134705494"/>
        <n v="8.94397162587257"/>
        <n v="12.0288539663015"/>
        <n v="28.3112847671448"/>
        <n v="31.1276782857057"/>
        <n v="33.988798409896"/>
        <n v="76.8933301410964"/>
        <n v="88.4743814980912"/>
        <n v="133.963631824296"/>
        <n v="169.029965115113"/>
        <n v="238.452731396967"/>
        <m/>
      </sharedItems>
    </cacheField>
    <cacheField name="Informed%Savings" numFmtId="0">
      <sharedItems containsString="0" containsBlank="1" containsNumber="1" minValue="0.260956970707138" maxValue="0.976663757584269" count="51">
        <n v="0.260956970707138"/>
        <n v="0.26175776094839"/>
        <n v="0.261901286721939"/>
        <n v="0.262557846573243"/>
        <n v="0.281486747785583"/>
        <n v="0.283934369862783"/>
        <n v="0.293226444174022"/>
        <n v="0.293932267092585"/>
        <n v="0.298374924087333"/>
        <n v="0.309367362323666"/>
        <n v="0.311885427103224"/>
        <n v="0.313159300072924"/>
        <n v="0.371333814163913"/>
        <n v="0.374376686446241"/>
        <n v="0.380203656370685"/>
        <n v="0.383132960606647"/>
        <n v="0.383854369418161"/>
        <n v="0.393494115393321"/>
        <n v="0.488499202589914"/>
        <n v="0.493736103026654"/>
        <n v="0.494264648444031"/>
        <n v="0.501570176575745"/>
        <n v="0.503664301452677"/>
        <n v="0.505253832796373"/>
        <n v="0.701495426785868"/>
        <n v="0.706795393918426"/>
        <n v="0.708377552131974"/>
        <n v="0.709603786026057"/>
        <n v="0.711187601356194"/>
        <n v="0.719032291655069"/>
        <n v="0.771515087625429"/>
        <n v="0.775504726795058"/>
        <n v="0.777584241341206"/>
        <n v="0.78037044049814"/>
        <n v="0.781432904861775"/>
        <n v="0.783172611313687"/>
        <n v="0.915976722993267"/>
        <n v="0.929564976931189"/>
        <n v="0.934110219187105"/>
        <n v="0.937920045008775"/>
        <n v="0.938777272516212"/>
        <n v="0.939622469732187"/>
        <n v="0.940334313052834"/>
        <n v="0.942060165788585"/>
        <n v="0.947069461227193"/>
        <n v="0.96229896123294"/>
        <n v="0.969515192192532"/>
        <n v="0.974605379120744"/>
        <n v="0.975055687314045"/>
        <n v="0.976663757584269"/>
        <m/>
      </sharedItems>
    </cacheField>
    <cacheField name="Uninformed%Savings" numFmtId="0">
      <sharedItems containsString="0" containsBlank="1" containsNumber="1" minValue="0" maxValue="0.928609184474876" count="44">
        <n v="0"/>
        <n v="0.0770744275347777"/>
        <n v="0.091694907904038"/>
        <n v="0.0978477447635027"/>
        <n v="0.12834027385963"/>
        <n v="0.13166169011118"/>
        <n v="0.137926755441192"/>
        <n v="0.15732670912517"/>
        <n v="0.166504792435411"/>
        <n v="0.171272647710473"/>
        <n v="0.180615241597612"/>
        <n v="0.197352606032796"/>
        <n v="0.229136756924372"/>
        <n v="0.250622710082027"/>
        <n v="0.276378657764992"/>
        <n v="0.277993862442477"/>
        <n v="0.278134240200504"/>
        <n v="0.292626512090322"/>
        <n v="0.329567440728116"/>
        <n v="0.356668834420139"/>
        <n v="0.381226976978163"/>
        <n v="0.419911981765363"/>
        <n v="0.424826418271002"/>
        <n v="0.495905133649213"/>
        <n v="0.553247222938899"/>
        <n v="0.573945087766748"/>
        <n v="0.620619028372167"/>
        <n v="0.631347798308748"/>
        <n v="0.635667950825064"/>
        <n v="0.645117838110639"/>
        <n v="0.661179967771104"/>
        <n v="0.670120560726032"/>
        <n v="0.707081574361849"/>
        <n v="0.727027413556213"/>
        <n v="0.733996079988264"/>
        <n v="0.746353755741801"/>
        <n v="0.760553404851877"/>
        <n v="0.874568488587185"/>
        <n v="0.881511172207997"/>
        <n v="0.923477133271483"/>
        <n v="0.923594978838903"/>
        <n v="0.928555488834222"/>
        <n v="0.92860918447487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84" createdVersion="3">
  <cacheSource type="worksheet">
    <worksheetSource ref="A1:I85" sheet="Summary"/>
  </cacheSource>
  <cacheFields count="9">
    <cacheField name="FreewayServiceRate" numFmtId="0">
      <sharedItems containsSemiMixedTypes="0" containsString="0" containsNumber="1" minValue="2" maxValue="20" count="12">
        <n v="2"/>
        <n v="2.2"/>
        <n v="2.4"/>
        <n v="2.6"/>
        <n v="2.8"/>
        <n v="3"/>
        <n v="4"/>
        <n v="6"/>
        <n v="8"/>
        <n v="10"/>
        <n v="15"/>
        <n v="20"/>
      </sharedItems>
    </cacheField>
    <cacheField name="PercentInformed" numFmtId="0">
      <sharedItems containsSemiMixedTypes="0" containsString="0" containsNumber="1" minValue="0" maxValue="1" count="7">
        <n v="0"/>
        <n v="0.17"/>
        <n v="0.33"/>
        <n v="0.5"/>
        <n v="0.67"/>
        <n v="0.83"/>
        <n v="1"/>
      </sharedItems>
    </cacheField>
    <cacheField name="TimeInformed" numFmtId="0">
      <sharedItems containsString="0" containsBlank="1" containsNumber="1" minValue="2.79328585311029" maxValue="32.3739940153871" count="51">
        <n v="2.79328585311029"/>
        <n v="2.84252177113151"/>
        <n v="2.91740670002301"/>
        <n v="2.92000412695373"/>
        <n v="2.92057193156245"/>
        <n v="2.92373995064609"/>
        <n v="3.13993290862051"/>
        <n v="3.14575649429239"/>
        <n v="3.15726797645734"/>
        <n v="3.20752055841398"/>
        <n v="3.23105713903725"/>
        <n v="3.27353640667865"/>
        <n v="3.45035660202336"/>
        <n v="3.50519623674313"/>
        <n v="3.5093002656054"/>
        <n v="3.52596480995099"/>
        <n v="3.55911390983423"/>
        <n v="3.57642453242654"/>
        <n v="3.78038073092565"/>
        <n v="3.79252642110224"/>
        <n v="3.80852773623653"/>
        <n v="3.86434964979366"/>
        <n v="3.86838829232134"/>
        <n v="3.9084037160137"/>
        <n v="4.08852432399158"/>
        <n v="4.20267696911248"/>
        <n v="4.22572398593914"/>
        <n v="4.24356762758891"/>
        <n v="4.26659053074955"/>
        <n v="4.34371343097699"/>
        <n v="4.63414981969976"/>
        <n v="4.67133174763471"/>
        <n v="4.6940392988763"/>
        <n v="4.75358742330367"/>
        <n v="4.79803190984886"/>
        <n v="4.88330059177422"/>
        <n v="6.8795608674476"/>
        <n v="7.75495081984661"/>
        <n v="7.84747150008179"/>
        <n v="7.9573246364207"/>
        <n v="8.06874139036631"/>
        <n v="8.56391731795429"/>
        <n v="9.61099183918233"/>
        <n v="11.7457330953673"/>
        <n v="14.89934866161"/>
        <n v="16.2135490311154"/>
        <n v="22.3240977123823"/>
        <n v="24.0707527582358"/>
        <n v="27.1384680119132"/>
        <n v="32.3739940153871"/>
        <m/>
      </sharedItems>
    </cacheField>
    <cacheField name="TimeUninformed" numFmtId="0">
      <sharedItems containsString="0" containsBlank="1" containsNumber="1" minValue="3.33371328626231" maxValue="2166.13407885415" count="55">
        <n v="3.33371328626231"/>
        <n v="3.41046175337227"/>
        <n v="3.44838698651189"/>
        <n v="3.5933603049842"/>
        <n v="3.65120062125664"/>
        <n v="3.66935006414689"/>
        <n v="3.74586591622029"/>
        <n v="3.78857613709279"/>
        <n v="3.95611599698547"/>
        <n v="3.96965997403081"/>
        <n v="4.02418318774969"/>
        <n v="4.1066283993502"/>
        <n v="4.12424242637928"/>
        <n v="4.26313898232271"/>
        <n v="4.38537060811535"/>
        <n v="4.39493071284546"/>
        <n v="4.43248217317164"/>
        <n v="4.57155918243325"/>
        <n v="4.72807627044355"/>
        <n v="4.74167813563806"/>
        <n v="4.80026733107906"/>
        <n v="4.91572629194532"/>
        <n v="4.93036709230235"/>
        <n v="5.1640964706667"/>
        <n v="5.30160726951844"/>
        <n v="5.42106190651573"/>
        <n v="5.51688577085859"/>
        <n v="5.68517669944908"/>
        <n v="5.68890869749916"/>
        <n v="5.83411473022689"/>
        <n v="6.26040777220069"/>
        <n v="6.50095915500266"/>
        <n v="7.64105107128546"/>
        <n v="8.10833111037516"/>
        <n v="9.27890537615558"/>
        <n v="9.28588437989827"/>
        <n v="9.93061861532445"/>
        <n v="14.5515808491853"/>
        <n v="16.3027571127564"/>
        <n v="21.3725297702314"/>
        <n v="29.4841015223764"/>
        <n v="45.6534991074096"/>
        <n v="55.3757957039639"/>
        <n v="129.973376937965"/>
        <n v="142.040927186825"/>
        <n v="152.878010237947"/>
        <n v="258.31627180941"/>
        <n v="321.84638119911"/>
        <n v="385.29792182222"/>
        <n v="462.006114132324"/>
        <n v="638.463913606185"/>
        <n v="879.844675195934"/>
        <n v="1521.30370938622"/>
        <n v="2166.13407885415"/>
        <m/>
      </sharedItems>
    </cacheField>
    <cacheField name="TimeOverall" numFmtId="0">
      <sharedItems containsString="0" containsBlank="1" containsNumber="1" minValue="3.12685870660802" maxValue="238.452731396967" count="43">
        <n v="3.12685870660802"/>
        <n v="3.16551684246736"/>
        <n v="3.18289684326745"/>
        <n v="3.21794103805785"/>
        <n v="3.22224323718346"/>
        <n v="3.43843531128044"/>
        <n v="3.46425452285665"/>
        <n v="3.48846152762877"/>
        <n v="3.56346397524408"/>
        <n v="3.63499946033583"/>
        <n v="3.77507399885034"/>
        <n v="3.84152646588837"/>
        <n v="3.91112644607847"/>
        <n v="3.94528342242924"/>
        <n v="4.08765572188555"/>
        <n v="4.09601736883071"/>
        <n v="4.14841591148265"/>
        <n v="4.31823999322863"/>
        <n v="4.35412635652378"/>
        <n v="4.5334289309143"/>
        <n v="4.57804553912075"/>
        <n v="4.66270675354756"/>
        <n v="4.69506579675501"/>
        <n v="4.70383204912781"/>
        <n v="5.0873246649097"/>
        <n v="5.28423864561165"/>
        <n v="5.31607332003788"/>
        <n v="5.35181806205757"/>
        <n v="5.4772235355385"/>
        <n v="6.37124046503746"/>
        <n v="8.67731288513229"/>
        <n v="8.92141134705494"/>
        <n v="8.94397162587257"/>
        <n v="12.0288539663015"/>
        <n v="28.3112847671448"/>
        <n v="31.1276782857057"/>
        <n v="33.988798409896"/>
        <n v="76.8933301410964"/>
        <n v="88.4743814980912"/>
        <n v="133.963631824296"/>
        <n v="169.029965115113"/>
        <n v="238.452731396967"/>
        <m/>
      </sharedItems>
    </cacheField>
    <cacheField name="Informed%Savings" numFmtId="0">
      <sharedItems containsString="0" containsBlank="1" containsNumber="1" minValue="0.260956970707138" maxValue="0.976663757584269" count="51">
        <n v="0.260956970707138"/>
        <n v="0.26175776094839"/>
        <n v="0.261901286721939"/>
        <n v="0.262557846573243"/>
        <n v="0.281486747785583"/>
        <n v="0.283934369862783"/>
        <n v="0.293226444174022"/>
        <n v="0.293932267092585"/>
        <n v="0.298374924087333"/>
        <n v="0.309367362323666"/>
        <n v="0.311885427103224"/>
        <n v="0.313159300072924"/>
        <n v="0.371333814163913"/>
        <n v="0.374376686446241"/>
        <n v="0.380203656370685"/>
        <n v="0.383132960606647"/>
        <n v="0.383854369418161"/>
        <n v="0.393494115393321"/>
        <n v="0.488499202589914"/>
        <n v="0.493736103026654"/>
        <n v="0.494264648444031"/>
        <n v="0.501570176575745"/>
        <n v="0.503664301452677"/>
        <n v="0.505253832796373"/>
        <n v="0.701495426785868"/>
        <n v="0.706795393918426"/>
        <n v="0.708377552131974"/>
        <n v="0.709603786026057"/>
        <n v="0.711187601356194"/>
        <n v="0.719032291655069"/>
        <n v="0.771515087625429"/>
        <n v="0.775504726795058"/>
        <n v="0.777584241341206"/>
        <n v="0.78037044049814"/>
        <n v="0.781432904861775"/>
        <n v="0.783172611313687"/>
        <n v="0.915976722993267"/>
        <n v="0.929564976931189"/>
        <n v="0.934110219187105"/>
        <n v="0.937920045008775"/>
        <n v="0.938777272516212"/>
        <n v="0.939622469732187"/>
        <n v="0.940334313052834"/>
        <n v="0.942060165788585"/>
        <n v="0.947069461227193"/>
        <n v="0.96229896123294"/>
        <n v="0.969515192192532"/>
        <n v="0.974605379120744"/>
        <n v="0.975055687314045"/>
        <n v="0.976663757584269"/>
        <m/>
      </sharedItems>
    </cacheField>
    <cacheField name="Uninformed%Savings" numFmtId="0">
      <sharedItems containsString="0" containsBlank="1" containsNumber="1" minValue="0" maxValue="0.928609184474876" count="44">
        <n v="0"/>
        <n v="0.0770744275347777"/>
        <n v="0.091694907904038"/>
        <n v="0.0978477447635027"/>
        <n v="0.12834027385963"/>
        <n v="0.13166169011118"/>
        <n v="0.137926755441192"/>
        <n v="0.15732670912517"/>
        <n v="0.166504792435411"/>
        <n v="0.171272647710473"/>
        <n v="0.180615241597612"/>
        <n v="0.197352606032796"/>
        <n v="0.229136756924372"/>
        <n v="0.250622710082027"/>
        <n v="0.276378657764992"/>
        <n v="0.277993862442477"/>
        <n v="0.278134240200504"/>
        <n v="0.292626512090322"/>
        <n v="0.329567440728116"/>
        <n v="0.356668834420139"/>
        <n v="0.381226976978163"/>
        <n v="0.419911981765363"/>
        <n v="0.424826418271002"/>
        <n v="0.495905133649213"/>
        <n v="0.553247222938899"/>
        <n v="0.573945087766748"/>
        <n v="0.620619028372167"/>
        <n v="0.631347798308748"/>
        <n v="0.635667950825064"/>
        <n v="0.645117838110639"/>
        <n v="0.661179967771104"/>
        <n v="0.670120560726032"/>
        <n v="0.707081574361849"/>
        <n v="0.727027413556213"/>
        <n v="0.733996079988264"/>
        <n v="0.746353755741801"/>
        <n v="0.760553404851877"/>
        <n v="0.874568488587185"/>
        <n v="0.881511172207997"/>
        <n v="0.923477133271483"/>
        <n v="0.923594978838903"/>
        <n v="0.928555488834222"/>
        <n v="0.928609184474876"/>
        <m/>
      </sharedItems>
    </cacheField>
    <cacheField name="StdDevFwyInformed" numFmtId="0">
      <sharedItems containsString="0" containsBlank="1" containsNumber="1" minValue="1.22793992045723" maxValue="16.4251586162617" count="46">
        <n v="1.22793992045723"/>
        <n v="1.24173577380423"/>
        <n v="1.30881209230649"/>
        <n v="1.31505091923803"/>
        <n v="1.32586309612108"/>
        <n v="1.36086926624757"/>
        <n v="1.44611306765114"/>
        <n v="1.46216972546841"/>
        <n v="1.47018934264755"/>
        <n v="1.55585768306818"/>
        <n v="1.55860457025862"/>
        <n v="1.56322189983466"/>
        <n v="1.72602570678709"/>
        <n v="1.77519599403783"/>
        <n v="1.8167543556821"/>
        <n v="1.83606159640181"/>
        <n v="1.83843117475279"/>
        <n v="1.8746899377511"/>
        <n v="1.87549089054891"/>
        <n v="1.92338260312389"/>
        <n v="1.9379705347123"/>
        <n v="1.94110129225596"/>
        <n v="1.99473246929086"/>
        <n v="2.02091918521437"/>
        <n v="2.02784234395112"/>
        <n v="2.0745192555021"/>
        <n v="2.14679997800425"/>
        <n v="2.17818377951191"/>
        <n v="2.20873293598992"/>
        <n v="2.21283188090949"/>
        <n v="2.43144206212981"/>
        <n v="2.53025094124135"/>
        <n v="2.56404343411676"/>
        <n v="2.67811596938685"/>
        <n v="2.69969560458511"/>
        <n v="2.78718950028916"/>
        <n v="4.36972903993878"/>
        <n v="4.4520790547309"/>
        <n v="4.65057468189539"/>
        <n v="4.88729432346832"/>
        <n v="5.23044530207488"/>
        <n v="8.36818850689624"/>
        <n v="12.301300803113"/>
        <n v="14.8761002793728"/>
        <n v="16.4251586162617"/>
        <m/>
      </sharedItems>
    </cacheField>
    <cacheField name="StdDevFreewayUninformed" numFmtId="0">
      <sharedItems containsString="0" containsBlank="1" containsNumber="1" minValue="1.51854197644907" maxValue="2489.32187960146" count="55">
        <n v="1.51854197644907"/>
        <n v="1.5902882256377"/>
        <n v="1.63705576569104"/>
        <n v="1.69875540570397"/>
        <n v="1.80071275721852"/>
        <n v="1.84187114228879"/>
        <n v="1.85036889312503"/>
        <n v="1.9867851339394"/>
        <n v="2.04073102570719"/>
        <n v="2.10314178949302"/>
        <n v="2.15809351251056"/>
        <n v="2.18664119683528"/>
        <n v="2.26694362197158"/>
        <n v="2.29150600809731"/>
        <n v="2.35253013495711"/>
        <n v="2.51629250943811"/>
        <n v="2.54585921317425"/>
        <n v="2.55641396091661"/>
        <n v="2.63684499250904"/>
        <n v="2.6999638187093"/>
        <n v="2.85601671977382"/>
        <n v="3.02136823173335"/>
        <n v="3.25762880298122"/>
        <n v="3.27321164918268"/>
        <n v="3.4124427099001"/>
        <n v="3.41741257951589"/>
        <n v="3.42336064563289"/>
        <n v="3.45414838057836"/>
        <n v="4.31947340183875"/>
        <n v="4.37325975007663"/>
        <n v="5.23546186696258"/>
        <n v="5.37692158236399"/>
        <n v="5.41496630013623"/>
        <n v="5.5235374853379"/>
        <n v="6.6255057835377"/>
        <n v="7.77501444110654"/>
        <n v="8.09853378826149"/>
        <n v="15.2103516625166"/>
        <n v="15.5052340392267"/>
        <n v="16.0617034852579"/>
        <n v="21.698282453438"/>
        <n v="31.8423258764905"/>
        <n v="54.5608648766399"/>
        <n v="147.651355335252"/>
        <n v="150.103717083293"/>
        <n v="150.206229248756"/>
        <n v="286.79615150423"/>
        <n v="354.044365626201"/>
        <n v="438.922155081972"/>
        <n v="525.421052082199"/>
        <n v="734.012775204431"/>
        <n v="1006.53363333793"/>
        <n v="1751.04350182761"/>
        <n v="2489.32187960146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">
  <r>
    <x v="11"/>
    <x v="6"/>
    <x v="50"/>
    <x v="54"/>
    <x v="42"/>
    <x v="50"/>
    <x v="43"/>
  </r>
  <r>
    <x v="11"/>
    <x v="5"/>
    <x v="50"/>
    <x v="54"/>
    <x v="42"/>
    <x v="50"/>
    <x v="43"/>
  </r>
  <r>
    <x v="11"/>
    <x v="4"/>
    <x v="50"/>
    <x v="54"/>
    <x v="42"/>
    <x v="50"/>
    <x v="43"/>
  </r>
  <r>
    <x v="11"/>
    <x v="3"/>
    <x v="50"/>
    <x v="54"/>
    <x v="42"/>
    <x v="50"/>
    <x v="43"/>
  </r>
  <r>
    <x v="11"/>
    <x v="2"/>
    <x v="50"/>
    <x v="54"/>
    <x v="42"/>
    <x v="50"/>
    <x v="43"/>
  </r>
  <r>
    <x v="11"/>
    <x v="1"/>
    <x v="50"/>
    <x v="54"/>
    <x v="42"/>
    <x v="50"/>
    <x v="43"/>
  </r>
  <r>
    <x v="11"/>
    <x v="0"/>
    <x v="50"/>
    <x v="53"/>
    <x v="42"/>
    <x v="50"/>
    <x v="0"/>
  </r>
  <r>
    <x v="10"/>
    <x v="6"/>
    <x v="50"/>
    <x v="54"/>
    <x v="42"/>
    <x v="50"/>
    <x v="43"/>
  </r>
  <r>
    <x v="10"/>
    <x v="5"/>
    <x v="50"/>
    <x v="54"/>
    <x v="42"/>
    <x v="50"/>
    <x v="43"/>
  </r>
  <r>
    <x v="10"/>
    <x v="4"/>
    <x v="50"/>
    <x v="54"/>
    <x v="42"/>
    <x v="50"/>
    <x v="43"/>
  </r>
  <r>
    <x v="10"/>
    <x v="3"/>
    <x v="50"/>
    <x v="54"/>
    <x v="42"/>
    <x v="50"/>
    <x v="43"/>
  </r>
  <r>
    <x v="10"/>
    <x v="2"/>
    <x v="50"/>
    <x v="54"/>
    <x v="42"/>
    <x v="50"/>
    <x v="43"/>
  </r>
  <r>
    <x v="10"/>
    <x v="1"/>
    <x v="50"/>
    <x v="54"/>
    <x v="42"/>
    <x v="50"/>
    <x v="43"/>
  </r>
  <r>
    <x v="10"/>
    <x v="0"/>
    <x v="50"/>
    <x v="52"/>
    <x v="42"/>
    <x v="50"/>
    <x v="0"/>
  </r>
  <r>
    <x v="9"/>
    <x v="6"/>
    <x v="50"/>
    <x v="54"/>
    <x v="42"/>
    <x v="50"/>
    <x v="43"/>
  </r>
  <r>
    <x v="9"/>
    <x v="5"/>
    <x v="50"/>
    <x v="54"/>
    <x v="42"/>
    <x v="50"/>
    <x v="43"/>
  </r>
  <r>
    <x v="9"/>
    <x v="4"/>
    <x v="50"/>
    <x v="54"/>
    <x v="42"/>
    <x v="50"/>
    <x v="43"/>
  </r>
  <r>
    <x v="9"/>
    <x v="3"/>
    <x v="50"/>
    <x v="54"/>
    <x v="42"/>
    <x v="50"/>
    <x v="43"/>
  </r>
  <r>
    <x v="9"/>
    <x v="2"/>
    <x v="50"/>
    <x v="54"/>
    <x v="42"/>
    <x v="50"/>
    <x v="43"/>
  </r>
  <r>
    <x v="9"/>
    <x v="1"/>
    <x v="50"/>
    <x v="54"/>
    <x v="42"/>
    <x v="50"/>
    <x v="43"/>
  </r>
  <r>
    <x v="9"/>
    <x v="0"/>
    <x v="50"/>
    <x v="51"/>
    <x v="42"/>
    <x v="50"/>
    <x v="0"/>
  </r>
  <r>
    <x v="8"/>
    <x v="6"/>
    <x v="50"/>
    <x v="54"/>
    <x v="42"/>
    <x v="50"/>
    <x v="43"/>
  </r>
  <r>
    <x v="8"/>
    <x v="5"/>
    <x v="50"/>
    <x v="54"/>
    <x v="42"/>
    <x v="50"/>
    <x v="43"/>
  </r>
  <r>
    <x v="8"/>
    <x v="4"/>
    <x v="50"/>
    <x v="54"/>
    <x v="42"/>
    <x v="50"/>
    <x v="43"/>
  </r>
  <r>
    <x v="8"/>
    <x v="3"/>
    <x v="47"/>
    <x v="45"/>
    <x v="38"/>
    <x v="45"/>
    <x v="36"/>
  </r>
  <r>
    <x v="8"/>
    <x v="2"/>
    <x v="45"/>
    <x v="47"/>
    <x v="40"/>
    <x v="47"/>
    <x v="23"/>
  </r>
  <r>
    <x v="8"/>
    <x v="1"/>
    <x v="44"/>
    <x v="49"/>
    <x v="41"/>
    <x v="49"/>
    <x v="14"/>
  </r>
  <r>
    <x v="8"/>
    <x v="0"/>
    <x v="50"/>
    <x v="50"/>
    <x v="42"/>
    <x v="50"/>
    <x v="0"/>
  </r>
  <r>
    <x v="7"/>
    <x v="6"/>
    <x v="49"/>
    <x v="54"/>
    <x v="42"/>
    <x v="36"/>
    <x v="43"/>
  </r>
  <r>
    <x v="7"/>
    <x v="5"/>
    <x v="50"/>
    <x v="54"/>
    <x v="42"/>
    <x v="50"/>
    <x v="43"/>
  </r>
  <r>
    <x v="7"/>
    <x v="4"/>
    <x v="48"/>
    <x v="40"/>
    <x v="34"/>
    <x v="37"/>
    <x v="39"/>
  </r>
  <r>
    <x v="7"/>
    <x v="3"/>
    <x v="46"/>
    <x v="41"/>
    <x v="36"/>
    <x v="43"/>
    <x v="38"/>
  </r>
  <r>
    <x v="7"/>
    <x v="2"/>
    <x v="43"/>
    <x v="44"/>
    <x v="37"/>
    <x v="46"/>
    <x v="27"/>
  </r>
  <r>
    <x v="7"/>
    <x v="1"/>
    <x v="42"/>
    <x v="46"/>
    <x v="39"/>
    <x v="48"/>
    <x v="18"/>
  </r>
  <r>
    <x v="7"/>
    <x v="0"/>
    <x v="50"/>
    <x v="48"/>
    <x v="42"/>
    <x v="50"/>
    <x v="0"/>
  </r>
  <r>
    <x v="6"/>
    <x v="6"/>
    <x v="38"/>
    <x v="54"/>
    <x v="42"/>
    <x v="41"/>
    <x v="43"/>
  </r>
  <r>
    <x v="6"/>
    <x v="5"/>
    <x v="41"/>
    <x v="34"/>
    <x v="31"/>
    <x v="38"/>
    <x v="42"/>
  </r>
  <r>
    <x v="6"/>
    <x v="4"/>
    <x v="40"/>
    <x v="35"/>
    <x v="30"/>
    <x v="39"/>
    <x v="41"/>
  </r>
  <r>
    <x v="6"/>
    <x v="3"/>
    <x v="39"/>
    <x v="36"/>
    <x v="32"/>
    <x v="40"/>
    <x v="40"/>
  </r>
  <r>
    <x v="6"/>
    <x v="2"/>
    <x v="37"/>
    <x v="38"/>
    <x v="33"/>
    <x v="42"/>
    <x v="37"/>
  </r>
  <r>
    <x v="6"/>
    <x v="1"/>
    <x v="36"/>
    <x v="42"/>
    <x v="35"/>
    <x v="44"/>
    <x v="25"/>
  </r>
  <r>
    <x v="6"/>
    <x v="0"/>
    <x v="50"/>
    <x v="43"/>
    <x v="42"/>
    <x v="50"/>
    <x v="0"/>
  </r>
  <r>
    <x v="5"/>
    <x v="6"/>
    <x v="31"/>
    <x v="54"/>
    <x v="42"/>
    <x v="34"/>
    <x v="43"/>
  </r>
  <r>
    <x v="5"/>
    <x v="5"/>
    <x v="33"/>
    <x v="25"/>
    <x v="24"/>
    <x v="32"/>
    <x v="35"/>
  </r>
  <r>
    <x v="5"/>
    <x v="4"/>
    <x v="35"/>
    <x v="27"/>
    <x v="25"/>
    <x v="30"/>
    <x v="34"/>
  </r>
  <r>
    <x v="5"/>
    <x v="3"/>
    <x v="34"/>
    <x v="29"/>
    <x v="26"/>
    <x v="31"/>
    <x v="33"/>
  </r>
  <r>
    <x v="5"/>
    <x v="2"/>
    <x v="32"/>
    <x v="30"/>
    <x v="28"/>
    <x v="33"/>
    <x v="32"/>
  </r>
  <r>
    <x v="5"/>
    <x v="1"/>
    <x v="30"/>
    <x v="33"/>
    <x v="29"/>
    <x v="35"/>
    <x v="26"/>
  </r>
  <r>
    <x v="5"/>
    <x v="0"/>
    <x v="50"/>
    <x v="39"/>
    <x v="42"/>
    <x v="50"/>
    <x v="0"/>
  </r>
  <r>
    <x v="4"/>
    <x v="6"/>
    <x v="29"/>
    <x v="54"/>
    <x v="42"/>
    <x v="24"/>
    <x v="43"/>
  </r>
  <r>
    <x v="4"/>
    <x v="5"/>
    <x v="28"/>
    <x v="20"/>
    <x v="19"/>
    <x v="25"/>
    <x v="31"/>
  </r>
  <r>
    <x v="4"/>
    <x v="4"/>
    <x v="26"/>
    <x v="22"/>
    <x v="20"/>
    <x v="27"/>
    <x v="30"/>
  </r>
  <r>
    <x v="4"/>
    <x v="3"/>
    <x v="27"/>
    <x v="23"/>
    <x v="23"/>
    <x v="26"/>
    <x v="29"/>
  </r>
  <r>
    <x v="4"/>
    <x v="2"/>
    <x v="24"/>
    <x v="24"/>
    <x v="22"/>
    <x v="29"/>
    <x v="28"/>
  </r>
  <r>
    <x v="4"/>
    <x v="1"/>
    <x v="25"/>
    <x v="31"/>
    <x v="27"/>
    <x v="28"/>
    <x v="24"/>
  </r>
  <r>
    <x v="4"/>
    <x v="0"/>
    <x v="50"/>
    <x v="37"/>
    <x v="42"/>
    <x v="50"/>
    <x v="0"/>
  </r>
  <r>
    <x v="3"/>
    <x v="6"/>
    <x v="22"/>
    <x v="54"/>
    <x v="42"/>
    <x v="19"/>
    <x v="43"/>
  </r>
  <r>
    <x v="3"/>
    <x v="5"/>
    <x v="18"/>
    <x v="15"/>
    <x v="14"/>
    <x v="23"/>
    <x v="22"/>
  </r>
  <r>
    <x v="3"/>
    <x v="4"/>
    <x v="21"/>
    <x v="16"/>
    <x v="16"/>
    <x v="20"/>
    <x v="21"/>
  </r>
  <r>
    <x v="3"/>
    <x v="3"/>
    <x v="23"/>
    <x v="18"/>
    <x v="17"/>
    <x v="18"/>
    <x v="20"/>
  </r>
  <r>
    <x v="3"/>
    <x v="2"/>
    <x v="19"/>
    <x v="21"/>
    <x v="18"/>
    <x v="22"/>
    <x v="19"/>
  </r>
  <r>
    <x v="3"/>
    <x v="1"/>
    <x v="20"/>
    <x v="26"/>
    <x v="21"/>
    <x v="21"/>
    <x v="15"/>
  </r>
  <r>
    <x v="3"/>
    <x v="0"/>
    <x v="50"/>
    <x v="32"/>
    <x v="42"/>
    <x v="50"/>
    <x v="0"/>
  </r>
  <r>
    <x v="2"/>
    <x v="6"/>
    <x v="14"/>
    <x v="54"/>
    <x v="42"/>
    <x v="15"/>
    <x v="43"/>
  </r>
  <r>
    <x v="2"/>
    <x v="5"/>
    <x v="15"/>
    <x v="10"/>
    <x v="10"/>
    <x v="14"/>
    <x v="17"/>
  </r>
  <r>
    <x v="2"/>
    <x v="4"/>
    <x v="17"/>
    <x v="11"/>
    <x v="11"/>
    <x v="12"/>
    <x v="16"/>
  </r>
  <r>
    <x v="2"/>
    <x v="3"/>
    <x v="16"/>
    <x v="13"/>
    <x v="12"/>
    <x v="13"/>
    <x v="13"/>
  </r>
  <r>
    <x v="2"/>
    <x v="2"/>
    <x v="13"/>
    <x v="14"/>
    <x v="13"/>
    <x v="16"/>
    <x v="12"/>
  </r>
  <r>
    <x v="2"/>
    <x v="1"/>
    <x v="12"/>
    <x v="19"/>
    <x v="15"/>
    <x v="17"/>
    <x v="8"/>
  </r>
  <r>
    <x v="2"/>
    <x v="0"/>
    <x v="50"/>
    <x v="28"/>
    <x v="42"/>
    <x v="50"/>
    <x v="0"/>
  </r>
  <r>
    <x v="1"/>
    <x v="6"/>
    <x v="11"/>
    <x v="54"/>
    <x v="42"/>
    <x v="5"/>
    <x v="43"/>
  </r>
  <r>
    <x v="1"/>
    <x v="5"/>
    <x v="9"/>
    <x v="5"/>
    <x v="5"/>
    <x v="8"/>
    <x v="11"/>
  </r>
  <r>
    <x v="1"/>
    <x v="4"/>
    <x v="10"/>
    <x v="6"/>
    <x v="7"/>
    <x v="6"/>
    <x v="10"/>
  </r>
  <r>
    <x v="1"/>
    <x v="3"/>
    <x v="6"/>
    <x v="7"/>
    <x v="6"/>
    <x v="11"/>
    <x v="9"/>
  </r>
  <r>
    <x v="1"/>
    <x v="2"/>
    <x v="8"/>
    <x v="9"/>
    <x v="8"/>
    <x v="9"/>
    <x v="5"/>
  </r>
  <r>
    <x v="1"/>
    <x v="1"/>
    <x v="7"/>
    <x v="12"/>
    <x v="9"/>
    <x v="10"/>
    <x v="3"/>
  </r>
  <r>
    <x v="1"/>
    <x v="0"/>
    <x v="50"/>
    <x v="17"/>
    <x v="42"/>
    <x v="50"/>
    <x v="0"/>
  </r>
  <r>
    <x v="0"/>
    <x v="6"/>
    <x v="5"/>
    <x v="54"/>
    <x v="42"/>
    <x v="0"/>
    <x v="43"/>
  </r>
  <r>
    <x v="0"/>
    <x v="5"/>
    <x v="3"/>
    <x v="0"/>
    <x v="0"/>
    <x v="2"/>
    <x v="7"/>
  </r>
  <r>
    <x v="0"/>
    <x v="4"/>
    <x v="4"/>
    <x v="1"/>
    <x v="1"/>
    <x v="1"/>
    <x v="6"/>
  </r>
  <r>
    <x v="0"/>
    <x v="3"/>
    <x v="2"/>
    <x v="2"/>
    <x v="2"/>
    <x v="3"/>
    <x v="4"/>
  </r>
  <r>
    <x v="0"/>
    <x v="2"/>
    <x v="1"/>
    <x v="3"/>
    <x v="3"/>
    <x v="4"/>
    <x v="2"/>
  </r>
  <r>
    <x v="0"/>
    <x v="1"/>
    <x v="0"/>
    <x v="4"/>
    <x v="4"/>
    <x v="7"/>
    <x v="1"/>
  </r>
  <r>
    <x v="0"/>
    <x v="0"/>
    <x v="50"/>
    <x v="8"/>
    <x v="42"/>
    <x v="5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4">
  <r>
    <x v="11"/>
    <x v="6"/>
    <x v="50"/>
    <x v="54"/>
    <x v="42"/>
    <x v="50"/>
    <x v="43"/>
    <x v="45"/>
    <x v="54"/>
  </r>
  <r>
    <x v="11"/>
    <x v="5"/>
    <x v="50"/>
    <x v="54"/>
    <x v="42"/>
    <x v="50"/>
    <x v="43"/>
    <x v="45"/>
    <x v="54"/>
  </r>
  <r>
    <x v="11"/>
    <x v="4"/>
    <x v="50"/>
    <x v="54"/>
    <x v="42"/>
    <x v="50"/>
    <x v="43"/>
    <x v="45"/>
    <x v="54"/>
  </r>
  <r>
    <x v="11"/>
    <x v="3"/>
    <x v="50"/>
    <x v="54"/>
    <x v="42"/>
    <x v="50"/>
    <x v="43"/>
    <x v="45"/>
    <x v="54"/>
  </r>
  <r>
    <x v="11"/>
    <x v="2"/>
    <x v="50"/>
    <x v="54"/>
    <x v="42"/>
    <x v="50"/>
    <x v="43"/>
    <x v="45"/>
    <x v="54"/>
  </r>
  <r>
    <x v="11"/>
    <x v="1"/>
    <x v="50"/>
    <x v="54"/>
    <x v="42"/>
    <x v="50"/>
    <x v="43"/>
    <x v="45"/>
    <x v="54"/>
  </r>
  <r>
    <x v="11"/>
    <x v="0"/>
    <x v="50"/>
    <x v="53"/>
    <x v="42"/>
    <x v="50"/>
    <x v="0"/>
    <x v="45"/>
    <x v="53"/>
  </r>
  <r>
    <x v="10"/>
    <x v="6"/>
    <x v="50"/>
    <x v="54"/>
    <x v="42"/>
    <x v="50"/>
    <x v="43"/>
    <x v="45"/>
    <x v="54"/>
  </r>
  <r>
    <x v="10"/>
    <x v="5"/>
    <x v="50"/>
    <x v="54"/>
    <x v="42"/>
    <x v="50"/>
    <x v="43"/>
    <x v="45"/>
    <x v="54"/>
  </r>
  <r>
    <x v="10"/>
    <x v="4"/>
    <x v="50"/>
    <x v="54"/>
    <x v="42"/>
    <x v="50"/>
    <x v="43"/>
    <x v="45"/>
    <x v="54"/>
  </r>
  <r>
    <x v="10"/>
    <x v="3"/>
    <x v="50"/>
    <x v="54"/>
    <x v="42"/>
    <x v="50"/>
    <x v="43"/>
    <x v="45"/>
    <x v="54"/>
  </r>
  <r>
    <x v="10"/>
    <x v="2"/>
    <x v="50"/>
    <x v="54"/>
    <x v="42"/>
    <x v="50"/>
    <x v="43"/>
    <x v="45"/>
    <x v="54"/>
  </r>
  <r>
    <x v="10"/>
    <x v="1"/>
    <x v="50"/>
    <x v="54"/>
    <x v="42"/>
    <x v="50"/>
    <x v="43"/>
    <x v="45"/>
    <x v="54"/>
  </r>
  <r>
    <x v="10"/>
    <x v="0"/>
    <x v="50"/>
    <x v="52"/>
    <x v="42"/>
    <x v="50"/>
    <x v="0"/>
    <x v="45"/>
    <x v="52"/>
  </r>
  <r>
    <x v="9"/>
    <x v="6"/>
    <x v="50"/>
    <x v="54"/>
    <x v="42"/>
    <x v="50"/>
    <x v="43"/>
    <x v="45"/>
    <x v="54"/>
  </r>
  <r>
    <x v="9"/>
    <x v="5"/>
    <x v="50"/>
    <x v="54"/>
    <x v="42"/>
    <x v="50"/>
    <x v="43"/>
    <x v="45"/>
    <x v="54"/>
  </r>
  <r>
    <x v="9"/>
    <x v="4"/>
    <x v="50"/>
    <x v="54"/>
    <x v="42"/>
    <x v="50"/>
    <x v="43"/>
    <x v="45"/>
    <x v="54"/>
  </r>
  <r>
    <x v="9"/>
    <x v="3"/>
    <x v="50"/>
    <x v="54"/>
    <x v="42"/>
    <x v="50"/>
    <x v="43"/>
    <x v="45"/>
    <x v="54"/>
  </r>
  <r>
    <x v="9"/>
    <x v="2"/>
    <x v="50"/>
    <x v="54"/>
    <x v="42"/>
    <x v="50"/>
    <x v="43"/>
    <x v="45"/>
    <x v="54"/>
  </r>
  <r>
    <x v="9"/>
    <x v="1"/>
    <x v="50"/>
    <x v="54"/>
    <x v="42"/>
    <x v="50"/>
    <x v="43"/>
    <x v="45"/>
    <x v="54"/>
  </r>
  <r>
    <x v="9"/>
    <x v="0"/>
    <x v="50"/>
    <x v="51"/>
    <x v="42"/>
    <x v="50"/>
    <x v="0"/>
    <x v="45"/>
    <x v="51"/>
  </r>
  <r>
    <x v="8"/>
    <x v="6"/>
    <x v="50"/>
    <x v="54"/>
    <x v="42"/>
    <x v="50"/>
    <x v="43"/>
    <x v="45"/>
    <x v="54"/>
  </r>
  <r>
    <x v="8"/>
    <x v="5"/>
    <x v="50"/>
    <x v="54"/>
    <x v="42"/>
    <x v="50"/>
    <x v="43"/>
    <x v="45"/>
    <x v="54"/>
  </r>
  <r>
    <x v="8"/>
    <x v="4"/>
    <x v="50"/>
    <x v="54"/>
    <x v="42"/>
    <x v="50"/>
    <x v="43"/>
    <x v="45"/>
    <x v="54"/>
  </r>
  <r>
    <x v="8"/>
    <x v="3"/>
    <x v="47"/>
    <x v="45"/>
    <x v="38"/>
    <x v="45"/>
    <x v="36"/>
    <x v="41"/>
    <x v="45"/>
  </r>
  <r>
    <x v="8"/>
    <x v="2"/>
    <x v="45"/>
    <x v="47"/>
    <x v="40"/>
    <x v="47"/>
    <x v="23"/>
    <x v="45"/>
    <x v="47"/>
  </r>
  <r>
    <x v="8"/>
    <x v="1"/>
    <x v="44"/>
    <x v="49"/>
    <x v="41"/>
    <x v="49"/>
    <x v="14"/>
    <x v="45"/>
    <x v="49"/>
  </r>
  <r>
    <x v="8"/>
    <x v="0"/>
    <x v="50"/>
    <x v="50"/>
    <x v="42"/>
    <x v="50"/>
    <x v="0"/>
    <x v="45"/>
    <x v="50"/>
  </r>
  <r>
    <x v="7"/>
    <x v="6"/>
    <x v="49"/>
    <x v="54"/>
    <x v="42"/>
    <x v="36"/>
    <x v="43"/>
    <x v="44"/>
    <x v="54"/>
  </r>
  <r>
    <x v="7"/>
    <x v="5"/>
    <x v="50"/>
    <x v="54"/>
    <x v="42"/>
    <x v="50"/>
    <x v="43"/>
    <x v="45"/>
    <x v="54"/>
  </r>
  <r>
    <x v="7"/>
    <x v="4"/>
    <x v="48"/>
    <x v="40"/>
    <x v="34"/>
    <x v="37"/>
    <x v="39"/>
    <x v="43"/>
    <x v="39"/>
  </r>
  <r>
    <x v="7"/>
    <x v="3"/>
    <x v="46"/>
    <x v="41"/>
    <x v="36"/>
    <x v="43"/>
    <x v="38"/>
    <x v="42"/>
    <x v="41"/>
  </r>
  <r>
    <x v="7"/>
    <x v="2"/>
    <x v="43"/>
    <x v="44"/>
    <x v="37"/>
    <x v="46"/>
    <x v="27"/>
    <x v="45"/>
    <x v="44"/>
  </r>
  <r>
    <x v="7"/>
    <x v="1"/>
    <x v="42"/>
    <x v="46"/>
    <x v="39"/>
    <x v="48"/>
    <x v="18"/>
    <x v="45"/>
    <x v="46"/>
  </r>
  <r>
    <x v="7"/>
    <x v="0"/>
    <x v="50"/>
    <x v="48"/>
    <x v="42"/>
    <x v="50"/>
    <x v="0"/>
    <x v="45"/>
    <x v="48"/>
  </r>
  <r>
    <x v="6"/>
    <x v="6"/>
    <x v="38"/>
    <x v="54"/>
    <x v="42"/>
    <x v="41"/>
    <x v="43"/>
    <x v="36"/>
    <x v="54"/>
  </r>
  <r>
    <x v="6"/>
    <x v="5"/>
    <x v="41"/>
    <x v="34"/>
    <x v="31"/>
    <x v="38"/>
    <x v="42"/>
    <x v="40"/>
    <x v="31"/>
  </r>
  <r>
    <x v="6"/>
    <x v="4"/>
    <x v="40"/>
    <x v="35"/>
    <x v="30"/>
    <x v="39"/>
    <x v="41"/>
    <x v="39"/>
    <x v="32"/>
  </r>
  <r>
    <x v="6"/>
    <x v="3"/>
    <x v="39"/>
    <x v="36"/>
    <x v="32"/>
    <x v="40"/>
    <x v="40"/>
    <x v="38"/>
    <x v="34"/>
  </r>
  <r>
    <x v="6"/>
    <x v="2"/>
    <x v="37"/>
    <x v="38"/>
    <x v="33"/>
    <x v="42"/>
    <x v="37"/>
    <x v="37"/>
    <x v="37"/>
  </r>
  <r>
    <x v="6"/>
    <x v="1"/>
    <x v="36"/>
    <x v="42"/>
    <x v="35"/>
    <x v="44"/>
    <x v="25"/>
    <x v="45"/>
    <x v="42"/>
  </r>
  <r>
    <x v="6"/>
    <x v="0"/>
    <x v="50"/>
    <x v="43"/>
    <x v="42"/>
    <x v="50"/>
    <x v="0"/>
    <x v="45"/>
    <x v="43"/>
  </r>
  <r>
    <x v="5"/>
    <x v="6"/>
    <x v="31"/>
    <x v="54"/>
    <x v="42"/>
    <x v="34"/>
    <x v="43"/>
    <x v="30"/>
    <x v="54"/>
  </r>
  <r>
    <x v="5"/>
    <x v="5"/>
    <x v="33"/>
    <x v="25"/>
    <x v="24"/>
    <x v="32"/>
    <x v="35"/>
    <x v="31"/>
    <x v="20"/>
  </r>
  <r>
    <x v="5"/>
    <x v="4"/>
    <x v="35"/>
    <x v="27"/>
    <x v="25"/>
    <x v="30"/>
    <x v="34"/>
    <x v="35"/>
    <x v="22"/>
  </r>
  <r>
    <x v="5"/>
    <x v="3"/>
    <x v="34"/>
    <x v="29"/>
    <x v="26"/>
    <x v="31"/>
    <x v="33"/>
    <x v="33"/>
    <x v="25"/>
  </r>
  <r>
    <x v="5"/>
    <x v="2"/>
    <x v="32"/>
    <x v="30"/>
    <x v="28"/>
    <x v="33"/>
    <x v="32"/>
    <x v="34"/>
    <x v="29"/>
  </r>
  <r>
    <x v="5"/>
    <x v="1"/>
    <x v="30"/>
    <x v="33"/>
    <x v="29"/>
    <x v="35"/>
    <x v="26"/>
    <x v="32"/>
    <x v="35"/>
  </r>
  <r>
    <x v="5"/>
    <x v="0"/>
    <x v="50"/>
    <x v="39"/>
    <x v="42"/>
    <x v="50"/>
    <x v="0"/>
    <x v="45"/>
    <x v="40"/>
  </r>
  <r>
    <x v="4"/>
    <x v="6"/>
    <x v="29"/>
    <x v="54"/>
    <x v="42"/>
    <x v="24"/>
    <x v="43"/>
    <x v="28"/>
    <x v="54"/>
  </r>
  <r>
    <x v="4"/>
    <x v="5"/>
    <x v="28"/>
    <x v="20"/>
    <x v="19"/>
    <x v="25"/>
    <x v="31"/>
    <x v="27"/>
    <x v="14"/>
  </r>
  <r>
    <x v="4"/>
    <x v="4"/>
    <x v="26"/>
    <x v="22"/>
    <x v="20"/>
    <x v="27"/>
    <x v="30"/>
    <x v="25"/>
    <x v="15"/>
  </r>
  <r>
    <x v="4"/>
    <x v="3"/>
    <x v="27"/>
    <x v="23"/>
    <x v="23"/>
    <x v="26"/>
    <x v="29"/>
    <x v="29"/>
    <x v="21"/>
  </r>
  <r>
    <x v="4"/>
    <x v="2"/>
    <x v="24"/>
    <x v="24"/>
    <x v="22"/>
    <x v="29"/>
    <x v="28"/>
    <x v="24"/>
    <x v="24"/>
  </r>
  <r>
    <x v="4"/>
    <x v="1"/>
    <x v="25"/>
    <x v="31"/>
    <x v="27"/>
    <x v="28"/>
    <x v="24"/>
    <x v="26"/>
    <x v="33"/>
  </r>
  <r>
    <x v="4"/>
    <x v="0"/>
    <x v="50"/>
    <x v="37"/>
    <x v="42"/>
    <x v="50"/>
    <x v="0"/>
    <x v="45"/>
    <x v="38"/>
  </r>
  <r>
    <x v="3"/>
    <x v="6"/>
    <x v="22"/>
    <x v="54"/>
    <x v="42"/>
    <x v="19"/>
    <x v="43"/>
    <x v="22"/>
    <x v="54"/>
  </r>
  <r>
    <x v="3"/>
    <x v="5"/>
    <x v="18"/>
    <x v="15"/>
    <x v="14"/>
    <x v="23"/>
    <x v="22"/>
    <x v="14"/>
    <x v="10"/>
  </r>
  <r>
    <x v="3"/>
    <x v="4"/>
    <x v="21"/>
    <x v="16"/>
    <x v="16"/>
    <x v="20"/>
    <x v="21"/>
    <x v="19"/>
    <x v="12"/>
  </r>
  <r>
    <x v="3"/>
    <x v="3"/>
    <x v="23"/>
    <x v="18"/>
    <x v="17"/>
    <x v="18"/>
    <x v="20"/>
    <x v="23"/>
    <x v="19"/>
  </r>
  <r>
    <x v="3"/>
    <x v="2"/>
    <x v="19"/>
    <x v="21"/>
    <x v="18"/>
    <x v="22"/>
    <x v="19"/>
    <x v="21"/>
    <x v="23"/>
  </r>
  <r>
    <x v="3"/>
    <x v="1"/>
    <x v="20"/>
    <x v="26"/>
    <x v="21"/>
    <x v="21"/>
    <x v="15"/>
    <x v="20"/>
    <x v="28"/>
  </r>
  <r>
    <x v="3"/>
    <x v="0"/>
    <x v="50"/>
    <x v="32"/>
    <x v="42"/>
    <x v="50"/>
    <x v="0"/>
    <x v="45"/>
    <x v="36"/>
  </r>
  <r>
    <x v="2"/>
    <x v="6"/>
    <x v="14"/>
    <x v="54"/>
    <x v="42"/>
    <x v="15"/>
    <x v="43"/>
    <x v="12"/>
    <x v="54"/>
  </r>
  <r>
    <x v="2"/>
    <x v="5"/>
    <x v="15"/>
    <x v="10"/>
    <x v="10"/>
    <x v="14"/>
    <x v="17"/>
    <x v="13"/>
    <x v="7"/>
  </r>
  <r>
    <x v="2"/>
    <x v="4"/>
    <x v="17"/>
    <x v="11"/>
    <x v="11"/>
    <x v="12"/>
    <x v="16"/>
    <x v="16"/>
    <x v="9"/>
  </r>
  <r>
    <x v="2"/>
    <x v="3"/>
    <x v="16"/>
    <x v="13"/>
    <x v="12"/>
    <x v="13"/>
    <x v="13"/>
    <x v="17"/>
    <x v="13"/>
  </r>
  <r>
    <x v="2"/>
    <x v="2"/>
    <x v="13"/>
    <x v="14"/>
    <x v="13"/>
    <x v="16"/>
    <x v="12"/>
    <x v="18"/>
    <x v="17"/>
  </r>
  <r>
    <x v="2"/>
    <x v="1"/>
    <x v="12"/>
    <x v="19"/>
    <x v="15"/>
    <x v="17"/>
    <x v="8"/>
    <x v="15"/>
    <x v="26"/>
  </r>
  <r>
    <x v="2"/>
    <x v="0"/>
    <x v="50"/>
    <x v="28"/>
    <x v="42"/>
    <x v="50"/>
    <x v="0"/>
    <x v="45"/>
    <x v="30"/>
  </r>
  <r>
    <x v="1"/>
    <x v="6"/>
    <x v="11"/>
    <x v="54"/>
    <x v="42"/>
    <x v="5"/>
    <x v="43"/>
    <x v="10"/>
    <x v="54"/>
  </r>
  <r>
    <x v="1"/>
    <x v="5"/>
    <x v="9"/>
    <x v="5"/>
    <x v="5"/>
    <x v="8"/>
    <x v="11"/>
    <x v="9"/>
    <x v="3"/>
  </r>
  <r>
    <x v="1"/>
    <x v="4"/>
    <x v="10"/>
    <x v="6"/>
    <x v="7"/>
    <x v="6"/>
    <x v="10"/>
    <x v="11"/>
    <x v="4"/>
  </r>
  <r>
    <x v="1"/>
    <x v="3"/>
    <x v="6"/>
    <x v="7"/>
    <x v="6"/>
    <x v="11"/>
    <x v="9"/>
    <x v="6"/>
    <x v="5"/>
  </r>
  <r>
    <x v="1"/>
    <x v="2"/>
    <x v="8"/>
    <x v="9"/>
    <x v="8"/>
    <x v="9"/>
    <x v="5"/>
    <x v="7"/>
    <x v="11"/>
  </r>
  <r>
    <x v="1"/>
    <x v="1"/>
    <x v="7"/>
    <x v="12"/>
    <x v="9"/>
    <x v="10"/>
    <x v="3"/>
    <x v="8"/>
    <x v="18"/>
  </r>
  <r>
    <x v="1"/>
    <x v="0"/>
    <x v="50"/>
    <x v="17"/>
    <x v="42"/>
    <x v="50"/>
    <x v="0"/>
    <x v="45"/>
    <x v="27"/>
  </r>
  <r>
    <x v="0"/>
    <x v="6"/>
    <x v="5"/>
    <x v="54"/>
    <x v="42"/>
    <x v="0"/>
    <x v="43"/>
    <x v="2"/>
    <x v="54"/>
  </r>
  <r>
    <x v="0"/>
    <x v="5"/>
    <x v="3"/>
    <x v="0"/>
    <x v="0"/>
    <x v="2"/>
    <x v="7"/>
    <x v="4"/>
    <x v="0"/>
  </r>
  <r>
    <x v="0"/>
    <x v="4"/>
    <x v="4"/>
    <x v="1"/>
    <x v="1"/>
    <x v="1"/>
    <x v="6"/>
    <x v="3"/>
    <x v="1"/>
  </r>
  <r>
    <x v="0"/>
    <x v="3"/>
    <x v="2"/>
    <x v="2"/>
    <x v="2"/>
    <x v="3"/>
    <x v="4"/>
    <x v="5"/>
    <x v="2"/>
  </r>
  <r>
    <x v="0"/>
    <x v="2"/>
    <x v="1"/>
    <x v="3"/>
    <x v="3"/>
    <x v="4"/>
    <x v="2"/>
    <x v="1"/>
    <x v="6"/>
  </r>
  <r>
    <x v="0"/>
    <x v="1"/>
    <x v="0"/>
    <x v="4"/>
    <x v="4"/>
    <x v="7"/>
    <x v="1"/>
    <x v="0"/>
    <x v="8"/>
  </r>
  <r>
    <x v="0"/>
    <x v="0"/>
    <x v="50"/>
    <x v="8"/>
    <x v="42"/>
    <x v="50"/>
    <x v="0"/>
    <x v="45"/>
    <x v="1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30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" firstHeaderRow="1" firstDataRow="2" firstDataCol="1"/>
  <pivotFields count="7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TimeInformed" fld="2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" firstHeaderRow="1" firstDataRow="2" firstDataCol="1"/>
  <pivotFields count="7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showAll="0"/>
    <pivotField compact="0" outline="0" showAll="0"/>
    <pivotField compact="0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TimeUninformed" fld="3" subtotal="average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" firstHeaderRow="1" firstDataRow="2" firstDataCol="1"/>
  <pivotFields count="7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dataField="1" compact="0" showAll="0"/>
    <pivotField compact="0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TimeOverall" fld="4" subtotal="average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3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" firstHeaderRow="1" firstDataRow="2" firstDataCol="1"/>
  <pivotFields count="9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showAll="0"/>
    <pivotField compact="0" outline="0" showAll="0"/>
    <pivotField compact="0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Informed%Savings" fld="5" subtotal="average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4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" firstHeaderRow="1" firstDataRow="2" firstDataCol="1"/>
  <pivotFields count="9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showAll="0"/>
    <pivotField compact="0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Uninformed%Savings" fld="6" subtotal="average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5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" firstHeaderRow="1" firstDataRow="2" firstDataCol="1"/>
  <pivotFields count="9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StdDevFwyInformed" fld="7" subtotal="average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36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" firstHeaderRow="1" firstDataRow="2" firstDataCol="1"/>
  <pivotFields count="9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StdDevFreewayUninformed" fld="8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ivotTable" Target="../pivotTables/pivot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3.87"/>
    <col collapsed="false" customWidth="true" hidden="false" outlineLevel="0" max="8" min="2" style="0" width="15.86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2" t="s">
        <v>2</v>
      </c>
      <c r="B2" s="1" t="n">
        <v>0</v>
      </c>
      <c r="C2" s="3" t="n">
        <v>0.17</v>
      </c>
      <c r="D2" s="3" t="n">
        <v>0.33</v>
      </c>
      <c r="E2" s="3" t="n">
        <v>0.5</v>
      </c>
      <c r="F2" s="3" t="n">
        <v>0.67</v>
      </c>
      <c r="G2" s="3" t="n">
        <v>0.83</v>
      </c>
      <c r="H2" s="3" t="n">
        <v>1</v>
      </c>
      <c r="I2" s="5" t="s">
        <v>3</v>
      </c>
    </row>
    <row r="3" customFormat="false" ht="12" hidden="false" customHeight="false" outlineLevel="0" collapsed="false">
      <c r="A3" s="1" t="n">
        <v>2</v>
      </c>
      <c r="B3" s="6"/>
      <c r="C3" s="7" t="n">
        <v>2.79328585311029</v>
      </c>
      <c r="D3" s="7" t="n">
        <v>2.84252177113151</v>
      </c>
      <c r="E3" s="7" t="n">
        <v>2.91740670002301</v>
      </c>
      <c r="F3" s="7" t="n">
        <v>2.92057193156245</v>
      </c>
      <c r="G3" s="7" t="n">
        <v>2.92000412695373</v>
      </c>
      <c r="H3" s="7" t="n">
        <v>2.92373995064609</v>
      </c>
      <c r="I3" s="8" t="n">
        <v>2.88625505557118</v>
      </c>
    </row>
    <row r="4" customFormat="false" ht="12" hidden="false" customHeight="false" outlineLevel="0" collapsed="false">
      <c r="A4" s="9" t="n">
        <v>2.2</v>
      </c>
      <c r="B4" s="10"/>
      <c r="C4" s="11" t="n">
        <v>3.14575649429239</v>
      </c>
      <c r="D4" s="11" t="n">
        <v>3.15726797645734</v>
      </c>
      <c r="E4" s="11" t="n">
        <v>3.13993290862051</v>
      </c>
      <c r="F4" s="11" t="n">
        <v>3.23105713903725</v>
      </c>
      <c r="G4" s="11" t="n">
        <v>3.20752055841398</v>
      </c>
      <c r="H4" s="11" t="n">
        <v>3.27353640667865</v>
      </c>
      <c r="I4" s="12" t="n">
        <v>3.19251191391669</v>
      </c>
    </row>
    <row r="5" customFormat="false" ht="12" hidden="false" customHeight="false" outlineLevel="0" collapsed="false">
      <c r="A5" s="9" t="n">
        <v>2.4</v>
      </c>
      <c r="B5" s="10"/>
      <c r="C5" s="11" t="n">
        <v>3.45035660202336</v>
      </c>
      <c r="D5" s="11" t="n">
        <v>3.50519623674313</v>
      </c>
      <c r="E5" s="11" t="n">
        <v>3.55911390983423</v>
      </c>
      <c r="F5" s="11" t="n">
        <v>3.57642453242654</v>
      </c>
      <c r="G5" s="11" t="n">
        <v>3.52596480995099</v>
      </c>
      <c r="H5" s="11" t="n">
        <v>3.5093002656054</v>
      </c>
      <c r="I5" s="12" t="n">
        <v>3.52105939276394</v>
      </c>
    </row>
    <row r="6" customFormat="false" ht="12" hidden="false" customHeight="false" outlineLevel="0" collapsed="false">
      <c r="A6" s="9" t="n">
        <v>2.6</v>
      </c>
      <c r="B6" s="10"/>
      <c r="C6" s="11" t="n">
        <v>3.80852773623653</v>
      </c>
      <c r="D6" s="11" t="n">
        <v>3.79252642110224</v>
      </c>
      <c r="E6" s="11" t="n">
        <v>3.9084037160137</v>
      </c>
      <c r="F6" s="11" t="n">
        <v>3.86434964979366</v>
      </c>
      <c r="G6" s="11" t="n">
        <v>3.78038073092565</v>
      </c>
      <c r="H6" s="11" t="n">
        <v>3.86838829232134</v>
      </c>
      <c r="I6" s="12" t="n">
        <v>3.83709609106552</v>
      </c>
    </row>
    <row r="7" customFormat="false" ht="12" hidden="false" customHeight="false" outlineLevel="0" collapsed="false">
      <c r="A7" s="9" t="n">
        <v>2.8</v>
      </c>
      <c r="B7" s="10"/>
      <c r="C7" s="11" t="n">
        <v>4.20267696911248</v>
      </c>
      <c r="D7" s="11" t="n">
        <v>4.08852432399158</v>
      </c>
      <c r="E7" s="11" t="n">
        <v>4.24356762758891</v>
      </c>
      <c r="F7" s="11" t="n">
        <v>4.22572398593914</v>
      </c>
      <c r="G7" s="11" t="n">
        <v>4.26659053074955</v>
      </c>
      <c r="H7" s="11" t="n">
        <v>4.34371343097699</v>
      </c>
      <c r="I7" s="12" t="n">
        <v>4.22846614472644</v>
      </c>
    </row>
    <row r="8" customFormat="false" ht="12" hidden="false" customHeight="false" outlineLevel="0" collapsed="false">
      <c r="A8" s="9" t="n">
        <v>3</v>
      </c>
      <c r="B8" s="10"/>
      <c r="C8" s="11" t="n">
        <v>4.63414981969976</v>
      </c>
      <c r="D8" s="11" t="n">
        <v>4.6940392988763</v>
      </c>
      <c r="E8" s="11" t="n">
        <v>4.79803190984886</v>
      </c>
      <c r="F8" s="11" t="n">
        <v>4.88330059177422</v>
      </c>
      <c r="G8" s="11" t="n">
        <v>4.75358742330367</v>
      </c>
      <c r="H8" s="11" t="n">
        <v>4.67133174763471</v>
      </c>
      <c r="I8" s="12" t="n">
        <v>4.73907346518959</v>
      </c>
    </row>
    <row r="9" customFormat="false" ht="12" hidden="false" customHeight="false" outlineLevel="0" collapsed="false">
      <c r="A9" s="9" t="n">
        <v>4</v>
      </c>
      <c r="B9" s="10"/>
      <c r="C9" s="11" t="n">
        <v>6.8795608674476</v>
      </c>
      <c r="D9" s="11" t="n">
        <v>7.75495081984661</v>
      </c>
      <c r="E9" s="11" t="n">
        <v>7.9573246364207</v>
      </c>
      <c r="F9" s="11" t="n">
        <v>8.06874139036631</v>
      </c>
      <c r="G9" s="11" t="n">
        <v>8.56391731795429</v>
      </c>
      <c r="H9" s="11" t="n">
        <v>7.84747150008179</v>
      </c>
      <c r="I9" s="12" t="n">
        <v>7.84532775535288</v>
      </c>
    </row>
    <row r="10" customFormat="false" ht="12" hidden="false" customHeight="false" outlineLevel="0" collapsed="false">
      <c r="A10" s="9" t="n">
        <v>6</v>
      </c>
      <c r="B10" s="10"/>
      <c r="C10" s="11" t="n">
        <v>9.61099183918233</v>
      </c>
      <c r="D10" s="11" t="n">
        <v>11.7457330953673</v>
      </c>
      <c r="E10" s="11" t="n">
        <v>22.3240977123823</v>
      </c>
      <c r="F10" s="11" t="n">
        <v>27.1384680119132</v>
      </c>
      <c r="G10" s="11"/>
      <c r="H10" s="11" t="n">
        <v>32.3739940153871</v>
      </c>
      <c r="I10" s="12" t="n">
        <v>20.6386569348464</v>
      </c>
    </row>
    <row r="11" customFormat="false" ht="12" hidden="false" customHeight="false" outlineLevel="0" collapsed="false">
      <c r="A11" s="9" t="n">
        <v>8</v>
      </c>
      <c r="B11" s="10"/>
      <c r="C11" s="11" t="n">
        <v>14.89934866161</v>
      </c>
      <c r="D11" s="11" t="n">
        <v>16.2135490311154</v>
      </c>
      <c r="E11" s="11" t="n">
        <v>24.0707527582358</v>
      </c>
      <c r="F11" s="11"/>
      <c r="G11" s="11"/>
      <c r="H11" s="11"/>
      <c r="I11" s="12" t="n">
        <v>18.3945501503204</v>
      </c>
    </row>
    <row r="12" customFormat="false" ht="12" hidden="false" customHeight="false" outlineLevel="0" collapsed="false">
      <c r="A12" s="9" t="n">
        <v>10</v>
      </c>
      <c r="B12" s="10"/>
      <c r="C12" s="11"/>
      <c r="D12" s="11"/>
      <c r="E12" s="11"/>
      <c r="F12" s="11"/>
      <c r="G12" s="11"/>
      <c r="H12" s="11"/>
      <c r="I12" s="12"/>
    </row>
    <row r="13" customFormat="false" ht="12" hidden="false" customHeight="false" outlineLevel="0" collapsed="false">
      <c r="A13" s="9" t="n">
        <v>15</v>
      </c>
      <c r="B13" s="10"/>
      <c r="C13" s="11"/>
      <c r="D13" s="11"/>
      <c r="E13" s="11"/>
      <c r="F13" s="11"/>
      <c r="G13" s="11"/>
      <c r="H13" s="11"/>
      <c r="I13" s="12"/>
    </row>
    <row r="14" customFormat="false" ht="12" hidden="false" customHeight="false" outlineLevel="0" collapsed="false">
      <c r="A14" s="9" t="n">
        <v>20</v>
      </c>
      <c r="B14" s="10"/>
      <c r="C14" s="11"/>
      <c r="D14" s="11"/>
      <c r="E14" s="11"/>
      <c r="F14" s="11"/>
      <c r="G14" s="11"/>
      <c r="H14" s="11"/>
      <c r="I14" s="12"/>
    </row>
    <row r="15" customFormat="false" ht="12" hidden="false" customHeight="false" outlineLevel="0" collapsed="false">
      <c r="A15" s="13" t="s">
        <v>3</v>
      </c>
      <c r="B15" s="14"/>
      <c r="C15" s="15" t="n">
        <v>5.93607276030164</v>
      </c>
      <c r="D15" s="15" t="n">
        <v>6.42158988607016</v>
      </c>
      <c r="E15" s="15" t="n">
        <v>8.54651465321867</v>
      </c>
      <c r="F15" s="15" t="n">
        <v>7.23857965410159</v>
      </c>
      <c r="G15" s="15" t="n">
        <v>4.43113792832169</v>
      </c>
      <c r="H15" s="15" t="n">
        <v>7.85143445116651</v>
      </c>
      <c r="I15" s="16" t="n">
        <v>6.79751348073422</v>
      </c>
    </row>
    <row r="16" customFormat="false" ht="12" hidden="false" customHeight="false" outlineLevel="0" collapsed="false">
      <c r="A16" s="0" t="s">
        <v>0</v>
      </c>
    </row>
    <row r="17" customFormat="false" ht="12" hidden="false" customHeight="false" outlineLevel="0" collapsed="false">
      <c r="A17" s="0" t="s">
        <v>2</v>
      </c>
      <c r="B17" s="0" t="s">
        <v>1</v>
      </c>
    </row>
    <row r="18" customFormat="false" ht="12" hidden="false" customHeight="false" outlineLevel="0" collapsed="false">
      <c r="B18" s="17" t="n">
        <v>0</v>
      </c>
      <c r="C18" s="17" t="n">
        <v>0.17</v>
      </c>
      <c r="D18" s="17" t="n">
        <v>0.33</v>
      </c>
      <c r="E18" s="17" t="n">
        <v>0.5</v>
      </c>
      <c r="F18" s="17" t="n">
        <v>0.67</v>
      </c>
      <c r="G18" s="17" t="n">
        <v>0.83</v>
      </c>
      <c r="H18" s="17" t="n">
        <v>1</v>
      </c>
      <c r="I18" s="0" t="s">
        <v>3</v>
      </c>
    </row>
    <row r="19" customFormat="false" ht="12" hidden="false" customHeight="false" outlineLevel="0" collapsed="false">
      <c r="A19" s="0" t="n">
        <v>2</v>
      </c>
      <c r="C19" s="0" t="n">
        <v>2.79328585311029</v>
      </c>
      <c r="D19" s="0" t="n">
        <v>2.84252177113151</v>
      </c>
      <c r="E19" s="0" t="n">
        <v>2.91740670002301</v>
      </c>
      <c r="F19" s="0" t="n">
        <v>2.92057193156245</v>
      </c>
      <c r="G19" s="0" t="n">
        <v>2.92000412695373</v>
      </c>
      <c r="H19" s="0" t="n">
        <v>2.92373995064609</v>
      </c>
      <c r="I19" s="0" t="n">
        <v>2.88625505557118</v>
      </c>
    </row>
    <row r="20" customFormat="false" ht="12" hidden="false" customHeight="false" outlineLevel="0" collapsed="false">
      <c r="A20" s="0" t="n">
        <v>2.2</v>
      </c>
      <c r="C20" s="0" t="n">
        <v>3.14575649429239</v>
      </c>
      <c r="D20" s="0" t="n">
        <v>3.15726797645734</v>
      </c>
      <c r="E20" s="0" t="n">
        <v>3.13993290862051</v>
      </c>
      <c r="F20" s="0" t="n">
        <v>3.23105713903725</v>
      </c>
      <c r="G20" s="0" t="n">
        <v>3.20752055841398</v>
      </c>
      <c r="H20" s="0" t="n">
        <v>3.27353640667865</v>
      </c>
      <c r="I20" s="0" t="n">
        <v>3.19251191391669</v>
      </c>
    </row>
    <row r="21" customFormat="false" ht="12" hidden="false" customHeight="false" outlineLevel="0" collapsed="false">
      <c r="A21" s="0" t="n">
        <v>2.4</v>
      </c>
      <c r="C21" s="0" t="n">
        <v>3.45035660202336</v>
      </c>
      <c r="D21" s="0" t="n">
        <v>3.50519623674313</v>
      </c>
      <c r="E21" s="0" t="n">
        <v>3.55911390983423</v>
      </c>
      <c r="F21" s="0" t="n">
        <v>3.57642453242654</v>
      </c>
      <c r="G21" s="0" t="n">
        <v>3.52596480995099</v>
      </c>
      <c r="H21" s="0" t="n">
        <v>3.5093002656054</v>
      </c>
      <c r="I21" s="0" t="n">
        <v>3.52105939276394</v>
      </c>
    </row>
    <row r="22" customFormat="false" ht="12" hidden="false" customHeight="false" outlineLevel="0" collapsed="false">
      <c r="A22" s="0" t="n">
        <v>2.6</v>
      </c>
      <c r="C22" s="0" t="n">
        <v>3.80852773623653</v>
      </c>
      <c r="D22" s="0" t="n">
        <v>3.79252642110224</v>
      </c>
      <c r="E22" s="0" t="n">
        <v>3.9084037160137</v>
      </c>
      <c r="F22" s="0" t="n">
        <v>3.86434964979366</v>
      </c>
      <c r="G22" s="0" t="n">
        <v>3.78038073092565</v>
      </c>
      <c r="H22" s="0" t="n">
        <v>3.86838829232134</v>
      </c>
      <c r="I22" s="0" t="n">
        <v>3.83709609106552</v>
      </c>
    </row>
    <row r="23" customFormat="false" ht="12" hidden="false" customHeight="false" outlineLevel="0" collapsed="false">
      <c r="A23" s="0" t="n">
        <v>2.8</v>
      </c>
      <c r="C23" s="0" t="n">
        <v>4.20267696911248</v>
      </c>
      <c r="D23" s="0" t="n">
        <v>4.08852432399158</v>
      </c>
      <c r="E23" s="0" t="n">
        <v>4.24356762758891</v>
      </c>
      <c r="F23" s="0" t="n">
        <v>4.22572398593914</v>
      </c>
      <c r="G23" s="0" t="n">
        <v>4.26659053074955</v>
      </c>
      <c r="H23" s="0" t="n">
        <v>4.34371343097699</v>
      </c>
      <c r="I23" s="0" t="n">
        <v>4.22846614472644</v>
      </c>
    </row>
    <row r="24" customFormat="false" ht="12" hidden="false" customHeight="false" outlineLevel="0" collapsed="false">
      <c r="A24" s="0" t="n">
        <v>3</v>
      </c>
      <c r="C24" s="0" t="n">
        <v>4.63414981969976</v>
      </c>
      <c r="D24" s="0" t="n">
        <v>4.6940392988763</v>
      </c>
      <c r="E24" s="0" t="n">
        <v>4.79803190984886</v>
      </c>
      <c r="F24" s="0" t="n">
        <v>4.88330059177422</v>
      </c>
      <c r="G24" s="0" t="n">
        <v>4.75358742330367</v>
      </c>
      <c r="H24" s="0" t="n">
        <v>4.67133174763471</v>
      </c>
      <c r="I24" s="0" t="n">
        <v>4.73907346518959</v>
      </c>
    </row>
    <row r="25" customFormat="false" ht="12" hidden="false" customHeight="false" outlineLevel="0" collapsed="false">
      <c r="A25" s="0" t="n">
        <v>4</v>
      </c>
      <c r="C25" s="0" t="n">
        <v>6.8795608674476</v>
      </c>
      <c r="D25" s="0" t="n">
        <v>7.75495081984661</v>
      </c>
      <c r="E25" s="0" t="n">
        <v>7.9573246364207</v>
      </c>
      <c r="F25" s="0" t="n">
        <v>8.06874139036631</v>
      </c>
      <c r="G25" s="0" t="n">
        <v>8.56391731795429</v>
      </c>
      <c r="H25" s="0" t="n">
        <v>7.84747150008179</v>
      </c>
      <c r="I25" s="0" t="n">
        <v>7.84532775535288</v>
      </c>
    </row>
    <row r="26" customFormat="false" ht="12" hidden="false" customHeight="false" outlineLevel="0" collapsed="false">
      <c r="A26" s="0" t="n">
        <v>6</v>
      </c>
      <c r="C26" s="0" t="n">
        <v>9.61099183918233</v>
      </c>
      <c r="D26" s="0" t="n">
        <v>11.7457330953673</v>
      </c>
      <c r="E26" s="0" t="n">
        <v>22.3240977123823</v>
      </c>
      <c r="F26" s="0" t="n">
        <v>27.1384680119132</v>
      </c>
      <c r="H26" s="0" t="n">
        <v>32.3739940153871</v>
      </c>
      <c r="I26" s="0" t="n">
        <v>20.6386569348464</v>
      </c>
    </row>
    <row r="27" customFormat="false" ht="12" hidden="false" customHeight="false" outlineLevel="0" collapsed="false">
      <c r="A27" s="0" t="n">
        <v>8</v>
      </c>
      <c r="C27" s="0" t="n">
        <v>14.89934866161</v>
      </c>
      <c r="D27" s="0" t="n">
        <v>16.2135490311154</v>
      </c>
      <c r="E27" s="0" t="n">
        <v>24.0707527582358</v>
      </c>
      <c r="I27" s="0" t="n">
        <v>18.3945501503204</v>
      </c>
    </row>
    <row r="28" customFormat="false" ht="12" hidden="false" customHeight="false" outlineLevel="0" collapsed="false">
      <c r="A28" s="0" t="n">
        <v>10</v>
      </c>
    </row>
    <row r="29" customFormat="false" ht="12" hidden="false" customHeight="false" outlineLevel="0" collapsed="false">
      <c r="A29" s="0" t="n">
        <v>15</v>
      </c>
    </row>
    <row r="30" customFormat="false" ht="12" hidden="false" customHeight="false" outlineLevel="0" collapsed="false">
      <c r="A30" s="0" t="n">
        <v>20</v>
      </c>
    </row>
    <row r="31" customFormat="false" ht="12" hidden="false" customHeight="false" outlineLevel="0" collapsed="false">
      <c r="A31" s="0" t="s">
        <v>3</v>
      </c>
      <c r="C31" s="0" t="n">
        <v>5.93607276030164</v>
      </c>
      <c r="D31" s="0" t="n">
        <v>6.42158988607016</v>
      </c>
      <c r="E31" s="0" t="n">
        <v>8.54651465321867</v>
      </c>
      <c r="F31" s="0" t="n">
        <v>7.23857965410159</v>
      </c>
      <c r="G31" s="0" t="n">
        <v>4.43113792832169</v>
      </c>
      <c r="H31" s="0" t="n">
        <v>7.85143445116651</v>
      </c>
      <c r="I31" s="0" t="n">
        <v>6.79751348073422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B19" activeCellId="0" sqref="B19:H19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5.87"/>
    <col collapsed="false" customWidth="true" hidden="false" outlineLevel="0" max="8" min="2" style="0" width="15.86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" t="s">
        <v>4</v>
      </c>
      <c r="B1" s="2" t="s">
        <v>1</v>
      </c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2" t="s">
        <v>2</v>
      </c>
      <c r="B2" s="1" t="n">
        <v>0</v>
      </c>
      <c r="C2" s="3" t="n">
        <v>0.17</v>
      </c>
      <c r="D2" s="3" t="n">
        <v>0.33</v>
      </c>
      <c r="E2" s="3" t="n">
        <v>0.5</v>
      </c>
      <c r="F2" s="3" t="n">
        <v>0.67</v>
      </c>
      <c r="G2" s="3" t="n">
        <v>0.83</v>
      </c>
      <c r="H2" s="3" t="n">
        <v>1</v>
      </c>
      <c r="I2" s="5" t="s">
        <v>3</v>
      </c>
    </row>
    <row r="3" customFormat="false" ht="12" hidden="false" customHeight="false" outlineLevel="0" collapsed="false">
      <c r="A3" s="1" t="n">
        <v>2</v>
      </c>
      <c r="B3" s="6" t="n">
        <v>3.95611599698547</v>
      </c>
      <c r="C3" s="7" t="n">
        <v>3.65120062125664</v>
      </c>
      <c r="D3" s="7" t="n">
        <v>3.5933603049842</v>
      </c>
      <c r="E3" s="7" t="n">
        <v>3.44838698651189</v>
      </c>
      <c r="F3" s="7" t="n">
        <v>3.41046175337227</v>
      </c>
      <c r="G3" s="7" t="n">
        <v>3.33371328626231</v>
      </c>
      <c r="H3" s="7"/>
      <c r="I3" s="8" t="n">
        <v>3.56553982489546</v>
      </c>
    </row>
    <row r="4" customFormat="false" ht="12" hidden="false" customHeight="false" outlineLevel="0" collapsed="false">
      <c r="A4" s="9" t="n">
        <v>2.2</v>
      </c>
      <c r="B4" s="10" t="n">
        <v>4.57155918243325</v>
      </c>
      <c r="C4" s="11" t="n">
        <v>4.12424242637928</v>
      </c>
      <c r="D4" s="11" t="n">
        <v>3.96965997403081</v>
      </c>
      <c r="E4" s="11" t="n">
        <v>3.78857613709279</v>
      </c>
      <c r="F4" s="11" t="n">
        <v>3.74586591622029</v>
      </c>
      <c r="G4" s="11" t="n">
        <v>3.66935006414689</v>
      </c>
      <c r="H4" s="11"/>
      <c r="I4" s="12" t="n">
        <v>3.97820895005055</v>
      </c>
    </row>
    <row r="5" customFormat="false" ht="12" hidden="false" customHeight="false" outlineLevel="0" collapsed="false">
      <c r="A5" s="9" t="n">
        <v>2.4</v>
      </c>
      <c r="B5" s="10" t="n">
        <v>5.68890869749916</v>
      </c>
      <c r="C5" s="11" t="n">
        <v>4.74167813563806</v>
      </c>
      <c r="D5" s="11" t="n">
        <v>4.38537060811535</v>
      </c>
      <c r="E5" s="11" t="n">
        <v>4.26313898232271</v>
      </c>
      <c r="F5" s="11" t="n">
        <v>4.1066283993502</v>
      </c>
      <c r="G5" s="11" t="n">
        <v>4.02418318774969</v>
      </c>
      <c r="H5" s="11"/>
      <c r="I5" s="12" t="n">
        <v>4.53498466844586</v>
      </c>
    </row>
    <row r="6" customFormat="false" ht="12" hidden="false" customHeight="false" outlineLevel="0" collapsed="false">
      <c r="A6" s="9" t="n">
        <v>2.6</v>
      </c>
      <c r="B6" s="10" t="n">
        <v>7.64105107128546</v>
      </c>
      <c r="C6" s="11" t="n">
        <v>5.51688577085859</v>
      </c>
      <c r="D6" s="11" t="n">
        <v>4.91572629194532</v>
      </c>
      <c r="E6" s="11" t="n">
        <v>4.72807627044355</v>
      </c>
      <c r="F6" s="11" t="n">
        <v>4.43248217317164</v>
      </c>
      <c r="G6" s="11" t="n">
        <v>4.39493071284546</v>
      </c>
      <c r="H6" s="11"/>
      <c r="I6" s="12" t="n">
        <v>5.27152538175834</v>
      </c>
    </row>
    <row r="7" customFormat="false" ht="12" hidden="false" customHeight="false" outlineLevel="0" collapsed="false">
      <c r="A7" s="9" t="n">
        <v>2.8</v>
      </c>
      <c r="B7" s="10" t="n">
        <v>14.5515808491853</v>
      </c>
      <c r="C7" s="11" t="n">
        <v>6.50095915500266</v>
      </c>
      <c r="D7" s="11" t="n">
        <v>5.30160726951844</v>
      </c>
      <c r="E7" s="11" t="n">
        <v>5.1640964706667</v>
      </c>
      <c r="F7" s="11" t="n">
        <v>4.93036709230235</v>
      </c>
      <c r="G7" s="11" t="n">
        <v>4.80026733107906</v>
      </c>
      <c r="H7" s="11"/>
      <c r="I7" s="12" t="n">
        <v>6.87481302795909</v>
      </c>
    </row>
    <row r="8" customFormat="false" ht="12" hidden="false" customHeight="false" outlineLevel="0" collapsed="false">
      <c r="A8" s="9" t="n">
        <v>3</v>
      </c>
      <c r="B8" s="10" t="n">
        <v>21.3725297702314</v>
      </c>
      <c r="C8" s="11" t="n">
        <v>8.10833111037516</v>
      </c>
      <c r="D8" s="11" t="n">
        <v>6.26040777220069</v>
      </c>
      <c r="E8" s="11" t="n">
        <v>5.83411473022689</v>
      </c>
      <c r="F8" s="11" t="n">
        <v>5.68517669944908</v>
      </c>
      <c r="G8" s="11" t="n">
        <v>5.42106190651573</v>
      </c>
      <c r="H8" s="11"/>
      <c r="I8" s="12" t="n">
        <v>8.78027033149982</v>
      </c>
    </row>
    <row r="9" customFormat="false" ht="12" hidden="false" customHeight="false" outlineLevel="0" collapsed="false">
      <c r="A9" s="9" t="n">
        <v>4</v>
      </c>
      <c r="B9" s="10" t="n">
        <v>129.973376937965</v>
      </c>
      <c r="C9" s="11" t="n">
        <v>55.3757957039639</v>
      </c>
      <c r="D9" s="11" t="n">
        <v>16.3027571127564</v>
      </c>
      <c r="E9" s="11" t="n">
        <v>9.93061861532445</v>
      </c>
      <c r="F9" s="11" t="n">
        <v>9.28588437989827</v>
      </c>
      <c r="G9" s="11" t="n">
        <v>9.27890537615558</v>
      </c>
      <c r="H9" s="11"/>
      <c r="I9" s="12" t="n">
        <v>38.3578896876772</v>
      </c>
    </row>
    <row r="10" customFormat="false" ht="12" hidden="false" customHeight="false" outlineLevel="0" collapsed="false">
      <c r="A10" s="9" t="n">
        <v>6</v>
      </c>
      <c r="B10" s="10" t="n">
        <v>385.29792182222</v>
      </c>
      <c r="C10" s="11" t="n">
        <v>258.31627180941</v>
      </c>
      <c r="D10" s="11" t="n">
        <v>142.040927186825</v>
      </c>
      <c r="E10" s="11" t="n">
        <v>45.6534991074096</v>
      </c>
      <c r="F10" s="11" t="n">
        <v>29.4841015223764</v>
      </c>
      <c r="G10" s="11"/>
      <c r="H10" s="11"/>
      <c r="I10" s="12" t="n">
        <v>172.158544289648</v>
      </c>
    </row>
    <row r="11" customFormat="false" ht="12" hidden="false" customHeight="false" outlineLevel="0" collapsed="false">
      <c r="A11" s="9" t="n">
        <v>8</v>
      </c>
      <c r="B11" s="10" t="n">
        <v>638.463913606185</v>
      </c>
      <c r="C11" s="11" t="n">
        <v>462.006114132324</v>
      </c>
      <c r="D11" s="11" t="n">
        <v>321.84638119911</v>
      </c>
      <c r="E11" s="11" t="n">
        <v>152.878010237947</v>
      </c>
      <c r="F11" s="11"/>
      <c r="G11" s="11"/>
      <c r="H11" s="11"/>
      <c r="I11" s="12" t="n">
        <v>393.798604793891</v>
      </c>
    </row>
    <row r="12" customFormat="false" ht="12" hidden="false" customHeight="false" outlineLevel="0" collapsed="false">
      <c r="A12" s="9" t="n">
        <v>10</v>
      </c>
      <c r="B12" s="10" t="n">
        <v>879.844675195934</v>
      </c>
      <c r="C12" s="11"/>
      <c r="D12" s="11"/>
      <c r="E12" s="11"/>
      <c r="F12" s="11"/>
      <c r="G12" s="11"/>
      <c r="H12" s="11"/>
      <c r="I12" s="12" t="n">
        <v>879.844675195934</v>
      </c>
    </row>
    <row r="13" customFormat="false" ht="12" hidden="false" customHeight="false" outlineLevel="0" collapsed="false">
      <c r="A13" s="9" t="n">
        <v>15</v>
      </c>
      <c r="B13" s="10" t="n">
        <v>1521.30370938622</v>
      </c>
      <c r="C13" s="11"/>
      <c r="D13" s="11"/>
      <c r="E13" s="11"/>
      <c r="F13" s="11"/>
      <c r="G13" s="11"/>
      <c r="H13" s="11"/>
      <c r="I13" s="12" t="n">
        <v>1521.30370938622</v>
      </c>
    </row>
    <row r="14" customFormat="false" ht="12" hidden="false" customHeight="false" outlineLevel="0" collapsed="false">
      <c r="A14" s="9" t="n">
        <v>20</v>
      </c>
      <c r="B14" s="10" t="n">
        <v>2166.13407885415</v>
      </c>
      <c r="C14" s="11"/>
      <c r="D14" s="11"/>
      <c r="E14" s="11"/>
      <c r="F14" s="11"/>
      <c r="G14" s="11"/>
      <c r="H14" s="11"/>
      <c r="I14" s="12" t="n">
        <v>2166.13407885415</v>
      </c>
    </row>
    <row r="15" customFormat="false" ht="12" hidden="false" customHeight="false" outlineLevel="0" collapsed="false">
      <c r="A15" s="13" t="s">
        <v>3</v>
      </c>
      <c r="B15" s="14" t="n">
        <v>481.566618447524</v>
      </c>
      <c r="C15" s="15" t="n">
        <v>89.815719873912</v>
      </c>
      <c r="D15" s="15" t="n">
        <v>56.5129108577208</v>
      </c>
      <c r="E15" s="15" t="n">
        <v>26.1876130597717</v>
      </c>
      <c r="F15" s="15" t="n">
        <v>8.13512099201756</v>
      </c>
      <c r="G15" s="15" t="n">
        <v>4.98891598067925</v>
      </c>
      <c r="H15" s="15"/>
      <c r="I15" s="16" t="n">
        <v>137.619425838775</v>
      </c>
    </row>
    <row r="17" customFormat="false" ht="12" hidden="false" customHeight="false" outlineLevel="0" collapsed="false">
      <c r="A17" s="0" t="s">
        <v>4</v>
      </c>
    </row>
    <row r="18" customFormat="false" ht="12" hidden="false" customHeight="false" outlineLevel="0" collapsed="false">
      <c r="A18" s="0" t="s">
        <v>2</v>
      </c>
      <c r="B18" s="0" t="s">
        <v>1</v>
      </c>
    </row>
    <row r="19" customFormat="false" ht="12" hidden="false" customHeight="false" outlineLevel="0" collapsed="false">
      <c r="B19" s="17" t="n">
        <v>0</v>
      </c>
      <c r="C19" s="17" t="n">
        <v>0.17</v>
      </c>
      <c r="D19" s="17" t="n">
        <v>0.33</v>
      </c>
      <c r="E19" s="17" t="n">
        <v>0.5</v>
      </c>
      <c r="F19" s="17" t="n">
        <v>0.67</v>
      </c>
      <c r="G19" s="17" t="n">
        <v>0.83</v>
      </c>
      <c r="H19" s="17" t="n">
        <v>1</v>
      </c>
      <c r="I19" s="0" t="s">
        <v>3</v>
      </c>
    </row>
    <row r="20" customFormat="false" ht="12" hidden="false" customHeight="false" outlineLevel="0" collapsed="false">
      <c r="A20" s="0" t="n">
        <v>2</v>
      </c>
      <c r="B20" s="0" t="n">
        <v>3.95611599698547</v>
      </c>
      <c r="C20" s="0" t="n">
        <v>3.65120062125664</v>
      </c>
      <c r="D20" s="0" t="n">
        <v>3.5933603049842</v>
      </c>
      <c r="E20" s="0" t="n">
        <v>3.44838698651189</v>
      </c>
      <c r="F20" s="0" t="n">
        <v>3.41046175337227</v>
      </c>
      <c r="G20" s="0" t="n">
        <v>3.33371328626231</v>
      </c>
      <c r="I20" s="0" t="n">
        <v>3.56553982489546</v>
      </c>
    </row>
    <row r="21" customFormat="false" ht="12" hidden="false" customHeight="false" outlineLevel="0" collapsed="false">
      <c r="A21" s="0" t="n">
        <v>2.2</v>
      </c>
      <c r="B21" s="0" t="n">
        <v>4.57155918243325</v>
      </c>
      <c r="C21" s="0" t="n">
        <v>4.12424242637928</v>
      </c>
      <c r="D21" s="0" t="n">
        <v>3.96965997403081</v>
      </c>
      <c r="E21" s="0" t="n">
        <v>3.78857613709279</v>
      </c>
      <c r="F21" s="0" t="n">
        <v>3.74586591622029</v>
      </c>
      <c r="G21" s="0" t="n">
        <v>3.66935006414689</v>
      </c>
      <c r="I21" s="0" t="n">
        <v>3.97820895005055</v>
      </c>
    </row>
    <row r="22" customFormat="false" ht="12" hidden="false" customHeight="false" outlineLevel="0" collapsed="false">
      <c r="A22" s="0" t="n">
        <v>2.4</v>
      </c>
      <c r="B22" s="0" t="n">
        <v>5.68890869749916</v>
      </c>
      <c r="C22" s="0" t="n">
        <v>4.74167813563806</v>
      </c>
      <c r="D22" s="0" t="n">
        <v>4.38537060811535</v>
      </c>
      <c r="E22" s="0" t="n">
        <v>4.26313898232271</v>
      </c>
      <c r="F22" s="0" t="n">
        <v>4.1066283993502</v>
      </c>
      <c r="G22" s="0" t="n">
        <v>4.02418318774969</v>
      </c>
      <c r="I22" s="0" t="n">
        <v>4.53498466844586</v>
      </c>
    </row>
    <row r="23" customFormat="false" ht="12" hidden="false" customHeight="false" outlineLevel="0" collapsed="false">
      <c r="A23" s="0" t="n">
        <v>2.6</v>
      </c>
      <c r="B23" s="0" t="n">
        <v>7.64105107128546</v>
      </c>
      <c r="C23" s="0" t="n">
        <v>5.51688577085859</v>
      </c>
      <c r="D23" s="0" t="n">
        <v>4.91572629194532</v>
      </c>
      <c r="E23" s="0" t="n">
        <v>4.72807627044355</v>
      </c>
      <c r="F23" s="0" t="n">
        <v>4.43248217317164</v>
      </c>
      <c r="G23" s="0" t="n">
        <v>4.39493071284546</v>
      </c>
      <c r="I23" s="0" t="n">
        <v>5.27152538175834</v>
      </c>
    </row>
    <row r="24" customFormat="false" ht="12" hidden="false" customHeight="false" outlineLevel="0" collapsed="false">
      <c r="A24" s="0" t="n">
        <v>2.8</v>
      </c>
      <c r="B24" s="0" t="n">
        <v>14.5515808491853</v>
      </c>
      <c r="C24" s="0" t="n">
        <v>6.50095915500266</v>
      </c>
      <c r="D24" s="0" t="n">
        <v>5.30160726951844</v>
      </c>
      <c r="E24" s="0" t="n">
        <v>5.1640964706667</v>
      </c>
      <c r="F24" s="0" t="n">
        <v>4.93036709230235</v>
      </c>
      <c r="G24" s="0" t="n">
        <v>4.80026733107906</v>
      </c>
      <c r="I24" s="0" t="n">
        <v>6.87481302795909</v>
      </c>
    </row>
    <row r="25" customFormat="false" ht="12" hidden="false" customHeight="false" outlineLevel="0" collapsed="false">
      <c r="A25" s="0" t="n">
        <v>3</v>
      </c>
      <c r="B25" s="0" t="n">
        <v>21.3725297702314</v>
      </c>
      <c r="C25" s="0" t="n">
        <v>8.10833111037516</v>
      </c>
      <c r="D25" s="0" t="n">
        <v>6.26040777220069</v>
      </c>
      <c r="E25" s="0" t="n">
        <v>5.83411473022689</v>
      </c>
      <c r="F25" s="0" t="n">
        <v>5.68517669944908</v>
      </c>
      <c r="G25" s="0" t="n">
        <v>5.42106190651573</v>
      </c>
      <c r="I25" s="0" t="n">
        <v>8.78027033149982</v>
      </c>
    </row>
    <row r="26" customFormat="false" ht="12" hidden="false" customHeight="false" outlineLevel="0" collapsed="false">
      <c r="A26" s="0" t="n">
        <v>4</v>
      </c>
      <c r="B26" s="0" t="n">
        <v>129.973376937965</v>
      </c>
      <c r="C26" s="0" t="n">
        <v>55.3757957039639</v>
      </c>
      <c r="D26" s="0" t="n">
        <v>16.3027571127564</v>
      </c>
      <c r="E26" s="0" t="n">
        <v>9.93061861532445</v>
      </c>
      <c r="F26" s="0" t="n">
        <v>9.28588437989827</v>
      </c>
      <c r="G26" s="0" t="n">
        <v>9.27890537615558</v>
      </c>
      <c r="I26" s="0" t="n">
        <v>38.3578896876772</v>
      </c>
    </row>
    <row r="27" customFormat="false" ht="12" hidden="false" customHeight="false" outlineLevel="0" collapsed="false">
      <c r="A27" s="0" t="n">
        <v>6</v>
      </c>
      <c r="B27" s="0" t="n">
        <v>385.29792182222</v>
      </c>
      <c r="C27" s="0" t="n">
        <v>258.31627180941</v>
      </c>
      <c r="D27" s="0" t="n">
        <v>142.040927186825</v>
      </c>
      <c r="E27" s="0" t="n">
        <v>45.6534991074096</v>
      </c>
      <c r="F27" s="0" t="n">
        <v>29.4841015223764</v>
      </c>
      <c r="I27" s="0" t="n">
        <v>172.158544289648</v>
      </c>
    </row>
    <row r="28" customFormat="false" ht="12" hidden="false" customHeight="false" outlineLevel="0" collapsed="false">
      <c r="A28" s="0" t="n">
        <v>8</v>
      </c>
      <c r="B28" s="0" t="n">
        <v>638.463913606185</v>
      </c>
      <c r="C28" s="0" t="n">
        <v>462.006114132324</v>
      </c>
      <c r="D28" s="0" t="n">
        <v>321.84638119911</v>
      </c>
      <c r="E28" s="0" t="n">
        <v>152.878010237947</v>
      </c>
      <c r="I28" s="0" t="n">
        <v>393.798604793891</v>
      </c>
    </row>
    <row r="29" customFormat="false" ht="12" hidden="false" customHeight="false" outlineLevel="0" collapsed="false">
      <c r="A29" s="0" t="n">
        <v>10</v>
      </c>
      <c r="B29" s="0" t="n">
        <v>879.844675195934</v>
      </c>
      <c r="I29" s="0" t="n">
        <v>879.844675195934</v>
      </c>
    </row>
    <row r="30" customFormat="false" ht="12" hidden="false" customHeight="false" outlineLevel="0" collapsed="false">
      <c r="A30" s="0" t="n">
        <v>15</v>
      </c>
      <c r="B30" s="0" t="n">
        <v>1521.30370938622</v>
      </c>
      <c r="I30" s="0" t="n">
        <v>1521.30370938622</v>
      </c>
    </row>
    <row r="31" customFormat="false" ht="12" hidden="false" customHeight="false" outlineLevel="0" collapsed="false">
      <c r="A31" s="0" t="n">
        <v>20</v>
      </c>
      <c r="B31" s="0" t="n">
        <v>2166.13407885415</v>
      </c>
      <c r="I31" s="0" t="n">
        <v>2166.13407885415</v>
      </c>
    </row>
    <row r="32" customFormat="false" ht="12" hidden="false" customHeight="false" outlineLevel="0" collapsed="false">
      <c r="A32" s="0" t="s">
        <v>3</v>
      </c>
      <c r="B32" s="0" t="n">
        <v>481.566618447524</v>
      </c>
      <c r="C32" s="0" t="n">
        <v>89.815719873912</v>
      </c>
      <c r="D32" s="0" t="n">
        <v>56.5129108577208</v>
      </c>
      <c r="E32" s="0" t="n">
        <v>26.1876130597717</v>
      </c>
      <c r="F32" s="0" t="n">
        <v>8.13512099201756</v>
      </c>
      <c r="G32" s="0" t="n">
        <v>4.98891598067925</v>
      </c>
      <c r="I32" s="0" t="n">
        <v>137.619425838775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B32" activeCellId="0" sqref="B32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2.87"/>
    <col collapsed="false" customWidth="true" hidden="false" outlineLevel="0" max="8" min="2" style="0" width="15.86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" t="s">
        <v>5</v>
      </c>
      <c r="B1" s="2" t="s">
        <v>1</v>
      </c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2" t="s">
        <v>2</v>
      </c>
      <c r="B2" s="1" t="n">
        <v>0</v>
      </c>
      <c r="C2" s="3" t="n">
        <v>0.17</v>
      </c>
      <c r="D2" s="3" t="n">
        <v>0.33</v>
      </c>
      <c r="E2" s="3" t="n">
        <v>0.5</v>
      </c>
      <c r="F2" s="3" t="n">
        <v>0.67</v>
      </c>
      <c r="G2" s="3" t="n">
        <v>0.83</v>
      </c>
      <c r="H2" s="3" t="n">
        <v>1</v>
      </c>
      <c r="I2" s="5" t="s">
        <v>3</v>
      </c>
    </row>
    <row r="3" customFormat="false" ht="12" hidden="false" customHeight="false" outlineLevel="0" collapsed="false">
      <c r="A3" s="1" t="n">
        <v>2</v>
      </c>
      <c r="B3" s="6"/>
      <c r="C3" s="7" t="n">
        <v>3.22224323718346</v>
      </c>
      <c r="D3" s="7" t="n">
        <v>3.21794103805785</v>
      </c>
      <c r="E3" s="7" t="n">
        <v>3.18289684326745</v>
      </c>
      <c r="F3" s="7" t="n">
        <v>3.16551684246736</v>
      </c>
      <c r="G3" s="7" t="n">
        <v>3.12685870660802</v>
      </c>
      <c r="H3" s="7"/>
      <c r="I3" s="8" t="n">
        <v>3.18309133351683</v>
      </c>
    </row>
    <row r="4" customFormat="false" ht="12" hidden="false" customHeight="false" outlineLevel="0" collapsed="false">
      <c r="A4" s="9" t="n">
        <v>2.2</v>
      </c>
      <c r="B4" s="10"/>
      <c r="C4" s="11" t="n">
        <v>3.63499946033583</v>
      </c>
      <c r="D4" s="11" t="n">
        <v>3.56346397524408</v>
      </c>
      <c r="E4" s="11" t="n">
        <v>3.46425452285665</v>
      </c>
      <c r="F4" s="11" t="n">
        <v>3.48846152762877</v>
      </c>
      <c r="G4" s="11" t="n">
        <v>3.43843531128044</v>
      </c>
      <c r="H4" s="11"/>
      <c r="I4" s="12" t="n">
        <v>3.51792295946915</v>
      </c>
    </row>
    <row r="5" customFormat="false" ht="12" hidden="false" customHeight="false" outlineLevel="0" collapsed="false">
      <c r="A5" s="9" t="n">
        <v>2.4</v>
      </c>
      <c r="B5" s="10"/>
      <c r="C5" s="11" t="n">
        <v>4.09601736883071</v>
      </c>
      <c r="D5" s="11" t="n">
        <v>3.94528342242924</v>
      </c>
      <c r="E5" s="11" t="n">
        <v>3.91112644607847</v>
      </c>
      <c r="F5" s="11" t="n">
        <v>3.84152646588837</v>
      </c>
      <c r="G5" s="11" t="n">
        <v>3.77507399885034</v>
      </c>
      <c r="H5" s="11"/>
      <c r="I5" s="12" t="n">
        <v>3.91380554041543</v>
      </c>
    </row>
    <row r="6" customFormat="false" ht="12" hidden="false" customHeight="false" outlineLevel="0" collapsed="false">
      <c r="A6" s="9" t="n">
        <v>2.6</v>
      </c>
      <c r="B6" s="10"/>
      <c r="C6" s="11" t="n">
        <v>4.66270675354756</v>
      </c>
      <c r="D6" s="11" t="n">
        <v>4.35412635652378</v>
      </c>
      <c r="E6" s="11" t="n">
        <v>4.31823999322863</v>
      </c>
      <c r="F6" s="11" t="n">
        <v>4.14841591148265</v>
      </c>
      <c r="G6" s="11" t="n">
        <v>4.08765572188555</v>
      </c>
      <c r="H6" s="11"/>
      <c r="I6" s="12" t="n">
        <v>4.31422894733363</v>
      </c>
    </row>
    <row r="7" customFormat="false" ht="12" hidden="false" customHeight="false" outlineLevel="0" collapsed="false">
      <c r="A7" s="9" t="n">
        <v>2.8</v>
      </c>
      <c r="B7" s="10"/>
      <c r="C7" s="11" t="n">
        <v>5.35181806205757</v>
      </c>
      <c r="D7" s="11" t="n">
        <v>4.69506579675501</v>
      </c>
      <c r="E7" s="11" t="n">
        <v>4.70383204912781</v>
      </c>
      <c r="F7" s="11" t="n">
        <v>4.57804553912075</v>
      </c>
      <c r="G7" s="11" t="n">
        <v>4.5334289309143</v>
      </c>
      <c r="H7" s="11"/>
      <c r="I7" s="12" t="n">
        <v>4.77243807559509</v>
      </c>
    </row>
    <row r="8" customFormat="false" ht="12" hidden="false" customHeight="false" outlineLevel="0" collapsed="false">
      <c r="A8" s="9" t="n">
        <v>3</v>
      </c>
      <c r="B8" s="10"/>
      <c r="C8" s="11" t="n">
        <v>6.37124046503746</v>
      </c>
      <c r="D8" s="11" t="n">
        <v>5.4772235355385</v>
      </c>
      <c r="E8" s="11" t="n">
        <v>5.31607332003788</v>
      </c>
      <c r="F8" s="11" t="n">
        <v>5.28423864561165</v>
      </c>
      <c r="G8" s="11" t="n">
        <v>5.0873246649097</v>
      </c>
      <c r="H8" s="11"/>
      <c r="I8" s="12" t="n">
        <v>5.50722012622704</v>
      </c>
    </row>
    <row r="9" customFormat="false" ht="12" hidden="false" customHeight="false" outlineLevel="0" collapsed="false">
      <c r="A9" s="9" t="n">
        <v>4</v>
      </c>
      <c r="B9" s="10"/>
      <c r="C9" s="11" t="n">
        <v>31.1276782857057</v>
      </c>
      <c r="D9" s="11" t="n">
        <v>12.0288539663015</v>
      </c>
      <c r="E9" s="11" t="n">
        <v>8.94397162587257</v>
      </c>
      <c r="F9" s="11" t="n">
        <v>8.67731288513229</v>
      </c>
      <c r="G9" s="11" t="n">
        <v>8.92141134705494</v>
      </c>
      <c r="H9" s="11"/>
      <c r="I9" s="12" t="n">
        <v>13.9398456220134</v>
      </c>
    </row>
    <row r="10" customFormat="false" ht="12" hidden="false" customHeight="false" outlineLevel="0" collapsed="false">
      <c r="A10" s="9" t="n">
        <v>6</v>
      </c>
      <c r="B10" s="10"/>
      <c r="C10" s="11" t="n">
        <v>133.963631824296</v>
      </c>
      <c r="D10" s="11" t="n">
        <v>76.8933301410964</v>
      </c>
      <c r="E10" s="11" t="n">
        <v>33.988798409896</v>
      </c>
      <c r="F10" s="11" t="n">
        <v>28.3112847671448</v>
      </c>
      <c r="G10" s="11"/>
      <c r="H10" s="11"/>
      <c r="I10" s="12" t="n">
        <v>68.2892612856083</v>
      </c>
    </row>
    <row r="11" customFormat="false" ht="12" hidden="false" customHeight="false" outlineLevel="0" collapsed="false">
      <c r="A11" s="9" t="n">
        <v>8</v>
      </c>
      <c r="B11" s="10"/>
      <c r="C11" s="11" t="n">
        <v>238.452731396967</v>
      </c>
      <c r="D11" s="11" t="n">
        <v>169.029965115113</v>
      </c>
      <c r="E11" s="11" t="n">
        <v>88.4743814980912</v>
      </c>
      <c r="F11" s="11"/>
      <c r="G11" s="11"/>
      <c r="H11" s="11"/>
      <c r="I11" s="12" t="n">
        <v>165.31902600339</v>
      </c>
    </row>
    <row r="12" customFormat="false" ht="12" hidden="false" customHeight="false" outlineLevel="0" collapsed="false">
      <c r="A12" s="9" t="n">
        <v>10</v>
      </c>
      <c r="B12" s="10"/>
      <c r="C12" s="11"/>
      <c r="D12" s="11"/>
      <c r="E12" s="11"/>
      <c r="F12" s="11"/>
      <c r="G12" s="11"/>
      <c r="H12" s="11"/>
      <c r="I12" s="12"/>
    </row>
    <row r="13" customFormat="false" ht="12" hidden="false" customHeight="false" outlineLevel="0" collapsed="false">
      <c r="A13" s="9" t="n">
        <v>15</v>
      </c>
      <c r="B13" s="10"/>
      <c r="C13" s="11"/>
      <c r="D13" s="11"/>
      <c r="E13" s="11"/>
      <c r="F13" s="11"/>
      <c r="G13" s="11"/>
      <c r="H13" s="11"/>
      <c r="I13" s="12"/>
    </row>
    <row r="14" customFormat="false" ht="12" hidden="false" customHeight="false" outlineLevel="0" collapsed="false">
      <c r="A14" s="9" t="n">
        <v>20</v>
      </c>
      <c r="B14" s="10"/>
      <c r="C14" s="11"/>
      <c r="D14" s="11"/>
      <c r="E14" s="11"/>
      <c r="F14" s="11"/>
      <c r="G14" s="11"/>
      <c r="H14" s="11"/>
      <c r="I14" s="12"/>
    </row>
    <row r="15" customFormat="false" ht="12" hidden="false" customHeight="false" outlineLevel="0" collapsed="false">
      <c r="A15" s="13" t="s">
        <v>3</v>
      </c>
      <c r="B15" s="14"/>
      <c r="C15" s="15" t="n">
        <v>47.8758963171068</v>
      </c>
      <c r="D15" s="15" t="n">
        <v>31.4672503718955</v>
      </c>
      <c r="E15" s="15" t="n">
        <v>17.3670638564952</v>
      </c>
      <c r="F15" s="15" t="n">
        <v>7.68685032305957</v>
      </c>
      <c r="G15" s="15" t="n">
        <v>4.71002695450047</v>
      </c>
      <c r="H15" s="15"/>
      <c r="I15" s="16" t="n">
        <v>22.9727830041775</v>
      </c>
    </row>
    <row r="16" customFormat="false" ht="12" hidden="false" customHeight="false" outlineLevel="0" collapsed="false">
      <c r="A16" s="0" t="s">
        <v>5</v>
      </c>
    </row>
    <row r="17" customFormat="false" ht="12" hidden="false" customHeight="false" outlineLevel="0" collapsed="false">
      <c r="A17" s="0" t="s">
        <v>2</v>
      </c>
      <c r="B17" s="0" t="s">
        <v>1</v>
      </c>
    </row>
    <row r="18" customFormat="false" ht="12" hidden="false" customHeight="false" outlineLevel="0" collapsed="false">
      <c r="B18" s="17" t="n">
        <v>0</v>
      </c>
      <c r="C18" s="17" t="n">
        <v>0.17</v>
      </c>
      <c r="D18" s="17" t="n">
        <v>0.33</v>
      </c>
      <c r="E18" s="17" t="n">
        <v>0.5</v>
      </c>
      <c r="F18" s="17" t="n">
        <v>0.67</v>
      </c>
      <c r="G18" s="17" t="n">
        <v>0.83</v>
      </c>
      <c r="H18" s="17" t="n">
        <v>1</v>
      </c>
      <c r="I18" s="0" t="s">
        <v>3</v>
      </c>
    </row>
    <row r="19" customFormat="false" ht="12" hidden="false" customHeight="false" outlineLevel="0" collapsed="false">
      <c r="A19" s="0" t="n">
        <v>2</v>
      </c>
      <c r="C19" s="0" t="n">
        <v>3.22224323718346</v>
      </c>
      <c r="D19" s="0" t="n">
        <v>3.21794103805785</v>
      </c>
      <c r="E19" s="0" t="n">
        <v>3.18289684326745</v>
      </c>
      <c r="F19" s="0" t="n">
        <v>3.16551684246736</v>
      </c>
      <c r="G19" s="0" t="n">
        <v>3.12685870660802</v>
      </c>
      <c r="I19" s="0" t="n">
        <v>3.18309133351683</v>
      </c>
    </row>
    <row r="20" customFormat="false" ht="12" hidden="false" customHeight="false" outlineLevel="0" collapsed="false">
      <c r="A20" s="0" t="n">
        <v>2.2</v>
      </c>
      <c r="C20" s="0" t="n">
        <v>3.63499946033583</v>
      </c>
      <c r="D20" s="0" t="n">
        <v>3.56346397524408</v>
      </c>
      <c r="E20" s="0" t="n">
        <v>3.46425452285665</v>
      </c>
      <c r="F20" s="0" t="n">
        <v>3.48846152762877</v>
      </c>
      <c r="G20" s="0" t="n">
        <v>3.43843531128044</v>
      </c>
      <c r="I20" s="0" t="n">
        <v>3.51792295946915</v>
      </c>
    </row>
    <row r="21" customFormat="false" ht="12" hidden="false" customHeight="false" outlineLevel="0" collapsed="false">
      <c r="A21" s="0" t="n">
        <v>2.4</v>
      </c>
      <c r="C21" s="0" t="n">
        <v>4.09601736883071</v>
      </c>
      <c r="D21" s="0" t="n">
        <v>3.94528342242924</v>
      </c>
      <c r="E21" s="0" t="n">
        <v>3.91112644607847</v>
      </c>
      <c r="F21" s="0" t="n">
        <v>3.84152646588837</v>
      </c>
      <c r="G21" s="0" t="n">
        <v>3.77507399885034</v>
      </c>
      <c r="I21" s="0" t="n">
        <v>3.91380554041543</v>
      </c>
    </row>
    <row r="22" customFormat="false" ht="12" hidden="false" customHeight="false" outlineLevel="0" collapsed="false">
      <c r="A22" s="0" t="n">
        <v>2.6</v>
      </c>
      <c r="C22" s="0" t="n">
        <v>4.66270675354756</v>
      </c>
      <c r="D22" s="0" t="n">
        <v>4.35412635652378</v>
      </c>
      <c r="E22" s="0" t="n">
        <v>4.31823999322863</v>
      </c>
      <c r="F22" s="0" t="n">
        <v>4.14841591148265</v>
      </c>
      <c r="G22" s="0" t="n">
        <v>4.08765572188555</v>
      </c>
      <c r="I22" s="0" t="n">
        <v>4.31422894733363</v>
      </c>
    </row>
    <row r="23" customFormat="false" ht="12" hidden="false" customHeight="false" outlineLevel="0" collapsed="false">
      <c r="A23" s="0" t="n">
        <v>2.8</v>
      </c>
      <c r="C23" s="0" t="n">
        <v>5.35181806205757</v>
      </c>
      <c r="D23" s="0" t="n">
        <v>4.69506579675501</v>
      </c>
      <c r="E23" s="0" t="n">
        <v>4.70383204912781</v>
      </c>
      <c r="F23" s="0" t="n">
        <v>4.57804553912075</v>
      </c>
      <c r="G23" s="0" t="n">
        <v>4.5334289309143</v>
      </c>
      <c r="I23" s="0" t="n">
        <v>4.77243807559509</v>
      </c>
    </row>
    <row r="24" customFormat="false" ht="12" hidden="false" customHeight="false" outlineLevel="0" collapsed="false">
      <c r="A24" s="0" t="n">
        <v>3</v>
      </c>
      <c r="C24" s="0" t="n">
        <v>6.37124046503746</v>
      </c>
      <c r="D24" s="0" t="n">
        <v>5.4772235355385</v>
      </c>
      <c r="E24" s="0" t="n">
        <v>5.31607332003788</v>
      </c>
      <c r="F24" s="0" t="n">
        <v>5.28423864561165</v>
      </c>
      <c r="G24" s="0" t="n">
        <v>5.0873246649097</v>
      </c>
      <c r="I24" s="0" t="n">
        <v>5.50722012622704</v>
      </c>
    </row>
    <row r="25" customFormat="false" ht="12" hidden="false" customHeight="false" outlineLevel="0" collapsed="false">
      <c r="A25" s="0" t="n">
        <v>4</v>
      </c>
      <c r="C25" s="0" t="n">
        <v>31.1276782857057</v>
      </c>
      <c r="D25" s="0" t="n">
        <v>12.0288539663015</v>
      </c>
      <c r="E25" s="0" t="n">
        <v>8.94397162587257</v>
      </c>
      <c r="F25" s="0" t="n">
        <v>8.67731288513229</v>
      </c>
      <c r="G25" s="0" t="n">
        <v>8.92141134705494</v>
      </c>
      <c r="I25" s="0" t="n">
        <v>13.9398456220134</v>
      </c>
    </row>
    <row r="26" customFormat="false" ht="12" hidden="false" customHeight="false" outlineLevel="0" collapsed="false">
      <c r="A26" s="0" t="n">
        <v>6</v>
      </c>
      <c r="C26" s="0" t="n">
        <v>133.963631824296</v>
      </c>
      <c r="D26" s="0" t="n">
        <v>76.8933301410964</v>
      </c>
      <c r="E26" s="0" t="n">
        <v>33.988798409896</v>
      </c>
      <c r="F26" s="0" t="n">
        <v>28.3112847671448</v>
      </c>
      <c r="I26" s="0" t="n">
        <v>68.2892612856083</v>
      </c>
    </row>
    <row r="27" customFormat="false" ht="12" hidden="false" customHeight="false" outlineLevel="0" collapsed="false">
      <c r="A27" s="0" t="n">
        <v>8</v>
      </c>
      <c r="C27" s="0" t="n">
        <v>238.452731396967</v>
      </c>
      <c r="D27" s="0" t="n">
        <v>169.029965115113</v>
      </c>
      <c r="E27" s="0" t="n">
        <v>88.4743814980912</v>
      </c>
      <c r="I27" s="0" t="n">
        <v>165.31902600339</v>
      </c>
    </row>
    <row r="28" customFormat="false" ht="12" hidden="false" customHeight="false" outlineLevel="0" collapsed="false">
      <c r="A28" s="0" t="n">
        <v>10</v>
      </c>
    </row>
    <row r="29" customFormat="false" ht="12" hidden="false" customHeight="false" outlineLevel="0" collapsed="false">
      <c r="A29" s="0" t="n">
        <v>15</v>
      </c>
    </row>
    <row r="30" customFormat="false" ht="12" hidden="false" customHeight="false" outlineLevel="0" collapsed="false">
      <c r="A30" s="0" t="n">
        <v>20</v>
      </c>
    </row>
    <row r="31" customFormat="false" ht="12" hidden="false" customHeight="false" outlineLevel="0" collapsed="false">
      <c r="A31" s="0" t="s">
        <v>3</v>
      </c>
      <c r="C31" s="0" t="n">
        <v>47.8758963171068</v>
      </c>
      <c r="D31" s="0" t="n">
        <v>31.4672503718955</v>
      </c>
      <c r="E31" s="0" t="n">
        <v>17.3670638564952</v>
      </c>
      <c r="F31" s="0" t="n">
        <v>7.68685032305957</v>
      </c>
      <c r="G31" s="0" t="n">
        <v>4.71002695450047</v>
      </c>
      <c r="I31" s="0" t="n">
        <v>22.9727830041775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G57" activeCellId="0" sqref="G57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7.86"/>
    <col collapsed="false" customWidth="true" hidden="false" outlineLevel="0" max="8" min="2" style="0" width="15.86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" t="s">
        <v>6</v>
      </c>
      <c r="B1" s="2" t="s">
        <v>1</v>
      </c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2" t="s">
        <v>2</v>
      </c>
      <c r="B2" s="1" t="n">
        <v>0</v>
      </c>
      <c r="C2" s="3" t="n">
        <v>0.17</v>
      </c>
      <c r="D2" s="3" t="n">
        <v>0.33</v>
      </c>
      <c r="E2" s="3" t="n">
        <v>0.5</v>
      </c>
      <c r="F2" s="3" t="n">
        <v>0.67</v>
      </c>
      <c r="G2" s="3" t="n">
        <v>0.83</v>
      </c>
      <c r="H2" s="3" t="n">
        <v>1</v>
      </c>
      <c r="I2" s="5" t="s">
        <v>3</v>
      </c>
    </row>
    <row r="3" customFormat="false" ht="12" hidden="false" customHeight="false" outlineLevel="0" collapsed="false">
      <c r="A3" s="1" t="n">
        <v>2</v>
      </c>
      <c r="B3" s="6"/>
      <c r="C3" s="7" t="n">
        <v>0.293932267092585</v>
      </c>
      <c r="D3" s="7" t="n">
        <v>0.281486747785583</v>
      </c>
      <c r="E3" s="7" t="n">
        <v>0.262557846573243</v>
      </c>
      <c r="F3" s="7" t="n">
        <v>0.26175776094839</v>
      </c>
      <c r="G3" s="7" t="n">
        <v>0.261901286721939</v>
      </c>
      <c r="H3" s="7" t="n">
        <v>0.260956970707138</v>
      </c>
      <c r="I3" s="8" t="n">
        <v>0.270432146638146</v>
      </c>
    </row>
    <row r="4" customFormat="false" ht="12" hidden="false" customHeight="false" outlineLevel="0" collapsed="false">
      <c r="A4" s="9" t="n">
        <v>2.2</v>
      </c>
      <c r="B4" s="10"/>
      <c r="C4" s="11" t="n">
        <v>0.311885427103224</v>
      </c>
      <c r="D4" s="11" t="n">
        <v>0.309367362323666</v>
      </c>
      <c r="E4" s="11" t="n">
        <v>0.313159300072924</v>
      </c>
      <c r="F4" s="11" t="n">
        <v>0.293226444174022</v>
      </c>
      <c r="G4" s="11" t="n">
        <v>0.298374924087333</v>
      </c>
      <c r="H4" s="11" t="n">
        <v>0.283934369862783</v>
      </c>
      <c r="I4" s="12" t="n">
        <v>0.301657971270658</v>
      </c>
    </row>
    <row r="5" customFormat="false" ht="12" hidden="false" customHeight="false" outlineLevel="0" collapsed="false">
      <c r="A5" s="9" t="n">
        <v>2.4</v>
      </c>
      <c r="B5" s="10"/>
      <c r="C5" s="11" t="n">
        <v>0.393494115393321</v>
      </c>
      <c r="D5" s="11" t="n">
        <v>0.383854369418161</v>
      </c>
      <c r="E5" s="11" t="n">
        <v>0.374376686446241</v>
      </c>
      <c r="F5" s="11" t="n">
        <v>0.371333814163913</v>
      </c>
      <c r="G5" s="11" t="n">
        <v>0.380203656370685</v>
      </c>
      <c r="H5" s="11" t="n">
        <v>0.383132960606647</v>
      </c>
      <c r="I5" s="12" t="n">
        <v>0.381065933733161</v>
      </c>
    </row>
    <row r="6" customFormat="false" ht="12" hidden="false" customHeight="false" outlineLevel="0" collapsed="false">
      <c r="A6" s="9" t="n">
        <v>2.6</v>
      </c>
      <c r="B6" s="10"/>
      <c r="C6" s="11" t="n">
        <v>0.501570176575745</v>
      </c>
      <c r="D6" s="11" t="n">
        <v>0.503664301452677</v>
      </c>
      <c r="E6" s="11" t="n">
        <v>0.488499202589914</v>
      </c>
      <c r="F6" s="11" t="n">
        <v>0.494264648444031</v>
      </c>
      <c r="G6" s="11" t="n">
        <v>0.505253832796373</v>
      </c>
      <c r="H6" s="11" t="n">
        <v>0.493736103026654</v>
      </c>
      <c r="I6" s="12" t="n">
        <v>0.497831377480899</v>
      </c>
    </row>
    <row r="7" customFormat="false" ht="12" hidden="false" customHeight="false" outlineLevel="0" collapsed="false">
      <c r="A7" s="9" t="n">
        <v>2.8</v>
      </c>
      <c r="B7" s="10"/>
      <c r="C7" s="11" t="n">
        <v>0.711187601356194</v>
      </c>
      <c r="D7" s="11" t="n">
        <v>0.719032291655069</v>
      </c>
      <c r="E7" s="11" t="n">
        <v>0.708377552131974</v>
      </c>
      <c r="F7" s="11" t="n">
        <v>0.709603786026057</v>
      </c>
      <c r="G7" s="11" t="n">
        <v>0.706795393918426</v>
      </c>
      <c r="H7" s="11" t="n">
        <v>0.701495426785868</v>
      </c>
      <c r="I7" s="12" t="n">
        <v>0.709415341978932</v>
      </c>
    </row>
    <row r="8" customFormat="false" ht="12" hidden="false" customHeight="false" outlineLevel="0" collapsed="false">
      <c r="A8" s="9" t="n">
        <v>3</v>
      </c>
      <c r="B8" s="10"/>
      <c r="C8" s="11" t="n">
        <v>0.783172611313687</v>
      </c>
      <c r="D8" s="11" t="n">
        <v>0.78037044049814</v>
      </c>
      <c r="E8" s="11" t="n">
        <v>0.775504726795058</v>
      </c>
      <c r="F8" s="11" t="n">
        <v>0.771515087625429</v>
      </c>
      <c r="G8" s="11" t="n">
        <v>0.777584241341206</v>
      </c>
      <c r="H8" s="11" t="n">
        <v>0.781432904861775</v>
      </c>
      <c r="I8" s="12" t="n">
        <v>0.778263335405883</v>
      </c>
    </row>
    <row r="9" customFormat="false" ht="12" hidden="false" customHeight="false" outlineLevel="0" collapsed="false">
      <c r="A9" s="9" t="n">
        <v>4</v>
      </c>
      <c r="B9" s="10"/>
      <c r="C9" s="11" t="n">
        <v>0.947069461227193</v>
      </c>
      <c r="D9" s="11" t="n">
        <v>0.940334313052834</v>
      </c>
      <c r="E9" s="11" t="n">
        <v>0.938777272516212</v>
      </c>
      <c r="F9" s="11" t="n">
        <v>0.937920045008775</v>
      </c>
      <c r="G9" s="11" t="n">
        <v>0.934110219187105</v>
      </c>
      <c r="H9" s="11" t="n">
        <v>0.939622469732187</v>
      </c>
      <c r="I9" s="12" t="n">
        <v>0.939638963454051</v>
      </c>
    </row>
    <row r="10" customFormat="false" ht="12" hidden="false" customHeight="false" outlineLevel="0" collapsed="false">
      <c r="A10" s="9" t="n">
        <v>6</v>
      </c>
      <c r="B10" s="10"/>
      <c r="C10" s="11" t="n">
        <v>0.975055687314045</v>
      </c>
      <c r="D10" s="11" t="n">
        <v>0.969515192192532</v>
      </c>
      <c r="E10" s="11" t="n">
        <v>0.942060165788585</v>
      </c>
      <c r="F10" s="11" t="n">
        <v>0.929564976931189</v>
      </c>
      <c r="G10" s="11"/>
      <c r="H10" s="11" t="n">
        <v>0.915976722993267</v>
      </c>
      <c r="I10" s="12" t="n">
        <v>0.946434549043923</v>
      </c>
    </row>
    <row r="11" customFormat="false" ht="12" hidden="false" customHeight="false" outlineLevel="0" collapsed="false">
      <c r="A11" s="9" t="n">
        <v>8</v>
      </c>
      <c r="B11" s="10"/>
      <c r="C11" s="11" t="n">
        <v>0.976663757584269</v>
      </c>
      <c r="D11" s="11" t="n">
        <v>0.974605379120744</v>
      </c>
      <c r="E11" s="11" t="n">
        <v>0.96229896123294</v>
      </c>
      <c r="F11" s="11"/>
      <c r="G11" s="11"/>
      <c r="H11" s="11"/>
      <c r="I11" s="12" t="n">
        <v>0.971189365979318</v>
      </c>
    </row>
    <row r="12" customFormat="false" ht="12" hidden="false" customHeight="false" outlineLevel="0" collapsed="false">
      <c r="A12" s="9" t="n">
        <v>10</v>
      </c>
      <c r="B12" s="10"/>
      <c r="C12" s="11"/>
      <c r="D12" s="11"/>
      <c r="E12" s="11"/>
      <c r="F12" s="11"/>
      <c r="G12" s="11"/>
      <c r="H12" s="11"/>
      <c r="I12" s="12"/>
    </row>
    <row r="13" customFormat="false" ht="12" hidden="false" customHeight="false" outlineLevel="0" collapsed="false">
      <c r="A13" s="9" t="n">
        <v>15</v>
      </c>
      <c r="B13" s="10"/>
      <c r="C13" s="11"/>
      <c r="D13" s="11"/>
      <c r="E13" s="11"/>
      <c r="F13" s="11"/>
      <c r="G13" s="11"/>
      <c r="H13" s="11"/>
      <c r="I13" s="12"/>
    </row>
    <row r="14" customFormat="false" ht="12" hidden="false" customHeight="false" outlineLevel="0" collapsed="false">
      <c r="A14" s="9" t="n">
        <v>20</v>
      </c>
      <c r="B14" s="10"/>
      <c r="C14" s="11"/>
      <c r="D14" s="11"/>
      <c r="E14" s="11"/>
      <c r="F14" s="11"/>
      <c r="G14" s="11"/>
      <c r="H14" s="11"/>
      <c r="I14" s="12"/>
    </row>
    <row r="15" customFormat="false" ht="12" hidden="false" customHeight="false" outlineLevel="0" collapsed="false">
      <c r="A15" s="13" t="s">
        <v>3</v>
      </c>
      <c r="B15" s="14"/>
      <c r="C15" s="15" t="n">
        <v>0.654892344995585</v>
      </c>
      <c r="D15" s="15" t="n">
        <v>0.651358933055489</v>
      </c>
      <c r="E15" s="15" t="n">
        <v>0.640623523794121</v>
      </c>
      <c r="F15" s="15" t="n">
        <v>0.596148320415226</v>
      </c>
      <c r="G15" s="15" t="n">
        <v>0.552031936346152</v>
      </c>
      <c r="H15" s="15" t="n">
        <v>0.59503599107204</v>
      </c>
      <c r="I15" s="16" t="n">
        <v>0.618311425258559</v>
      </c>
    </row>
    <row r="16" customFormat="false" ht="12" hidden="false" customHeight="false" outlineLevel="0" collapsed="false">
      <c r="A16" s="0" t="s">
        <v>6</v>
      </c>
    </row>
    <row r="17" customFormat="false" ht="12" hidden="false" customHeight="false" outlineLevel="0" collapsed="false">
      <c r="A17" s="0" t="s">
        <v>2</v>
      </c>
      <c r="B17" s="0" t="s">
        <v>1</v>
      </c>
    </row>
    <row r="18" customFormat="false" ht="12" hidden="false" customHeight="false" outlineLevel="0" collapsed="false">
      <c r="B18" s="17" t="n">
        <v>0</v>
      </c>
      <c r="C18" s="17" t="n">
        <v>0.17</v>
      </c>
      <c r="D18" s="17" t="n">
        <v>0.33</v>
      </c>
      <c r="E18" s="17" t="n">
        <v>0.5</v>
      </c>
      <c r="F18" s="17" t="n">
        <v>0.67</v>
      </c>
      <c r="G18" s="17" t="n">
        <v>0.83</v>
      </c>
      <c r="H18" s="17" t="n">
        <v>1</v>
      </c>
      <c r="I18" s="0" t="s">
        <v>3</v>
      </c>
    </row>
    <row r="19" customFormat="false" ht="12" hidden="false" customHeight="false" outlineLevel="0" collapsed="false">
      <c r="A19" s="0" t="n">
        <v>2</v>
      </c>
      <c r="C19" s="17" t="n">
        <v>0.293932267092585</v>
      </c>
      <c r="D19" s="17" t="n">
        <v>0.281486747785583</v>
      </c>
      <c r="E19" s="17" t="n">
        <v>0.262557846573243</v>
      </c>
      <c r="F19" s="17" t="n">
        <v>0.26175776094839</v>
      </c>
      <c r="G19" s="17" t="n">
        <v>0.261901286721939</v>
      </c>
      <c r="H19" s="17" t="n">
        <v>0.260956970707138</v>
      </c>
      <c r="I19" s="17" t="n">
        <v>0.270432146638146</v>
      </c>
    </row>
    <row r="20" customFormat="false" ht="12" hidden="false" customHeight="false" outlineLevel="0" collapsed="false">
      <c r="A20" s="0" t="n">
        <v>2.2</v>
      </c>
      <c r="C20" s="17" t="n">
        <v>0.311885427103224</v>
      </c>
      <c r="D20" s="17" t="n">
        <v>0.309367362323666</v>
      </c>
      <c r="E20" s="17" t="n">
        <v>0.313159300072924</v>
      </c>
      <c r="F20" s="17" t="n">
        <v>0.293226444174022</v>
      </c>
      <c r="G20" s="17" t="n">
        <v>0.298374924087333</v>
      </c>
      <c r="H20" s="17" t="n">
        <v>0.283934369862783</v>
      </c>
      <c r="I20" s="17" t="n">
        <v>0.301657971270658</v>
      </c>
    </row>
    <row r="21" customFormat="false" ht="12" hidden="false" customHeight="false" outlineLevel="0" collapsed="false">
      <c r="A21" s="0" t="n">
        <v>2.4</v>
      </c>
      <c r="C21" s="17" t="n">
        <v>0.393494115393321</v>
      </c>
      <c r="D21" s="17" t="n">
        <v>0.383854369418161</v>
      </c>
      <c r="E21" s="17" t="n">
        <v>0.374376686446241</v>
      </c>
      <c r="F21" s="17" t="n">
        <v>0.371333814163913</v>
      </c>
      <c r="G21" s="17" t="n">
        <v>0.380203656370685</v>
      </c>
      <c r="H21" s="17" t="n">
        <v>0.383132960606647</v>
      </c>
      <c r="I21" s="17" t="n">
        <v>0.381065933733161</v>
      </c>
    </row>
    <row r="22" customFormat="false" ht="12" hidden="false" customHeight="false" outlineLevel="0" collapsed="false">
      <c r="A22" s="0" t="n">
        <v>2.6</v>
      </c>
      <c r="C22" s="17" t="n">
        <v>0.501570176575745</v>
      </c>
      <c r="D22" s="17" t="n">
        <v>0.503664301452677</v>
      </c>
      <c r="E22" s="17" t="n">
        <v>0.488499202589914</v>
      </c>
      <c r="F22" s="17" t="n">
        <v>0.494264648444031</v>
      </c>
      <c r="G22" s="17" t="n">
        <v>0.505253832796373</v>
      </c>
      <c r="H22" s="17" t="n">
        <v>0.493736103026654</v>
      </c>
      <c r="I22" s="17" t="n">
        <v>0.497831377480899</v>
      </c>
    </row>
    <row r="23" customFormat="false" ht="12" hidden="false" customHeight="false" outlineLevel="0" collapsed="false">
      <c r="A23" s="0" t="n">
        <v>2.8</v>
      </c>
      <c r="C23" s="17" t="n">
        <v>0.711187601356194</v>
      </c>
      <c r="D23" s="17" t="n">
        <v>0.719032291655069</v>
      </c>
      <c r="E23" s="17" t="n">
        <v>0.708377552131974</v>
      </c>
      <c r="F23" s="17" t="n">
        <v>0.709603786026057</v>
      </c>
      <c r="G23" s="17" t="n">
        <v>0.706795393918426</v>
      </c>
      <c r="H23" s="17" t="n">
        <v>0.701495426785868</v>
      </c>
      <c r="I23" s="17" t="n">
        <v>0.709415341978932</v>
      </c>
    </row>
    <row r="24" customFormat="false" ht="12" hidden="false" customHeight="false" outlineLevel="0" collapsed="false">
      <c r="A24" s="0" t="n">
        <v>3</v>
      </c>
      <c r="C24" s="17" t="n">
        <v>0.783172611313687</v>
      </c>
      <c r="D24" s="17" t="n">
        <v>0.78037044049814</v>
      </c>
      <c r="E24" s="17" t="n">
        <v>0.775504726795058</v>
      </c>
      <c r="F24" s="17" t="n">
        <v>0.771515087625429</v>
      </c>
      <c r="G24" s="17" t="n">
        <v>0.777584241341206</v>
      </c>
      <c r="H24" s="17" t="n">
        <v>0.781432904861775</v>
      </c>
      <c r="I24" s="17" t="n">
        <v>0.778263335405883</v>
      </c>
    </row>
    <row r="25" customFormat="false" ht="12" hidden="false" customHeight="false" outlineLevel="0" collapsed="false">
      <c r="A25" s="0" t="n">
        <v>4</v>
      </c>
      <c r="C25" s="17" t="n">
        <v>0.947069461227193</v>
      </c>
      <c r="D25" s="17" t="n">
        <v>0.940334313052834</v>
      </c>
      <c r="E25" s="17" t="n">
        <v>0.938777272516212</v>
      </c>
      <c r="F25" s="17" t="n">
        <v>0.937920045008775</v>
      </c>
      <c r="G25" s="17" t="n">
        <v>0.934110219187105</v>
      </c>
      <c r="H25" s="17" t="n">
        <v>0.939622469732187</v>
      </c>
      <c r="I25" s="17" t="n">
        <v>0.939638963454051</v>
      </c>
    </row>
    <row r="26" customFormat="false" ht="12" hidden="false" customHeight="false" outlineLevel="0" collapsed="false">
      <c r="A26" s="0" t="n">
        <v>6</v>
      </c>
      <c r="C26" s="17" t="n">
        <v>0.975055687314045</v>
      </c>
      <c r="D26" s="17" t="n">
        <v>0.969515192192532</v>
      </c>
      <c r="E26" s="17" t="n">
        <v>0.942060165788585</v>
      </c>
      <c r="F26" s="17" t="n">
        <v>0.929564976931189</v>
      </c>
      <c r="G26" s="17"/>
      <c r="H26" s="17" t="n">
        <v>0.915976722993267</v>
      </c>
      <c r="I26" s="17" t="n">
        <v>0.946434549043923</v>
      </c>
    </row>
    <row r="27" customFormat="false" ht="12" hidden="false" customHeight="false" outlineLevel="0" collapsed="false">
      <c r="A27" s="0" t="n">
        <v>8</v>
      </c>
      <c r="C27" s="17" t="n">
        <v>0.976663757584269</v>
      </c>
      <c r="D27" s="17" t="n">
        <v>0.974605379120744</v>
      </c>
      <c r="E27" s="17" t="n">
        <v>0.96229896123294</v>
      </c>
      <c r="F27" s="17"/>
      <c r="G27" s="17"/>
      <c r="H27" s="17"/>
      <c r="I27" s="17" t="n">
        <v>0.971189365979318</v>
      </c>
    </row>
    <row r="28" customFormat="false" ht="12" hidden="false" customHeight="false" outlineLevel="0" collapsed="false">
      <c r="A28" s="0" t="n">
        <v>10</v>
      </c>
      <c r="C28" s="17"/>
      <c r="D28" s="17"/>
      <c r="E28" s="17"/>
      <c r="F28" s="17"/>
      <c r="G28" s="17"/>
      <c r="H28" s="17"/>
      <c r="I28" s="17"/>
    </row>
    <row r="29" customFormat="false" ht="12" hidden="false" customHeight="false" outlineLevel="0" collapsed="false">
      <c r="A29" s="0" t="n">
        <v>15</v>
      </c>
      <c r="C29" s="17"/>
      <c r="D29" s="17"/>
      <c r="E29" s="17"/>
      <c r="F29" s="17"/>
      <c r="G29" s="17"/>
      <c r="H29" s="17"/>
      <c r="I29" s="17"/>
    </row>
    <row r="30" customFormat="false" ht="12" hidden="false" customHeight="false" outlineLevel="0" collapsed="false">
      <c r="A30" s="0" t="n">
        <v>20</v>
      </c>
      <c r="C30" s="17"/>
      <c r="D30" s="17"/>
      <c r="E30" s="17"/>
      <c r="F30" s="17"/>
      <c r="G30" s="17"/>
      <c r="H30" s="17"/>
      <c r="I30" s="17"/>
    </row>
    <row r="31" customFormat="false" ht="12" hidden="false" customHeight="false" outlineLevel="0" collapsed="false">
      <c r="A31" s="0" t="s">
        <v>3</v>
      </c>
      <c r="C31" s="17" t="n">
        <v>0.654892344995585</v>
      </c>
      <c r="D31" s="17" t="n">
        <v>0.651358933055489</v>
      </c>
      <c r="E31" s="17" t="n">
        <v>0.640623523794121</v>
      </c>
      <c r="F31" s="17" t="n">
        <v>0.596148320415226</v>
      </c>
      <c r="G31" s="17" t="n">
        <v>0.552031936346152</v>
      </c>
      <c r="H31" s="17" t="n">
        <v>0.59503599107204</v>
      </c>
      <c r="I31" s="17" t="n">
        <v>0.618311425258559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G40" activeCellId="0" sqref="G40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9.87"/>
    <col collapsed="false" customWidth="true" hidden="false" outlineLevel="0" max="8" min="2" style="0" width="15.86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" t="s">
        <v>7</v>
      </c>
      <c r="B1" s="2" t="s">
        <v>1</v>
      </c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2" t="s">
        <v>2</v>
      </c>
      <c r="B2" s="1" t="n">
        <v>0</v>
      </c>
      <c r="C2" s="3" t="n">
        <v>0.17</v>
      </c>
      <c r="D2" s="3" t="n">
        <v>0.33</v>
      </c>
      <c r="E2" s="3" t="n">
        <v>0.5</v>
      </c>
      <c r="F2" s="3" t="n">
        <v>0.67</v>
      </c>
      <c r="G2" s="3" t="n">
        <v>0.83</v>
      </c>
      <c r="H2" s="3" t="n">
        <v>1</v>
      </c>
      <c r="I2" s="5" t="s">
        <v>3</v>
      </c>
    </row>
    <row r="3" customFormat="false" ht="12" hidden="false" customHeight="false" outlineLevel="0" collapsed="false">
      <c r="A3" s="1" t="n">
        <v>2</v>
      </c>
      <c r="B3" s="6" t="n">
        <v>0</v>
      </c>
      <c r="C3" s="7" t="n">
        <v>0.0770744275347777</v>
      </c>
      <c r="D3" s="7" t="n">
        <v>0.091694907904038</v>
      </c>
      <c r="E3" s="7" t="n">
        <v>0.12834027385963</v>
      </c>
      <c r="F3" s="7" t="n">
        <v>0.137926755441192</v>
      </c>
      <c r="G3" s="7" t="n">
        <v>0.15732670912517</v>
      </c>
      <c r="H3" s="7"/>
      <c r="I3" s="8" t="n">
        <v>0.0987271789774679</v>
      </c>
    </row>
    <row r="4" customFormat="false" ht="12" hidden="false" customHeight="false" outlineLevel="0" collapsed="false">
      <c r="A4" s="9" t="n">
        <v>2.2</v>
      </c>
      <c r="B4" s="10" t="n">
        <v>0</v>
      </c>
      <c r="C4" s="11" t="n">
        <v>0.0978477447635027</v>
      </c>
      <c r="D4" s="11" t="n">
        <v>0.13166169011118</v>
      </c>
      <c r="E4" s="11" t="n">
        <v>0.171272647710473</v>
      </c>
      <c r="F4" s="11" t="n">
        <v>0.180615241597612</v>
      </c>
      <c r="G4" s="11" t="n">
        <v>0.197352606032796</v>
      </c>
      <c r="H4" s="11"/>
      <c r="I4" s="12" t="n">
        <v>0.129791655035927</v>
      </c>
    </row>
    <row r="5" customFormat="false" ht="12" hidden="false" customHeight="false" outlineLevel="0" collapsed="false">
      <c r="A5" s="9" t="n">
        <v>2.4</v>
      </c>
      <c r="B5" s="10" t="n">
        <v>0</v>
      </c>
      <c r="C5" s="11" t="n">
        <v>0.166504792435411</v>
      </c>
      <c r="D5" s="11" t="n">
        <v>0.229136756924372</v>
      </c>
      <c r="E5" s="11" t="n">
        <v>0.250622710082027</v>
      </c>
      <c r="F5" s="11" t="n">
        <v>0.278134240200504</v>
      </c>
      <c r="G5" s="11" t="n">
        <v>0.292626512090322</v>
      </c>
      <c r="H5" s="11"/>
      <c r="I5" s="12" t="n">
        <v>0.202837501955439</v>
      </c>
    </row>
    <row r="6" customFormat="false" ht="12" hidden="false" customHeight="false" outlineLevel="0" collapsed="false">
      <c r="A6" s="9" t="n">
        <v>2.6</v>
      </c>
      <c r="B6" s="10" t="n">
        <v>0</v>
      </c>
      <c r="C6" s="11" t="n">
        <v>0.277993862442477</v>
      </c>
      <c r="D6" s="11" t="n">
        <v>0.356668834420139</v>
      </c>
      <c r="E6" s="11" t="n">
        <v>0.381226976978163</v>
      </c>
      <c r="F6" s="11" t="n">
        <v>0.419911981765363</v>
      </c>
      <c r="G6" s="11" t="n">
        <v>0.424826418271002</v>
      </c>
      <c r="H6" s="11"/>
      <c r="I6" s="12" t="n">
        <v>0.310104678979524</v>
      </c>
    </row>
    <row r="7" customFormat="false" ht="12" hidden="false" customHeight="false" outlineLevel="0" collapsed="false">
      <c r="A7" s="9" t="n">
        <v>2.8</v>
      </c>
      <c r="B7" s="10" t="n">
        <v>0</v>
      </c>
      <c r="C7" s="11" t="n">
        <v>0.553247222938899</v>
      </c>
      <c r="D7" s="11" t="n">
        <v>0.635667950825064</v>
      </c>
      <c r="E7" s="11" t="n">
        <v>0.645117838110639</v>
      </c>
      <c r="F7" s="11" t="n">
        <v>0.661179967771104</v>
      </c>
      <c r="G7" s="11" t="n">
        <v>0.670120560726032</v>
      </c>
      <c r="H7" s="11"/>
      <c r="I7" s="12" t="n">
        <v>0.527555590061957</v>
      </c>
    </row>
    <row r="8" customFormat="false" ht="12" hidden="false" customHeight="false" outlineLevel="0" collapsed="false">
      <c r="A8" s="9" t="n">
        <v>3</v>
      </c>
      <c r="B8" s="10" t="n">
        <v>0</v>
      </c>
      <c r="C8" s="11" t="n">
        <v>0.620619028372167</v>
      </c>
      <c r="D8" s="11" t="n">
        <v>0.707081574361849</v>
      </c>
      <c r="E8" s="11" t="n">
        <v>0.727027413556213</v>
      </c>
      <c r="F8" s="11" t="n">
        <v>0.733996079988264</v>
      </c>
      <c r="G8" s="11" t="n">
        <v>0.746353755741801</v>
      </c>
      <c r="H8" s="11"/>
      <c r="I8" s="12" t="n">
        <v>0.589179642003383</v>
      </c>
    </row>
    <row r="9" customFormat="false" ht="12" hidden="false" customHeight="false" outlineLevel="0" collapsed="false">
      <c r="A9" s="9" t="n">
        <v>4</v>
      </c>
      <c r="B9" s="10" t="n">
        <v>0</v>
      </c>
      <c r="C9" s="11" t="n">
        <v>0.573945087766748</v>
      </c>
      <c r="D9" s="11" t="n">
        <v>0.874568488587185</v>
      </c>
      <c r="E9" s="11" t="n">
        <v>0.923594978838903</v>
      </c>
      <c r="F9" s="11" t="n">
        <v>0.928555488834222</v>
      </c>
      <c r="G9" s="11" t="n">
        <v>0.928609184474876</v>
      </c>
      <c r="H9" s="11"/>
      <c r="I9" s="12" t="n">
        <v>0.704878871416989</v>
      </c>
    </row>
    <row r="10" customFormat="false" ht="12" hidden="false" customHeight="false" outlineLevel="0" collapsed="false">
      <c r="A10" s="9" t="n">
        <v>6</v>
      </c>
      <c r="B10" s="10" t="n">
        <v>0</v>
      </c>
      <c r="C10" s="11" t="n">
        <v>0.329567440728116</v>
      </c>
      <c r="D10" s="11" t="n">
        <v>0.631347798308748</v>
      </c>
      <c r="E10" s="11" t="n">
        <v>0.881511172207997</v>
      </c>
      <c r="F10" s="11" t="n">
        <v>0.923477133271483</v>
      </c>
      <c r="G10" s="11"/>
      <c r="H10" s="11"/>
      <c r="I10" s="12" t="n">
        <v>0.553180708903269</v>
      </c>
    </row>
    <row r="11" customFormat="false" ht="12" hidden="false" customHeight="false" outlineLevel="0" collapsed="false">
      <c r="A11" s="9" t="n">
        <v>8</v>
      </c>
      <c r="B11" s="10" t="n">
        <v>0</v>
      </c>
      <c r="C11" s="11" t="n">
        <v>0.276378657764992</v>
      </c>
      <c r="D11" s="11" t="n">
        <v>0.495905133649213</v>
      </c>
      <c r="E11" s="11" t="n">
        <v>0.760553404851877</v>
      </c>
      <c r="F11" s="11"/>
      <c r="G11" s="11"/>
      <c r="H11" s="11"/>
      <c r="I11" s="12" t="n">
        <v>0.38320929906652</v>
      </c>
    </row>
    <row r="12" customFormat="false" ht="12" hidden="false" customHeight="false" outlineLevel="0" collapsed="false">
      <c r="A12" s="9" t="n">
        <v>10</v>
      </c>
      <c r="B12" s="10" t="n">
        <v>0</v>
      </c>
      <c r="C12" s="11"/>
      <c r="D12" s="11"/>
      <c r="E12" s="11"/>
      <c r="F12" s="11"/>
      <c r="G12" s="11"/>
      <c r="H12" s="11"/>
      <c r="I12" s="12" t="n">
        <v>0</v>
      </c>
    </row>
    <row r="13" customFormat="false" ht="12" hidden="false" customHeight="false" outlineLevel="0" collapsed="false">
      <c r="A13" s="9" t="n">
        <v>15</v>
      </c>
      <c r="B13" s="10" t="n">
        <v>0</v>
      </c>
      <c r="C13" s="11"/>
      <c r="D13" s="11"/>
      <c r="E13" s="11"/>
      <c r="F13" s="11"/>
      <c r="G13" s="11"/>
      <c r="H13" s="11"/>
      <c r="I13" s="12" t="n">
        <v>0</v>
      </c>
    </row>
    <row r="14" customFormat="false" ht="12" hidden="false" customHeight="false" outlineLevel="0" collapsed="false">
      <c r="A14" s="9" t="n">
        <v>20</v>
      </c>
      <c r="B14" s="10" t="n">
        <v>0</v>
      </c>
      <c r="C14" s="11"/>
      <c r="D14" s="11"/>
      <c r="E14" s="11"/>
      <c r="F14" s="11"/>
      <c r="G14" s="11"/>
      <c r="H14" s="11"/>
      <c r="I14" s="12" t="n">
        <v>0</v>
      </c>
    </row>
    <row r="15" customFormat="false" ht="12" hidden="false" customHeight="false" outlineLevel="0" collapsed="false">
      <c r="A15" s="13" t="s">
        <v>3</v>
      </c>
      <c r="B15" s="14" t="n">
        <v>0</v>
      </c>
      <c r="C15" s="15" t="n">
        <v>0.330353140527455</v>
      </c>
      <c r="D15" s="15" t="n">
        <v>0.461525903899088</v>
      </c>
      <c r="E15" s="15" t="n">
        <v>0.541029712910658</v>
      </c>
      <c r="F15" s="15" t="n">
        <v>0.532974611108718</v>
      </c>
      <c r="G15" s="15" t="n">
        <v>0.488173678066</v>
      </c>
      <c r="H15" s="15"/>
      <c r="I15" s="16" t="n">
        <v>0.364392434284566</v>
      </c>
    </row>
    <row r="16" customFormat="false" ht="12" hidden="false" customHeight="false" outlineLevel="0" collapsed="false">
      <c r="A16" s="0" t="s">
        <v>7</v>
      </c>
    </row>
    <row r="17" customFormat="false" ht="12" hidden="false" customHeight="false" outlineLevel="0" collapsed="false">
      <c r="A17" s="0" t="s">
        <v>2</v>
      </c>
      <c r="B17" s="0" t="s">
        <v>1</v>
      </c>
    </row>
    <row r="18" customFormat="false" ht="12" hidden="false" customHeight="false" outlineLevel="0" collapsed="false">
      <c r="B18" s="17" t="n">
        <v>0</v>
      </c>
      <c r="C18" s="17" t="n">
        <v>0.17</v>
      </c>
      <c r="D18" s="17" t="n">
        <v>0.33</v>
      </c>
      <c r="E18" s="17" t="n">
        <v>0.5</v>
      </c>
      <c r="F18" s="17" t="n">
        <v>0.67</v>
      </c>
      <c r="G18" s="17" t="n">
        <v>0.83</v>
      </c>
      <c r="H18" s="17" t="n">
        <v>1</v>
      </c>
      <c r="I18" s="0" t="s">
        <v>3</v>
      </c>
    </row>
    <row r="19" customFormat="false" ht="12" hidden="false" customHeight="false" outlineLevel="0" collapsed="false">
      <c r="A19" s="0" t="n">
        <v>2</v>
      </c>
      <c r="C19" s="0" t="n">
        <v>0.0770744275347777</v>
      </c>
      <c r="D19" s="0" t="n">
        <v>0.091694907904038</v>
      </c>
      <c r="E19" s="0" t="n">
        <v>0.12834027385963</v>
      </c>
      <c r="F19" s="0" t="n">
        <v>0.137926755441192</v>
      </c>
      <c r="G19" s="0" t="n">
        <v>0.15732670912517</v>
      </c>
      <c r="I19" s="0" t="n">
        <v>0.0987271789774679</v>
      </c>
    </row>
    <row r="20" customFormat="false" ht="12" hidden="false" customHeight="false" outlineLevel="0" collapsed="false">
      <c r="A20" s="0" t="n">
        <v>2.2</v>
      </c>
      <c r="C20" s="0" t="n">
        <v>0.0978477447635027</v>
      </c>
      <c r="D20" s="0" t="n">
        <v>0.13166169011118</v>
      </c>
      <c r="E20" s="0" t="n">
        <v>0.171272647710473</v>
      </c>
      <c r="F20" s="0" t="n">
        <v>0.180615241597612</v>
      </c>
      <c r="G20" s="0" t="n">
        <v>0.197352606032796</v>
      </c>
      <c r="I20" s="0" t="n">
        <v>0.129791655035927</v>
      </c>
    </row>
    <row r="21" customFormat="false" ht="12" hidden="false" customHeight="false" outlineLevel="0" collapsed="false">
      <c r="A21" s="0" t="n">
        <v>2.4</v>
      </c>
      <c r="C21" s="0" t="n">
        <v>0.166504792435411</v>
      </c>
      <c r="D21" s="0" t="n">
        <v>0.229136756924372</v>
      </c>
      <c r="E21" s="0" t="n">
        <v>0.250622710082027</v>
      </c>
      <c r="F21" s="0" t="n">
        <v>0.278134240200504</v>
      </c>
      <c r="G21" s="0" t="n">
        <v>0.292626512090322</v>
      </c>
      <c r="I21" s="0" t="n">
        <v>0.202837501955439</v>
      </c>
    </row>
    <row r="22" customFormat="false" ht="12" hidden="false" customHeight="false" outlineLevel="0" collapsed="false">
      <c r="A22" s="0" t="n">
        <v>2.6</v>
      </c>
      <c r="C22" s="0" t="n">
        <v>0.277993862442477</v>
      </c>
      <c r="D22" s="0" t="n">
        <v>0.356668834420139</v>
      </c>
      <c r="E22" s="0" t="n">
        <v>0.381226976978163</v>
      </c>
      <c r="F22" s="0" t="n">
        <v>0.419911981765363</v>
      </c>
      <c r="G22" s="0" t="n">
        <v>0.424826418271002</v>
      </c>
      <c r="I22" s="0" t="n">
        <v>0.310104678979524</v>
      </c>
    </row>
    <row r="23" customFormat="false" ht="12" hidden="false" customHeight="false" outlineLevel="0" collapsed="false">
      <c r="A23" s="0" t="n">
        <v>2.8</v>
      </c>
      <c r="C23" s="0" t="n">
        <v>0.553247222938899</v>
      </c>
      <c r="D23" s="0" t="n">
        <v>0.635667950825064</v>
      </c>
      <c r="E23" s="0" t="n">
        <v>0.645117838110639</v>
      </c>
      <c r="F23" s="0" t="n">
        <v>0.661179967771104</v>
      </c>
      <c r="G23" s="0" t="n">
        <v>0.670120560726032</v>
      </c>
      <c r="I23" s="0" t="n">
        <v>0.527555590061957</v>
      </c>
    </row>
    <row r="24" customFormat="false" ht="12" hidden="false" customHeight="false" outlineLevel="0" collapsed="false">
      <c r="A24" s="0" t="n">
        <v>3</v>
      </c>
      <c r="C24" s="0" t="n">
        <v>0.620619028372167</v>
      </c>
      <c r="D24" s="0" t="n">
        <v>0.707081574361849</v>
      </c>
      <c r="E24" s="0" t="n">
        <v>0.727027413556213</v>
      </c>
      <c r="F24" s="0" t="n">
        <v>0.733996079988264</v>
      </c>
      <c r="G24" s="0" t="n">
        <v>0.746353755741801</v>
      </c>
      <c r="I24" s="0" t="n">
        <v>0.589179642003383</v>
      </c>
    </row>
    <row r="25" customFormat="false" ht="12" hidden="false" customHeight="false" outlineLevel="0" collapsed="false">
      <c r="A25" s="0" t="n">
        <v>4</v>
      </c>
      <c r="C25" s="0" t="n">
        <v>0.573945087766748</v>
      </c>
      <c r="D25" s="0" t="n">
        <v>0.874568488587185</v>
      </c>
      <c r="E25" s="0" t="n">
        <v>0.923594978838903</v>
      </c>
      <c r="F25" s="0" t="n">
        <v>0.928555488834222</v>
      </c>
      <c r="G25" s="0" t="n">
        <v>0.928609184474876</v>
      </c>
      <c r="I25" s="0" t="n">
        <v>0.704878871416989</v>
      </c>
    </row>
    <row r="26" customFormat="false" ht="12" hidden="false" customHeight="false" outlineLevel="0" collapsed="false">
      <c r="A26" s="0" t="n">
        <v>6</v>
      </c>
      <c r="C26" s="0" t="n">
        <v>0.329567440728116</v>
      </c>
      <c r="D26" s="0" t="n">
        <v>0.631347798308748</v>
      </c>
      <c r="E26" s="0" t="n">
        <v>0.881511172207997</v>
      </c>
      <c r="F26" s="0" t="n">
        <v>0.923477133271483</v>
      </c>
      <c r="I26" s="0" t="n">
        <v>0.553180708903269</v>
      </c>
    </row>
    <row r="27" customFormat="false" ht="12" hidden="false" customHeight="false" outlineLevel="0" collapsed="false">
      <c r="A27" s="0" t="n">
        <v>8</v>
      </c>
      <c r="C27" s="0" t="n">
        <v>0.276378657764992</v>
      </c>
      <c r="D27" s="0" t="n">
        <v>0.495905133649213</v>
      </c>
      <c r="E27" s="0" t="n">
        <v>0.760553404851877</v>
      </c>
      <c r="I27" s="0" t="n">
        <v>0.38320929906652</v>
      </c>
    </row>
    <row r="28" customFormat="false" ht="12" hidden="false" customHeight="false" outlineLevel="0" collapsed="false">
      <c r="A28" s="0" t="n">
        <v>10</v>
      </c>
      <c r="I28" s="0" t="n">
        <v>0</v>
      </c>
    </row>
    <row r="29" customFormat="false" ht="12" hidden="false" customHeight="false" outlineLevel="0" collapsed="false">
      <c r="A29" s="0" t="n">
        <v>15</v>
      </c>
      <c r="I29" s="0" t="n">
        <v>0</v>
      </c>
    </row>
    <row r="30" customFormat="false" ht="12" hidden="false" customHeight="false" outlineLevel="0" collapsed="false">
      <c r="A30" s="0" t="n">
        <v>20</v>
      </c>
      <c r="I30" s="0" t="n">
        <v>0</v>
      </c>
    </row>
    <row r="31" customFormat="false" ht="12" hidden="false" customHeight="false" outlineLevel="0" collapsed="false">
      <c r="A31" s="0" t="s">
        <v>3</v>
      </c>
      <c r="C31" s="0" t="n">
        <v>0.330353140527455</v>
      </c>
      <c r="D31" s="0" t="n">
        <v>0.461525903899088</v>
      </c>
      <c r="E31" s="0" t="n">
        <v>0.541029712910658</v>
      </c>
      <c r="F31" s="0" t="n">
        <v>0.532974611108718</v>
      </c>
      <c r="G31" s="0" t="n">
        <v>0.488173678066</v>
      </c>
      <c r="I31" s="0" t="n">
        <v>0.364392434284566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B18" activeCellId="0" sqref="B18:H18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28.87"/>
    <col collapsed="false" customWidth="true" hidden="false" outlineLevel="0" max="8" min="2" style="0" width="15.86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" t="s">
        <v>8</v>
      </c>
      <c r="B1" s="2" t="s">
        <v>1</v>
      </c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2" t="s">
        <v>2</v>
      </c>
      <c r="B2" s="1" t="n">
        <v>0</v>
      </c>
      <c r="C2" s="3" t="n">
        <v>0.17</v>
      </c>
      <c r="D2" s="3" t="n">
        <v>0.33</v>
      </c>
      <c r="E2" s="3" t="n">
        <v>0.5</v>
      </c>
      <c r="F2" s="3" t="n">
        <v>0.67</v>
      </c>
      <c r="G2" s="3" t="n">
        <v>0.83</v>
      </c>
      <c r="H2" s="3" t="n">
        <v>1</v>
      </c>
      <c r="I2" s="5" t="s">
        <v>3</v>
      </c>
    </row>
    <row r="3" customFormat="false" ht="12" hidden="false" customHeight="false" outlineLevel="0" collapsed="false">
      <c r="A3" s="1" t="n">
        <v>2</v>
      </c>
      <c r="B3" s="6"/>
      <c r="C3" s="7" t="n">
        <v>1.22793992045723</v>
      </c>
      <c r="D3" s="7" t="n">
        <v>1.24173577380423</v>
      </c>
      <c r="E3" s="7" t="n">
        <v>1.36086926624757</v>
      </c>
      <c r="F3" s="7" t="n">
        <v>1.31505091923803</v>
      </c>
      <c r="G3" s="7" t="n">
        <v>1.32586309612108</v>
      </c>
      <c r="H3" s="7" t="n">
        <v>1.30881209230649</v>
      </c>
      <c r="I3" s="8" t="n">
        <v>1.29671184469577</v>
      </c>
    </row>
    <row r="4" customFormat="false" ht="12" hidden="false" customHeight="false" outlineLevel="0" collapsed="false">
      <c r="A4" s="9" t="n">
        <v>2.2</v>
      </c>
      <c r="B4" s="10"/>
      <c r="C4" s="11" t="n">
        <v>1.47018934264755</v>
      </c>
      <c r="D4" s="11" t="n">
        <v>1.46216972546841</v>
      </c>
      <c r="E4" s="11" t="n">
        <v>1.44611306765114</v>
      </c>
      <c r="F4" s="11" t="n">
        <v>1.56322189983466</v>
      </c>
      <c r="G4" s="11" t="n">
        <v>1.55585768306818</v>
      </c>
      <c r="H4" s="11" t="n">
        <v>1.55860457025862</v>
      </c>
      <c r="I4" s="12" t="n">
        <v>1.50935938148809</v>
      </c>
    </row>
    <row r="5" customFormat="false" ht="12" hidden="false" customHeight="false" outlineLevel="0" collapsed="false">
      <c r="A5" s="9" t="n">
        <v>2.4</v>
      </c>
      <c r="B5" s="10"/>
      <c r="C5" s="11" t="n">
        <v>1.83606159640181</v>
      </c>
      <c r="D5" s="11" t="n">
        <v>1.87549089054891</v>
      </c>
      <c r="E5" s="11" t="n">
        <v>1.8746899377511</v>
      </c>
      <c r="F5" s="11" t="n">
        <v>1.83843117475279</v>
      </c>
      <c r="G5" s="11" t="n">
        <v>1.77519599403783</v>
      </c>
      <c r="H5" s="11" t="n">
        <v>1.72602570678709</v>
      </c>
      <c r="I5" s="12" t="n">
        <v>1.82098255004659</v>
      </c>
    </row>
    <row r="6" customFormat="false" ht="12" hidden="false" customHeight="false" outlineLevel="0" collapsed="false">
      <c r="A6" s="9" t="n">
        <v>2.6</v>
      </c>
      <c r="B6" s="10"/>
      <c r="C6" s="11" t="n">
        <v>1.9379705347123</v>
      </c>
      <c r="D6" s="11" t="n">
        <v>1.94110129225596</v>
      </c>
      <c r="E6" s="11" t="n">
        <v>2.02091918521437</v>
      </c>
      <c r="F6" s="11" t="n">
        <v>1.92338260312389</v>
      </c>
      <c r="G6" s="11" t="n">
        <v>1.8167543556821</v>
      </c>
      <c r="H6" s="11" t="n">
        <v>1.99473246929086</v>
      </c>
      <c r="I6" s="12" t="n">
        <v>1.93914340671325</v>
      </c>
    </row>
    <row r="7" customFormat="false" ht="12" hidden="false" customHeight="false" outlineLevel="0" collapsed="false">
      <c r="A7" s="9" t="n">
        <v>2.8</v>
      </c>
      <c r="B7" s="10"/>
      <c r="C7" s="11" t="n">
        <v>2.14679997800425</v>
      </c>
      <c r="D7" s="11" t="n">
        <v>2.02784234395112</v>
      </c>
      <c r="E7" s="11" t="n">
        <v>2.21283188090949</v>
      </c>
      <c r="F7" s="11" t="n">
        <v>2.0745192555021</v>
      </c>
      <c r="G7" s="11" t="n">
        <v>2.17818377951191</v>
      </c>
      <c r="H7" s="11" t="n">
        <v>2.20873293598992</v>
      </c>
      <c r="I7" s="12" t="n">
        <v>2.14148502897813</v>
      </c>
    </row>
    <row r="8" customFormat="false" ht="12" hidden="false" customHeight="false" outlineLevel="0" collapsed="false">
      <c r="A8" s="9" t="n">
        <v>3</v>
      </c>
      <c r="B8" s="10"/>
      <c r="C8" s="11" t="n">
        <v>2.56404343411676</v>
      </c>
      <c r="D8" s="11" t="n">
        <v>2.69969560458511</v>
      </c>
      <c r="E8" s="11" t="n">
        <v>2.67811596938685</v>
      </c>
      <c r="F8" s="11" t="n">
        <v>2.78718950028916</v>
      </c>
      <c r="G8" s="11" t="n">
        <v>2.53025094124135</v>
      </c>
      <c r="H8" s="11" t="n">
        <v>2.43144206212981</v>
      </c>
      <c r="I8" s="12" t="n">
        <v>2.61512291862484</v>
      </c>
    </row>
    <row r="9" customFormat="false" ht="12" hidden="false" customHeight="false" outlineLevel="0" collapsed="false">
      <c r="A9" s="9" t="n">
        <v>4</v>
      </c>
      <c r="B9" s="10"/>
      <c r="C9" s="11"/>
      <c r="D9" s="11" t="n">
        <v>4.4520790547309</v>
      </c>
      <c r="E9" s="11" t="n">
        <v>4.65057468189539</v>
      </c>
      <c r="F9" s="11" t="n">
        <v>4.88729432346832</v>
      </c>
      <c r="G9" s="11" t="n">
        <v>5.23044530207488</v>
      </c>
      <c r="H9" s="11" t="n">
        <v>4.36972903993878</v>
      </c>
      <c r="I9" s="12" t="n">
        <v>4.71802448042165</v>
      </c>
    </row>
    <row r="10" customFormat="false" ht="12" hidden="false" customHeight="false" outlineLevel="0" collapsed="false">
      <c r="A10" s="9" t="n">
        <v>6</v>
      </c>
      <c r="B10" s="10"/>
      <c r="C10" s="11"/>
      <c r="D10" s="11"/>
      <c r="E10" s="11" t="n">
        <v>12.301300803113</v>
      </c>
      <c r="F10" s="11" t="n">
        <v>14.8761002793728</v>
      </c>
      <c r="G10" s="11"/>
      <c r="H10" s="11" t="n">
        <v>16.4251586162617</v>
      </c>
      <c r="I10" s="12" t="n">
        <v>14.5341865662491</v>
      </c>
    </row>
    <row r="11" customFormat="false" ht="12" hidden="false" customHeight="false" outlineLevel="0" collapsed="false">
      <c r="A11" s="9" t="n">
        <v>8</v>
      </c>
      <c r="B11" s="10"/>
      <c r="C11" s="11"/>
      <c r="D11" s="11"/>
      <c r="E11" s="11" t="n">
        <v>8.36818850689624</v>
      </c>
      <c r="F11" s="11"/>
      <c r="G11" s="11"/>
      <c r="H11" s="11"/>
      <c r="I11" s="12" t="n">
        <v>8.36818850689624</v>
      </c>
    </row>
    <row r="12" customFormat="false" ht="12" hidden="false" customHeight="false" outlineLevel="0" collapsed="false">
      <c r="A12" s="9" t="n">
        <v>10</v>
      </c>
      <c r="B12" s="10"/>
      <c r="C12" s="11"/>
      <c r="D12" s="11"/>
      <c r="E12" s="11"/>
      <c r="F12" s="11"/>
      <c r="G12" s="11"/>
      <c r="H12" s="11"/>
      <c r="I12" s="12"/>
    </row>
    <row r="13" customFormat="false" ht="12" hidden="false" customHeight="false" outlineLevel="0" collapsed="false">
      <c r="A13" s="9" t="n">
        <v>15</v>
      </c>
      <c r="B13" s="10"/>
      <c r="C13" s="11"/>
      <c r="D13" s="11"/>
      <c r="E13" s="11"/>
      <c r="F13" s="11"/>
      <c r="G13" s="11"/>
      <c r="H13" s="11"/>
      <c r="I13" s="12"/>
    </row>
    <row r="14" customFormat="false" ht="12" hidden="false" customHeight="false" outlineLevel="0" collapsed="false">
      <c r="A14" s="9" t="n">
        <v>20</v>
      </c>
      <c r="B14" s="10"/>
      <c r="C14" s="11"/>
      <c r="D14" s="11"/>
      <c r="E14" s="11"/>
      <c r="F14" s="11"/>
      <c r="G14" s="11"/>
      <c r="H14" s="11"/>
      <c r="I14" s="12"/>
    </row>
    <row r="15" customFormat="false" ht="12" hidden="false" customHeight="false" outlineLevel="0" collapsed="false">
      <c r="A15" s="13" t="s">
        <v>3</v>
      </c>
      <c r="B15" s="14"/>
      <c r="C15" s="15" t="n">
        <v>1.86383413438998</v>
      </c>
      <c r="D15" s="15" t="n">
        <v>2.24287352647781</v>
      </c>
      <c r="E15" s="15" t="n">
        <v>4.1015114776739</v>
      </c>
      <c r="F15" s="15" t="n">
        <v>3.90814874444771</v>
      </c>
      <c r="G15" s="15" t="n">
        <v>2.3446501645339</v>
      </c>
      <c r="H15" s="15" t="n">
        <v>4.0029046866204</v>
      </c>
      <c r="I15" s="16" t="n">
        <v>3.1888378086896</v>
      </c>
    </row>
    <row r="16" customFormat="false" ht="12" hidden="false" customHeight="false" outlineLevel="0" collapsed="false">
      <c r="A16" s="0" t="s">
        <v>8</v>
      </c>
    </row>
    <row r="17" customFormat="false" ht="12" hidden="false" customHeight="false" outlineLevel="0" collapsed="false">
      <c r="A17" s="0" t="s">
        <v>2</v>
      </c>
      <c r="B17" s="0" t="s">
        <v>1</v>
      </c>
    </row>
    <row r="18" customFormat="false" ht="12" hidden="false" customHeight="false" outlineLevel="0" collapsed="false">
      <c r="B18" s="17" t="n">
        <v>0</v>
      </c>
      <c r="C18" s="17" t="n">
        <v>0.17</v>
      </c>
      <c r="D18" s="17" t="n">
        <v>0.33</v>
      </c>
      <c r="E18" s="17" t="n">
        <v>0.5</v>
      </c>
      <c r="F18" s="17" t="n">
        <v>0.67</v>
      </c>
      <c r="G18" s="17" t="n">
        <v>0.83</v>
      </c>
      <c r="H18" s="17" t="n">
        <v>1</v>
      </c>
      <c r="I18" s="0" t="s">
        <v>3</v>
      </c>
    </row>
    <row r="19" customFormat="false" ht="12" hidden="false" customHeight="false" outlineLevel="0" collapsed="false">
      <c r="A19" s="0" t="n">
        <v>2</v>
      </c>
      <c r="C19" s="0" t="n">
        <v>1.22793992045723</v>
      </c>
      <c r="D19" s="0" t="n">
        <v>1.24173577380423</v>
      </c>
      <c r="E19" s="0" t="n">
        <v>1.36086926624757</v>
      </c>
      <c r="F19" s="0" t="n">
        <v>1.31505091923803</v>
      </c>
      <c r="G19" s="0" t="n">
        <v>1.32586309612108</v>
      </c>
      <c r="H19" s="0" t="n">
        <v>1.30881209230649</v>
      </c>
      <c r="I19" s="0" t="n">
        <v>1.29671184469577</v>
      </c>
    </row>
    <row r="20" customFormat="false" ht="12" hidden="false" customHeight="false" outlineLevel="0" collapsed="false">
      <c r="A20" s="0" t="n">
        <v>2.2</v>
      </c>
      <c r="C20" s="0" t="n">
        <v>1.47018934264755</v>
      </c>
      <c r="D20" s="0" t="n">
        <v>1.46216972546841</v>
      </c>
      <c r="E20" s="0" t="n">
        <v>1.44611306765114</v>
      </c>
      <c r="F20" s="0" t="n">
        <v>1.56322189983466</v>
      </c>
      <c r="G20" s="0" t="n">
        <v>1.55585768306818</v>
      </c>
      <c r="H20" s="0" t="n">
        <v>1.55860457025862</v>
      </c>
      <c r="I20" s="0" t="n">
        <v>1.50935938148809</v>
      </c>
    </row>
    <row r="21" customFormat="false" ht="12" hidden="false" customHeight="false" outlineLevel="0" collapsed="false">
      <c r="A21" s="0" t="n">
        <v>2.4</v>
      </c>
      <c r="C21" s="0" t="n">
        <v>1.83606159640181</v>
      </c>
      <c r="D21" s="0" t="n">
        <v>1.87549089054891</v>
      </c>
      <c r="E21" s="0" t="n">
        <v>1.8746899377511</v>
      </c>
      <c r="F21" s="0" t="n">
        <v>1.83843117475279</v>
      </c>
      <c r="G21" s="0" t="n">
        <v>1.77519599403783</v>
      </c>
      <c r="H21" s="0" t="n">
        <v>1.72602570678709</v>
      </c>
      <c r="I21" s="0" t="n">
        <v>1.82098255004659</v>
      </c>
    </row>
    <row r="22" customFormat="false" ht="12" hidden="false" customHeight="false" outlineLevel="0" collapsed="false">
      <c r="A22" s="0" t="n">
        <v>2.6</v>
      </c>
      <c r="C22" s="0" t="n">
        <v>1.9379705347123</v>
      </c>
      <c r="D22" s="0" t="n">
        <v>1.94110129225596</v>
      </c>
      <c r="E22" s="0" t="n">
        <v>2.02091918521437</v>
      </c>
      <c r="F22" s="0" t="n">
        <v>1.92338260312389</v>
      </c>
      <c r="G22" s="0" t="n">
        <v>1.8167543556821</v>
      </c>
      <c r="H22" s="0" t="n">
        <v>1.99473246929086</v>
      </c>
      <c r="I22" s="0" t="n">
        <v>1.93914340671325</v>
      </c>
    </row>
    <row r="23" customFormat="false" ht="12" hidden="false" customHeight="false" outlineLevel="0" collapsed="false">
      <c r="A23" s="0" t="n">
        <v>2.8</v>
      </c>
      <c r="C23" s="0" t="n">
        <v>2.14679997800425</v>
      </c>
      <c r="D23" s="0" t="n">
        <v>2.02784234395112</v>
      </c>
      <c r="E23" s="0" t="n">
        <v>2.21283188090949</v>
      </c>
      <c r="F23" s="0" t="n">
        <v>2.0745192555021</v>
      </c>
      <c r="G23" s="0" t="n">
        <v>2.17818377951191</v>
      </c>
      <c r="H23" s="0" t="n">
        <v>2.20873293598992</v>
      </c>
      <c r="I23" s="0" t="n">
        <v>2.14148502897813</v>
      </c>
    </row>
    <row r="24" customFormat="false" ht="12" hidden="false" customHeight="false" outlineLevel="0" collapsed="false">
      <c r="A24" s="0" t="n">
        <v>3</v>
      </c>
      <c r="C24" s="0" t="n">
        <v>2.56404343411676</v>
      </c>
      <c r="D24" s="0" t="n">
        <v>2.69969560458511</v>
      </c>
      <c r="E24" s="0" t="n">
        <v>2.67811596938685</v>
      </c>
      <c r="F24" s="0" t="n">
        <v>2.78718950028916</v>
      </c>
      <c r="G24" s="0" t="n">
        <v>2.53025094124135</v>
      </c>
      <c r="H24" s="0" t="n">
        <v>2.43144206212981</v>
      </c>
      <c r="I24" s="0" t="n">
        <v>2.61512291862484</v>
      </c>
    </row>
    <row r="25" customFormat="false" ht="12" hidden="false" customHeight="false" outlineLevel="0" collapsed="false">
      <c r="A25" s="0" t="n">
        <v>4</v>
      </c>
      <c r="D25" s="0" t="n">
        <v>4.4520790547309</v>
      </c>
      <c r="E25" s="0" t="n">
        <v>4.65057468189539</v>
      </c>
      <c r="F25" s="0" t="n">
        <v>4.88729432346832</v>
      </c>
      <c r="G25" s="0" t="n">
        <v>5.23044530207488</v>
      </c>
      <c r="H25" s="0" t="n">
        <v>4.36972903993878</v>
      </c>
      <c r="I25" s="0" t="n">
        <v>4.71802448042165</v>
      </c>
    </row>
    <row r="26" customFormat="false" ht="12" hidden="false" customHeight="false" outlineLevel="0" collapsed="false">
      <c r="A26" s="0" t="n">
        <v>6</v>
      </c>
      <c r="E26" s="0" t="n">
        <v>12.301300803113</v>
      </c>
      <c r="F26" s="0" t="n">
        <v>14.8761002793728</v>
      </c>
      <c r="H26" s="0" t="n">
        <v>16.4251586162617</v>
      </c>
      <c r="I26" s="0" t="n">
        <v>14.5341865662491</v>
      </c>
    </row>
    <row r="27" customFormat="false" ht="12" hidden="false" customHeight="false" outlineLevel="0" collapsed="false">
      <c r="A27" s="0" t="n">
        <v>8</v>
      </c>
      <c r="E27" s="0" t="n">
        <v>8.36818850689624</v>
      </c>
      <c r="I27" s="0" t="n">
        <v>8.36818850689624</v>
      </c>
    </row>
    <row r="28" customFormat="false" ht="12" hidden="false" customHeight="false" outlineLevel="0" collapsed="false">
      <c r="A28" s="0" t="n">
        <v>10</v>
      </c>
    </row>
    <row r="29" customFormat="false" ht="12" hidden="false" customHeight="false" outlineLevel="0" collapsed="false">
      <c r="A29" s="0" t="n">
        <v>15</v>
      </c>
    </row>
    <row r="30" customFormat="false" ht="12" hidden="false" customHeight="false" outlineLevel="0" collapsed="false">
      <c r="A30" s="0" t="n">
        <v>20</v>
      </c>
    </row>
    <row r="31" customFormat="false" ht="12" hidden="false" customHeight="false" outlineLevel="0" collapsed="false">
      <c r="A31" s="0" t="s">
        <v>3</v>
      </c>
      <c r="C31" s="0" t="n">
        <v>1.86383413438998</v>
      </c>
      <c r="D31" s="0" t="n">
        <v>2.24287352647781</v>
      </c>
      <c r="E31" s="0" t="n">
        <v>4.1015114776739</v>
      </c>
      <c r="F31" s="0" t="n">
        <v>3.90814874444771</v>
      </c>
      <c r="G31" s="0" t="n">
        <v>2.3446501645339</v>
      </c>
      <c r="H31" s="0" t="n">
        <v>4.0029046866204</v>
      </c>
      <c r="I31" s="0" t="n">
        <v>3.1888378086896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B18" activeCellId="0" sqref="B18:G18"/>
    </sheetView>
  </sheetViews>
  <sheetFormatPr defaultColWidth="9.05078125" defaultRowHeight="12" customHeight="false" zeroHeight="false" outlineLevelRow="0" outlineLevelCol="0"/>
  <cols>
    <col collapsed="false" customWidth="true" hidden="false" outlineLevel="0" max="1" min="1" style="0" width="34.87"/>
    <col collapsed="false" customWidth="true" hidden="false" outlineLevel="0" max="8" min="2" style="0" width="15.86"/>
    <col collapsed="false" customWidth="true" hidden="false" outlineLevel="0" max="9" min="9" style="0" width="11.87"/>
  </cols>
  <sheetData>
    <row r="1" customFormat="false" ht="12" hidden="false" customHeight="false" outlineLevel="0" collapsed="false">
      <c r="A1" s="1" t="s">
        <v>9</v>
      </c>
      <c r="B1" s="2" t="s">
        <v>1</v>
      </c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2" t="s">
        <v>2</v>
      </c>
      <c r="B2" s="1" t="n">
        <v>0</v>
      </c>
      <c r="C2" s="3" t="n">
        <v>0.17</v>
      </c>
      <c r="D2" s="3" t="n">
        <v>0.33</v>
      </c>
      <c r="E2" s="3" t="n">
        <v>0.5</v>
      </c>
      <c r="F2" s="3" t="n">
        <v>0.67</v>
      </c>
      <c r="G2" s="3" t="n">
        <v>0.83</v>
      </c>
      <c r="H2" s="3" t="n">
        <v>1</v>
      </c>
      <c r="I2" s="5" t="s">
        <v>3</v>
      </c>
    </row>
    <row r="3" customFormat="false" ht="12" hidden="false" customHeight="false" outlineLevel="0" collapsed="false">
      <c r="A3" s="1" t="n">
        <v>2</v>
      </c>
      <c r="B3" s="6" t="n">
        <v>2.54585921317425</v>
      </c>
      <c r="C3" s="7" t="n">
        <v>2.04073102570719</v>
      </c>
      <c r="D3" s="7" t="n">
        <v>1.85036889312503</v>
      </c>
      <c r="E3" s="7" t="n">
        <v>1.63705576569104</v>
      </c>
      <c r="F3" s="7" t="n">
        <v>1.5902882256377</v>
      </c>
      <c r="G3" s="7" t="n">
        <v>1.51854197644907</v>
      </c>
      <c r="H3" s="7"/>
      <c r="I3" s="8" t="n">
        <v>1.86380751663071</v>
      </c>
    </row>
    <row r="4" customFormat="false" ht="12" hidden="false" customHeight="false" outlineLevel="0" collapsed="false">
      <c r="A4" s="9" t="n">
        <v>2.2</v>
      </c>
      <c r="B4" s="10" t="n">
        <v>3.45414838057836</v>
      </c>
      <c r="C4" s="11" t="n">
        <v>2.63684499250904</v>
      </c>
      <c r="D4" s="11" t="n">
        <v>2.18664119683528</v>
      </c>
      <c r="E4" s="11" t="n">
        <v>1.84187114228879</v>
      </c>
      <c r="F4" s="11" t="n">
        <v>1.80071275721852</v>
      </c>
      <c r="G4" s="11" t="n">
        <v>1.69875540570397</v>
      </c>
      <c r="H4" s="11"/>
      <c r="I4" s="12" t="n">
        <v>2.26982897918899</v>
      </c>
    </row>
    <row r="5" customFormat="false" ht="12" hidden="false" customHeight="false" outlineLevel="0" collapsed="false">
      <c r="A5" s="9" t="n">
        <v>2.4</v>
      </c>
      <c r="B5" s="10" t="n">
        <v>5.23546186696258</v>
      </c>
      <c r="C5" s="11" t="n">
        <v>3.42336064563289</v>
      </c>
      <c r="D5" s="11" t="n">
        <v>2.55641396091661</v>
      </c>
      <c r="E5" s="11" t="n">
        <v>2.29150600809731</v>
      </c>
      <c r="F5" s="11" t="n">
        <v>2.10314178949302</v>
      </c>
      <c r="G5" s="11" t="n">
        <v>1.9867851339394</v>
      </c>
      <c r="H5" s="11"/>
      <c r="I5" s="12" t="n">
        <v>2.93277823417364</v>
      </c>
    </row>
    <row r="6" customFormat="false" ht="12" hidden="false" customHeight="false" outlineLevel="0" collapsed="false">
      <c r="A6" s="9" t="n">
        <v>2.6</v>
      </c>
      <c r="B6" s="10" t="n">
        <v>8.09853378826149</v>
      </c>
      <c r="C6" s="11" t="n">
        <v>4.31947340183875</v>
      </c>
      <c r="D6" s="11" t="n">
        <v>3.27321164918268</v>
      </c>
      <c r="E6" s="11" t="n">
        <v>2.6999638187093</v>
      </c>
      <c r="F6" s="11" t="n">
        <v>2.26694362197158</v>
      </c>
      <c r="G6" s="11" t="n">
        <v>2.15809351251056</v>
      </c>
      <c r="H6" s="11"/>
      <c r="I6" s="12" t="n">
        <v>3.80270329874572</v>
      </c>
    </row>
    <row r="7" customFormat="false" ht="12" hidden="false" customHeight="false" outlineLevel="0" collapsed="false">
      <c r="A7" s="9" t="n">
        <v>2.8</v>
      </c>
      <c r="B7" s="10" t="n">
        <v>15.5052340392267</v>
      </c>
      <c r="C7" s="11" t="n">
        <v>5.5235374853379</v>
      </c>
      <c r="D7" s="11" t="n">
        <v>3.4124427099001</v>
      </c>
      <c r="E7" s="11" t="n">
        <v>3.02136823173335</v>
      </c>
      <c r="F7" s="11" t="n">
        <v>2.51629250943811</v>
      </c>
      <c r="G7" s="11" t="n">
        <v>2.35253013495711</v>
      </c>
      <c r="H7" s="11"/>
      <c r="I7" s="12" t="n">
        <v>5.38856751843221</v>
      </c>
    </row>
    <row r="8" customFormat="false" ht="12" hidden="false" customHeight="false" outlineLevel="0" collapsed="false">
      <c r="A8" s="9" t="n">
        <v>3</v>
      </c>
      <c r="B8" s="10" t="n">
        <v>21.698282453438</v>
      </c>
      <c r="C8" s="11" t="n">
        <v>7.77501444110654</v>
      </c>
      <c r="D8" s="11" t="n">
        <v>4.37325975007663</v>
      </c>
      <c r="E8" s="11" t="n">
        <v>3.41741257951589</v>
      </c>
      <c r="F8" s="11" t="n">
        <v>3.25762880298122</v>
      </c>
      <c r="G8" s="11" t="n">
        <v>2.85601671977382</v>
      </c>
      <c r="H8" s="11"/>
      <c r="I8" s="12" t="n">
        <v>7.22960245781534</v>
      </c>
    </row>
    <row r="9" customFormat="false" ht="12" hidden="false" customHeight="false" outlineLevel="0" collapsed="false">
      <c r="A9" s="9" t="n">
        <v>4</v>
      </c>
      <c r="B9" s="10" t="n">
        <v>147.651355335252</v>
      </c>
      <c r="C9" s="11" t="n">
        <v>54.5608648766399</v>
      </c>
      <c r="D9" s="11" t="n">
        <v>15.2103516625166</v>
      </c>
      <c r="E9" s="11" t="n">
        <v>6.6255057835377</v>
      </c>
      <c r="F9" s="11" t="n">
        <v>5.41496630013623</v>
      </c>
      <c r="G9" s="11" t="n">
        <v>5.37692158236399</v>
      </c>
      <c r="H9" s="11"/>
      <c r="I9" s="12" t="n">
        <v>39.1399942567411</v>
      </c>
    </row>
    <row r="10" customFormat="false" ht="12" hidden="false" customHeight="false" outlineLevel="0" collapsed="false">
      <c r="A10" s="9" t="n">
        <v>6</v>
      </c>
      <c r="B10" s="10" t="n">
        <v>438.922155081972</v>
      </c>
      <c r="C10" s="11" t="n">
        <v>286.79615150423</v>
      </c>
      <c r="D10" s="11" t="n">
        <v>150.103717083293</v>
      </c>
      <c r="E10" s="11" t="n">
        <v>31.8423258764905</v>
      </c>
      <c r="F10" s="11" t="n">
        <v>16.0617034852579</v>
      </c>
      <c r="G10" s="11"/>
      <c r="H10" s="11"/>
      <c r="I10" s="12" t="n">
        <v>184.745210606249</v>
      </c>
    </row>
    <row r="11" customFormat="false" ht="12" hidden="false" customHeight="false" outlineLevel="0" collapsed="false">
      <c r="A11" s="9" t="n">
        <v>8</v>
      </c>
      <c r="B11" s="10" t="n">
        <v>734.012775204431</v>
      </c>
      <c r="C11" s="11" t="n">
        <v>525.421052082199</v>
      </c>
      <c r="D11" s="11" t="n">
        <v>354.044365626201</v>
      </c>
      <c r="E11" s="11" t="n">
        <v>150.206229248756</v>
      </c>
      <c r="F11" s="11"/>
      <c r="G11" s="11"/>
      <c r="H11" s="11"/>
      <c r="I11" s="12" t="n">
        <v>440.921105540397</v>
      </c>
    </row>
    <row r="12" customFormat="false" ht="12" hidden="false" customHeight="false" outlineLevel="0" collapsed="false">
      <c r="A12" s="9" t="n">
        <v>10</v>
      </c>
      <c r="B12" s="10" t="n">
        <v>1006.53363333793</v>
      </c>
      <c r="C12" s="11"/>
      <c r="D12" s="11"/>
      <c r="E12" s="11"/>
      <c r="F12" s="11"/>
      <c r="G12" s="11"/>
      <c r="H12" s="11"/>
      <c r="I12" s="12" t="n">
        <v>1006.53363333793</v>
      </c>
    </row>
    <row r="13" customFormat="false" ht="12" hidden="false" customHeight="false" outlineLevel="0" collapsed="false">
      <c r="A13" s="9" t="n">
        <v>15</v>
      </c>
      <c r="B13" s="10" t="n">
        <v>1751.04350182761</v>
      </c>
      <c r="C13" s="11"/>
      <c r="D13" s="11"/>
      <c r="E13" s="11"/>
      <c r="F13" s="11"/>
      <c r="G13" s="11"/>
      <c r="H13" s="11"/>
      <c r="I13" s="12" t="n">
        <v>1751.04350182761</v>
      </c>
    </row>
    <row r="14" customFormat="false" ht="12" hidden="false" customHeight="false" outlineLevel="0" collapsed="false">
      <c r="A14" s="9" t="n">
        <v>20</v>
      </c>
      <c r="B14" s="10" t="n">
        <v>2489.32187960146</v>
      </c>
      <c r="C14" s="11"/>
      <c r="D14" s="11"/>
      <c r="E14" s="11"/>
      <c r="F14" s="11"/>
      <c r="G14" s="11"/>
      <c r="H14" s="11"/>
      <c r="I14" s="12" t="n">
        <v>2489.32187960146</v>
      </c>
    </row>
    <row r="15" customFormat="false" ht="12" hidden="false" customHeight="false" outlineLevel="0" collapsed="false">
      <c r="A15" s="13" t="s">
        <v>3</v>
      </c>
      <c r="B15" s="14" t="n">
        <v>552.001901677524</v>
      </c>
      <c r="C15" s="15" t="n">
        <v>99.1663367172445</v>
      </c>
      <c r="D15" s="15" t="n">
        <v>59.6678636146719</v>
      </c>
      <c r="E15" s="15" t="n">
        <v>22.6203598283133</v>
      </c>
      <c r="F15" s="15" t="n">
        <v>4.37645968651678</v>
      </c>
      <c r="G15" s="15" t="n">
        <v>2.56394920938542</v>
      </c>
      <c r="H15" s="15"/>
      <c r="I15" s="16" t="n">
        <v>153.890244139448</v>
      </c>
    </row>
    <row r="16" customFormat="false" ht="12" hidden="false" customHeight="false" outlineLevel="0" collapsed="false">
      <c r="A16" s="0" t="s">
        <v>9</v>
      </c>
    </row>
    <row r="17" customFormat="false" ht="12" hidden="false" customHeight="false" outlineLevel="0" collapsed="false">
      <c r="A17" s="0" t="s">
        <v>2</v>
      </c>
      <c r="B17" s="0" t="s">
        <v>1</v>
      </c>
    </row>
    <row r="18" customFormat="false" ht="12" hidden="false" customHeight="false" outlineLevel="0" collapsed="false">
      <c r="B18" s="17" t="n">
        <v>0</v>
      </c>
      <c r="C18" s="17" t="n">
        <v>0.17</v>
      </c>
      <c r="D18" s="17" t="n">
        <v>0.33</v>
      </c>
      <c r="E18" s="17" t="n">
        <v>0.5</v>
      </c>
      <c r="F18" s="17" t="n">
        <v>0.67</v>
      </c>
      <c r="G18" s="17" t="n">
        <v>0.83</v>
      </c>
      <c r="H18" s="0" t="n">
        <v>1</v>
      </c>
      <c r="I18" s="0" t="s">
        <v>3</v>
      </c>
    </row>
    <row r="19" customFormat="false" ht="12" hidden="false" customHeight="false" outlineLevel="0" collapsed="false">
      <c r="A19" s="0" t="n">
        <v>2</v>
      </c>
      <c r="B19" s="0" t="n">
        <v>2.54585921317425</v>
      </c>
      <c r="C19" s="0" t="n">
        <v>2.04073102570719</v>
      </c>
      <c r="D19" s="0" t="n">
        <v>1.85036889312503</v>
      </c>
      <c r="E19" s="0" t="n">
        <v>1.63705576569104</v>
      </c>
      <c r="F19" s="0" t="n">
        <v>1.5902882256377</v>
      </c>
      <c r="G19" s="0" t="n">
        <v>1.51854197644907</v>
      </c>
      <c r="I19" s="0" t="n">
        <v>1.86380751663071</v>
      </c>
    </row>
    <row r="20" customFormat="false" ht="12" hidden="false" customHeight="false" outlineLevel="0" collapsed="false">
      <c r="A20" s="0" t="n">
        <v>2.2</v>
      </c>
      <c r="B20" s="0" t="n">
        <v>3.45414838057836</v>
      </c>
      <c r="C20" s="0" t="n">
        <v>2.63684499250904</v>
      </c>
      <c r="D20" s="0" t="n">
        <v>2.18664119683528</v>
      </c>
      <c r="E20" s="0" t="n">
        <v>1.84187114228879</v>
      </c>
      <c r="F20" s="0" t="n">
        <v>1.80071275721852</v>
      </c>
      <c r="G20" s="0" t="n">
        <v>1.69875540570397</v>
      </c>
      <c r="I20" s="0" t="n">
        <v>2.26982897918899</v>
      </c>
    </row>
    <row r="21" customFormat="false" ht="12" hidden="false" customHeight="false" outlineLevel="0" collapsed="false">
      <c r="A21" s="0" t="n">
        <v>2.4</v>
      </c>
      <c r="B21" s="0" t="n">
        <v>5.23546186696258</v>
      </c>
      <c r="C21" s="0" t="n">
        <v>3.42336064563289</v>
      </c>
      <c r="D21" s="0" t="n">
        <v>2.55641396091661</v>
      </c>
      <c r="E21" s="0" t="n">
        <v>2.29150600809731</v>
      </c>
      <c r="F21" s="0" t="n">
        <v>2.10314178949302</v>
      </c>
      <c r="G21" s="0" t="n">
        <v>1.9867851339394</v>
      </c>
      <c r="I21" s="0" t="n">
        <v>2.93277823417364</v>
      </c>
    </row>
    <row r="22" customFormat="false" ht="12" hidden="false" customHeight="false" outlineLevel="0" collapsed="false">
      <c r="A22" s="0" t="n">
        <v>2.6</v>
      </c>
      <c r="B22" s="0" t="n">
        <v>8.09853378826149</v>
      </c>
      <c r="C22" s="0" t="n">
        <v>4.31947340183875</v>
      </c>
      <c r="D22" s="0" t="n">
        <v>3.27321164918268</v>
      </c>
      <c r="E22" s="0" t="n">
        <v>2.6999638187093</v>
      </c>
      <c r="F22" s="0" t="n">
        <v>2.26694362197158</v>
      </c>
      <c r="G22" s="0" t="n">
        <v>2.15809351251056</v>
      </c>
      <c r="I22" s="0" t="n">
        <v>3.80270329874572</v>
      </c>
    </row>
    <row r="23" customFormat="false" ht="12" hidden="false" customHeight="false" outlineLevel="0" collapsed="false">
      <c r="A23" s="0" t="n">
        <v>2.8</v>
      </c>
      <c r="B23" s="0" t="n">
        <v>15.5052340392267</v>
      </c>
      <c r="C23" s="0" t="n">
        <v>5.5235374853379</v>
      </c>
      <c r="D23" s="0" t="n">
        <v>3.4124427099001</v>
      </c>
      <c r="E23" s="0" t="n">
        <v>3.02136823173335</v>
      </c>
      <c r="F23" s="0" t="n">
        <v>2.51629250943811</v>
      </c>
      <c r="G23" s="0" t="n">
        <v>2.35253013495711</v>
      </c>
      <c r="I23" s="0" t="n">
        <v>5.38856751843221</v>
      </c>
    </row>
    <row r="24" customFormat="false" ht="12" hidden="false" customHeight="false" outlineLevel="0" collapsed="false">
      <c r="A24" s="0" t="n">
        <v>3</v>
      </c>
      <c r="B24" s="0" t="n">
        <v>21.698282453438</v>
      </c>
      <c r="C24" s="0" t="n">
        <v>7.77501444110654</v>
      </c>
      <c r="D24" s="0" t="n">
        <v>4.37325975007663</v>
      </c>
      <c r="E24" s="0" t="n">
        <v>3.41741257951589</v>
      </c>
      <c r="F24" s="0" t="n">
        <v>3.25762880298122</v>
      </c>
      <c r="G24" s="0" t="n">
        <v>2.85601671977382</v>
      </c>
      <c r="I24" s="0" t="n">
        <v>7.22960245781534</v>
      </c>
    </row>
    <row r="25" customFormat="false" ht="12" hidden="false" customHeight="false" outlineLevel="0" collapsed="false">
      <c r="A25" s="0" t="n">
        <v>4</v>
      </c>
      <c r="B25" s="0" t="n">
        <v>147.651355335252</v>
      </c>
      <c r="C25" s="0" t="n">
        <v>54.5608648766399</v>
      </c>
      <c r="D25" s="0" t="n">
        <v>15.2103516625166</v>
      </c>
      <c r="E25" s="0" t="n">
        <v>6.6255057835377</v>
      </c>
      <c r="F25" s="0" t="n">
        <v>5.41496630013623</v>
      </c>
      <c r="G25" s="0" t="n">
        <v>5.37692158236399</v>
      </c>
      <c r="I25" s="0" t="n">
        <v>39.1399942567411</v>
      </c>
    </row>
    <row r="26" customFormat="false" ht="12" hidden="false" customHeight="false" outlineLevel="0" collapsed="false">
      <c r="A26" s="0" t="n">
        <v>6</v>
      </c>
      <c r="B26" s="0" t="n">
        <v>438.922155081972</v>
      </c>
      <c r="C26" s="0" t="n">
        <v>286.79615150423</v>
      </c>
      <c r="D26" s="0" t="n">
        <v>150.103717083293</v>
      </c>
      <c r="E26" s="0" t="n">
        <v>31.8423258764905</v>
      </c>
      <c r="F26" s="0" t="n">
        <v>16.0617034852579</v>
      </c>
      <c r="I26" s="0" t="n">
        <v>184.745210606249</v>
      </c>
    </row>
    <row r="27" customFormat="false" ht="12" hidden="false" customHeight="false" outlineLevel="0" collapsed="false">
      <c r="A27" s="0" t="n">
        <v>8</v>
      </c>
      <c r="B27" s="0" t="n">
        <v>734.012775204431</v>
      </c>
      <c r="C27" s="0" t="n">
        <v>525.421052082199</v>
      </c>
      <c r="D27" s="0" t="n">
        <v>354.044365626201</v>
      </c>
      <c r="E27" s="0" t="n">
        <v>150.206229248756</v>
      </c>
      <c r="I27" s="0" t="n">
        <v>440.921105540397</v>
      </c>
    </row>
    <row r="28" customFormat="false" ht="12" hidden="false" customHeight="false" outlineLevel="0" collapsed="false">
      <c r="A28" s="0" t="n">
        <v>10</v>
      </c>
      <c r="B28" s="0" t="n">
        <v>1006.53363333793</v>
      </c>
      <c r="I28" s="0" t="n">
        <v>1006.53363333793</v>
      </c>
    </row>
    <row r="29" customFormat="false" ht="12" hidden="false" customHeight="false" outlineLevel="0" collapsed="false">
      <c r="A29" s="0" t="n">
        <v>15</v>
      </c>
      <c r="B29" s="0" t="n">
        <v>1751.04350182761</v>
      </c>
      <c r="I29" s="0" t="n">
        <v>1751.04350182761</v>
      </c>
    </row>
    <row r="30" customFormat="false" ht="12" hidden="false" customHeight="false" outlineLevel="0" collapsed="false">
      <c r="A30" s="0" t="n">
        <v>20</v>
      </c>
      <c r="B30" s="0" t="n">
        <v>2489.32187960146</v>
      </c>
      <c r="I30" s="0" t="n">
        <v>2489.32187960146</v>
      </c>
    </row>
    <row r="31" customFormat="false" ht="12" hidden="false" customHeight="false" outlineLevel="0" collapsed="false">
      <c r="A31" s="0" t="s">
        <v>3</v>
      </c>
      <c r="B31" s="0" t="n">
        <v>552.001901677524</v>
      </c>
      <c r="C31" s="0" t="n">
        <v>99.1663367172445</v>
      </c>
      <c r="D31" s="0" t="n">
        <v>59.6678636146719</v>
      </c>
      <c r="E31" s="0" t="n">
        <v>22.6203598283133</v>
      </c>
      <c r="F31" s="0" t="n">
        <v>4.37645968651678</v>
      </c>
      <c r="G31" s="0" t="n">
        <v>2.56394920938542</v>
      </c>
      <c r="I31" s="0" t="n">
        <v>153.890244139448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0" t="s">
        <v>2</v>
      </c>
      <c r="B1" s="0" t="s">
        <v>1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18" t="s">
        <v>15</v>
      </c>
      <c r="I1" s="18" t="s">
        <v>16</v>
      </c>
    </row>
    <row r="2" customFormat="false" ht="12" hidden="false" customHeight="false" outlineLevel="0" collapsed="false">
      <c r="A2" s="0" t="n">
        <v>20</v>
      </c>
      <c r="B2" s="0" t="n">
        <v>1</v>
      </c>
      <c r="H2" s="18"/>
      <c r="I2" s="18"/>
    </row>
    <row r="3" customFormat="false" ht="12" hidden="false" customHeight="false" outlineLevel="0" collapsed="false">
      <c r="A3" s="0" t="n">
        <v>20</v>
      </c>
      <c r="B3" s="0" t="n">
        <v>0.83</v>
      </c>
      <c r="H3" s="18"/>
      <c r="I3" s="18"/>
    </row>
    <row r="4" customFormat="false" ht="12" hidden="false" customHeight="false" outlineLevel="0" collapsed="false">
      <c r="A4" s="0" t="n">
        <v>20</v>
      </c>
      <c r="B4" s="0" t="n">
        <v>0.67</v>
      </c>
      <c r="H4" s="18"/>
      <c r="I4" s="18"/>
    </row>
    <row r="5" customFormat="false" ht="12" hidden="false" customHeight="false" outlineLevel="0" collapsed="false">
      <c r="A5" s="0" t="n">
        <v>20</v>
      </c>
      <c r="B5" s="0" t="n">
        <v>0.5</v>
      </c>
      <c r="H5" s="18"/>
      <c r="I5" s="18"/>
    </row>
    <row r="6" customFormat="false" ht="12" hidden="false" customHeight="false" outlineLevel="0" collapsed="false">
      <c r="A6" s="0" t="n">
        <v>20</v>
      </c>
      <c r="B6" s="0" t="n">
        <v>0.33</v>
      </c>
      <c r="H6" s="18"/>
      <c r="I6" s="18"/>
    </row>
    <row r="7" customFormat="false" ht="12" hidden="false" customHeight="false" outlineLevel="0" collapsed="false">
      <c r="A7" s="0" t="n">
        <v>20</v>
      </c>
      <c r="B7" s="0" t="n">
        <v>0.17</v>
      </c>
      <c r="H7" s="18"/>
      <c r="I7" s="18"/>
    </row>
    <row r="8" customFormat="false" ht="12" hidden="false" customHeight="false" outlineLevel="0" collapsed="false">
      <c r="A8" s="0" t="n">
        <v>20</v>
      </c>
      <c r="B8" s="0" t="n">
        <v>0</v>
      </c>
      <c r="D8" s="0" t="n">
        <v>2166.13407885415</v>
      </c>
      <c r="G8" s="0" t="n">
        <v>0</v>
      </c>
      <c r="H8" s="18"/>
      <c r="I8" s="18" t="n">
        <v>2489.32187960146</v>
      </c>
    </row>
    <row r="9" customFormat="false" ht="12" hidden="false" customHeight="false" outlineLevel="0" collapsed="false">
      <c r="A9" s="0" t="n">
        <v>15</v>
      </c>
      <c r="B9" s="0" t="n">
        <v>1</v>
      </c>
      <c r="H9" s="18"/>
      <c r="I9" s="18"/>
    </row>
    <row r="10" customFormat="false" ht="12" hidden="false" customHeight="false" outlineLevel="0" collapsed="false">
      <c r="A10" s="0" t="n">
        <v>15</v>
      </c>
      <c r="B10" s="0" t="n">
        <v>0.83</v>
      </c>
      <c r="H10" s="18"/>
      <c r="I10" s="18"/>
    </row>
    <row r="11" customFormat="false" ht="12" hidden="false" customHeight="false" outlineLevel="0" collapsed="false">
      <c r="A11" s="0" t="n">
        <v>15</v>
      </c>
      <c r="B11" s="0" t="n">
        <v>0.67</v>
      </c>
      <c r="H11" s="18"/>
      <c r="I11" s="18"/>
    </row>
    <row r="12" customFormat="false" ht="12" hidden="false" customHeight="false" outlineLevel="0" collapsed="false">
      <c r="A12" s="0" t="n">
        <v>15</v>
      </c>
      <c r="B12" s="0" t="n">
        <v>0.5</v>
      </c>
      <c r="H12" s="18"/>
      <c r="I12" s="18"/>
    </row>
    <row r="13" customFormat="false" ht="12" hidden="false" customHeight="false" outlineLevel="0" collapsed="false">
      <c r="A13" s="0" t="n">
        <v>15</v>
      </c>
      <c r="B13" s="0" t="n">
        <v>0.33</v>
      </c>
      <c r="H13" s="18"/>
      <c r="I13" s="18"/>
    </row>
    <row r="14" customFormat="false" ht="12" hidden="false" customHeight="false" outlineLevel="0" collapsed="false">
      <c r="A14" s="0" t="n">
        <v>15</v>
      </c>
      <c r="B14" s="0" t="n">
        <v>0.17</v>
      </c>
      <c r="H14" s="18"/>
      <c r="I14" s="18"/>
    </row>
    <row r="15" customFormat="false" ht="12" hidden="false" customHeight="false" outlineLevel="0" collapsed="false">
      <c r="A15" s="0" t="n">
        <v>15</v>
      </c>
      <c r="B15" s="0" t="n">
        <v>0</v>
      </c>
      <c r="D15" s="0" t="n">
        <v>1521.30370938622</v>
      </c>
      <c r="G15" s="0" t="n">
        <v>0</v>
      </c>
      <c r="H15" s="18"/>
      <c r="I15" s="18" t="n">
        <v>1751.04350182761</v>
      </c>
    </row>
    <row r="16" customFormat="false" ht="12" hidden="false" customHeight="false" outlineLevel="0" collapsed="false">
      <c r="A16" s="0" t="n">
        <v>10</v>
      </c>
      <c r="B16" s="0" t="n">
        <v>1</v>
      </c>
      <c r="H16" s="18"/>
      <c r="I16" s="18"/>
    </row>
    <row r="17" customFormat="false" ht="12" hidden="false" customHeight="false" outlineLevel="0" collapsed="false">
      <c r="A17" s="0" t="n">
        <v>10</v>
      </c>
      <c r="B17" s="0" t="n">
        <v>0.83</v>
      </c>
      <c r="H17" s="18"/>
      <c r="I17" s="18"/>
    </row>
    <row r="18" customFormat="false" ht="12" hidden="false" customHeight="false" outlineLevel="0" collapsed="false">
      <c r="A18" s="0" t="n">
        <v>10</v>
      </c>
      <c r="B18" s="0" t="n">
        <v>0.67</v>
      </c>
      <c r="H18" s="18"/>
      <c r="I18" s="18"/>
    </row>
    <row r="19" customFormat="false" ht="12" hidden="false" customHeight="false" outlineLevel="0" collapsed="false">
      <c r="A19" s="0" t="n">
        <v>10</v>
      </c>
      <c r="B19" s="0" t="n">
        <v>0.5</v>
      </c>
      <c r="H19" s="18"/>
      <c r="I19" s="18"/>
    </row>
    <row r="20" customFormat="false" ht="12" hidden="false" customHeight="false" outlineLevel="0" collapsed="false">
      <c r="A20" s="0" t="n">
        <v>10</v>
      </c>
      <c r="B20" s="0" t="n">
        <v>0.33</v>
      </c>
      <c r="H20" s="18"/>
      <c r="I20" s="18"/>
    </row>
    <row r="21" customFormat="false" ht="12" hidden="false" customHeight="false" outlineLevel="0" collapsed="false">
      <c r="A21" s="0" t="n">
        <v>10</v>
      </c>
      <c r="B21" s="0" t="n">
        <v>0.17</v>
      </c>
      <c r="H21" s="18"/>
      <c r="I21" s="18"/>
    </row>
    <row r="22" customFormat="false" ht="12" hidden="false" customHeight="false" outlineLevel="0" collapsed="false">
      <c r="A22" s="0" t="n">
        <v>10</v>
      </c>
      <c r="B22" s="0" t="n">
        <v>0</v>
      </c>
      <c r="D22" s="0" t="n">
        <v>879.844675195934</v>
      </c>
      <c r="G22" s="0" t="n">
        <v>0</v>
      </c>
      <c r="H22" s="18"/>
      <c r="I22" s="18" t="n">
        <v>1006.53363333793</v>
      </c>
    </row>
    <row r="23" customFormat="false" ht="12" hidden="false" customHeight="false" outlineLevel="0" collapsed="false">
      <c r="A23" s="0" t="n">
        <v>8</v>
      </c>
      <c r="B23" s="0" t="n">
        <v>1</v>
      </c>
      <c r="H23" s="18"/>
      <c r="I23" s="18"/>
    </row>
    <row r="24" customFormat="false" ht="12" hidden="false" customHeight="false" outlineLevel="0" collapsed="false">
      <c r="A24" s="0" t="n">
        <v>8</v>
      </c>
      <c r="B24" s="0" t="n">
        <v>0.83</v>
      </c>
      <c r="H24" s="18"/>
      <c r="I24" s="18"/>
    </row>
    <row r="25" customFormat="false" ht="12" hidden="false" customHeight="false" outlineLevel="0" collapsed="false">
      <c r="A25" s="0" t="n">
        <v>8</v>
      </c>
      <c r="B25" s="0" t="n">
        <v>0.67</v>
      </c>
      <c r="H25" s="18"/>
      <c r="I25" s="18"/>
    </row>
    <row r="26" customFormat="false" ht="12" hidden="false" customHeight="false" outlineLevel="0" collapsed="false">
      <c r="A26" s="0" t="n">
        <v>8</v>
      </c>
      <c r="B26" s="0" t="n">
        <v>0.5</v>
      </c>
      <c r="C26" s="0" t="n">
        <v>24.0707527582358</v>
      </c>
      <c r="D26" s="0" t="n">
        <v>152.878010237947</v>
      </c>
      <c r="E26" s="0" t="n">
        <v>88.4743814980912</v>
      </c>
      <c r="F26" s="0" t="n">
        <v>0.96229896123294</v>
      </c>
      <c r="G26" s="0" t="n">
        <v>0.760553404851877</v>
      </c>
      <c r="H26" s="18" t="n">
        <v>8.36818850689624</v>
      </c>
      <c r="I26" s="18" t="n">
        <v>150.206229248756</v>
      </c>
    </row>
    <row r="27" customFormat="false" ht="12" hidden="false" customHeight="false" outlineLevel="0" collapsed="false">
      <c r="A27" s="0" t="n">
        <v>8</v>
      </c>
      <c r="B27" s="0" t="n">
        <v>0.33</v>
      </c>
      <c r="C27" s="0" t="n">
        <v>16.2135490311154</v>
      </c>
      <c r="D27" s="0" t="n">
        <v>321.84638119911</v>
      </c>
      <c r="E27" s="0" t="n">
        <v>169.029965115113</v>
      </c>
      <c r="F27" s="0" t="n">
        <v>0.974605379120744</v>
      </c>
      <c r="G27" s="0" t="n">
        <v>0.495905133649213</v>
      </c>
      <c r="H27" s="18"/>
      <c r="I27" s="18" t="n">
        <v>354.044365626201</v>
      </c>
    </row>
    <row r="28" customFormat="false" ht="12" hidden="false" customHeight="false" outlineLevel="0" collapsed="false">
      <c r="A28" s="0" t="n">
        <v>8</v>
      </c>
      <c r="B28" s="0" t="n">
        <v>0.17</v>
      </c>
      <c r="C28" s="0" t="n">
        <v>14.89934866161</v>
      </c>
      <c r="D28" s="0" t="n">
        <v>462.006114132324</v>
      </c>
      <c r="E28" s="0" t="n">
        <v>238.452731396967</v>
      </c>
      <c r="F28" s="0" t="n">
        <v>0.976663757584269</v>
      </c>
      <c r="G28" s="0" t="n">
        <v>0.276378657764992</v>
      </c>
      <c r="H28" s="18"/>
      <c r="I28" s="18" t="n">
        <v>525.421052082199</v>
      </c>
    </row>
    <row r="29" customFormat="false" ht="12" hidden="false" customHeight="false" outlineLevel="0" collapsed="false">
      <c r="A29" s="0" t="n">
        <v>8</v>
      </c>
      <c r="B29" s="0" t="n">
        <v>0</v>
      </c>
      <c r="D29" s="0" t="n">
        <v>638.463913606185</v>
      </c>
      <c r="G29" s="0" t="n">
        <v>0</v>
      </c>
      <c r="H29" s="18"/>
      <c r="I29" s="18" t="n">
        <v>734.012775204431</v>
      </c>
    </row>
    <row r="30" customFormat="false" ht="12" hidden="false" customHeight="false" outlineLevel="0" collapsed="false">
      <c r="A30" s="0" t="n">
        <v>6</v>
      </c>
      <c r="B30" s="0" t="n">
        <v>1</v>
      </c>
      <c r="C30" s="0" t="n">
        <v>32.3739940153871</v>
      </c>
      <c r="F30" s="0" t="n">
        <v>0.915976722993267</v>
      </c>
      <c r="H30" s="18" t="n">
        <v>16.4251586162617</v>
      </c>
      <c r="I30" s="18"/>
    </row>
    <row r="31" customFormat="false" ht="12" hidden="false" customHeight="false" outlineLevel="0" collapsed="false">
      <c r="A31" s="0" t="n">
        <v>6</v>
      </c>
      <c r="B31" s="0" t="n">
        <v>0.83</v>
      </c>
      <c r="H31" s="18"/>
      <c r="I31" s="18"/>
    </row>
    <row r="32" customFormat="false" ht="12" hidden="false" customHeight="false" outlineLevel="0" collapsed="false">
      <c r="A32" s="0" t="n">
        <v>6</v>
      </c>
      <c r="B32" s="0" t="n">
        <v>0.67</v>
      </c>
      <c r="C32" s="0" t="n">
        <v>27.1384680119132</v>
      </c>
      <c r="D32" s="0" t="n">
        <v>29.4841015223764</v>
      </c>
      <c r="E32" s="0" t="n">
        <v>28.3112847671448</v>
      </c>
      <c r="F32" s="0" t="n">
        <v>0.929564976931189</v>
      </c>
      <c r="G32" s="0" t="n">
        <v>0.923477133271483</v>
      </c>
      <c r="H32" s="18" t="n">
        <v>14.8761002793728</v>
      </c>
      <c r="I32" s="18" t="n">
        <v>16.0617034852579</v>
      </c>
    </row>
    <row r="33" customFormat="false" ht="12" hidden="false" customHeight="false" outlineLevel="0" collapsed="false">
      <c r="A33" s="0" t="n">
        <v>6</v>
      </c>
      <c r="B33" s="0" t="n">
        <v>0.5</v>
      </c>
      <c r="C33" s="0" t="n">
        <v>22.3240977123823</v>
      </c>
      <c r="D33" s="0" t="n">
        <v>45.6534991074096</v>
      </c>
      <c r="E33" s="0" t="n">
        <v>33.988798409896</v>
      </c>
      <c r="F33" s="0" t="n">
        <v>0.942060165788585</v>
      </c>
      <c r="G33" s="0" t="n">
        <v>0.881511172207997</v>
      </c>
      <c r="H33" s="18" t="n">
        <v>12.301300803113</v>
      </c>
      <c r="I33" s="18" t="n">
        <v>31.8423258764905</v>
      </c>
    </row>
    <row r="34" customFormat="false" ht="12" hidden="false" customHeight="false" outlineLevel="0" collapsed="false">
      <c r="A34" s="0" t="n">
        <v>6</v>
      </c>
      <c r="B34" s="0" t="n">
        <v>0.33</v>
      </c>
      <c r="C34" s="0" t="n">
        <v>11.7457330953673</v>
      </c>
      <c r="D34" s="0" t="n">
        <v>142.040927186825</v>
      </c>
      <c r="E34" s="0" t="n">
        <v>76.8933301410964</v>
      </c>
      <c r="F34" s="0" t="n">
        <v>0.969515192192532</v>
      </c>
      <c r="G34" s="0" t="n">
        <v>0.631347798308748</v>
      </c>
      <c r="H34" s="18"/>
      <c r="I34" s="18" t="n">
        <v>150.103717083293</v>
      </c>
    </row>
    <row r="35" customFormat="false" ht="12" hidden="false" customHeight="false" outlineLevel="0" collapsed="false">
      <c r="A35" s="0" t="n">
        <v>6</v>
      </c>
      <c r="B35" s="0" t="n">
        <v>0.17</v>
      </c>
      <c r="C35" s="0" t="n">
        <v>9.61099183918233</v>
      </c>
      <c r="D35" s="0" t="n">
        <v>258.31627180941</v>
      </c>
      <c r="E35" s="0" t="n">
        <v>133.963631824296</v>
      </c>
      <c r="F35" s="0" t="n">
        <v>0.975055687314045</v>
      </c>
      <c r="G35" s="0" t="n">
        <v>0.329567440728116</v>
      </c>
      <c r="H35" s="18"/>
      <c r="I35" s="18" t="n">
        <v>286.79615150423</v>
      </c>
    </row>
    <row r="36" customFormat="false" ht="12" hidden="false" customHeight="false" outlineLevel="0" collapsed="false">
      <c r="A36" s="0" t="n">
        <v>6</v>
      </c>
      <c r="B36" s="0" t="n">
        <v>0</v>
      </c>
      <c r="D36" s="0" t="n">
        <v>385.29792182222</v>
      </c>
      <c r="G36" s="0" t="n">
        <v>0</v>
      </c>
      <c r="H36" s="18"/>
      <c r="I36" s="18" t="n">
        <v>438.922155081972</v>
      </c>
    </row>
    <row r="37" customFormat="false" ht="12" hidden="false" customHeight="false" outlineLevel="0" collapsed="false">
      <c r="A37" s="0" t="n">
        <v>4</v>
      </c>
      <c r="B37" s="0" t="n">
        <v>1</v>
      </c>
      <c r="C37" s="0" t="n">
        <v>7.84747150008179</v>
      </c>
      <c r="F37" s="0" t="n">
        <v>0.939622469732187</v>
      </c>
      <c r="H37" s="18" t="n">
        <v>4.36972903993878</v>
      </c>
      <c r="I37" s="18"/>
    </row>
    <row r="38" customFormat="false" ht="12" hidden="false" customHeight="false" outlineLevel="0" collapsed="false">
      <c r="A38" s="0" t="n">
        <v>4</v>
      </c>
      <c r="B38" s="0" t="n">
        <v>0.83</v>
      </c>
      <c r="C38" s="0" t="n">
        <v>8.56391731795429</v>
      </c>
      <c r="D38" s="0" t="n">
        <v>9.27890537615558</v>
      </c>
      <c r="E38" s="0" t="n">
        <v>8.92141134705494</v>
      </c>
      <c r="F38" s="0" t="n">
        <v>0.934110219187105</v>
      </c>
      <c r="G38" s="0" t="n">
        <v>0.928609184474876</v>
      </c>
      <c r="H38" s="18" t="n">
        <v>5.23044530207488</v>
      </c>
      <c r="I38" s="18" t="n">
        <v>5.37692158236399</v>
      </c>
    </row>
    <row r="39" customFormat="false" ht="12" hidden="false" customHeight="false" outlineLevel="0" collapsed="false">
      <c r="A39" s="0" t="n">
        <v>4</v>
      </c>
      <c r="B39" s="0" t="n">
        <v>0.67</v>
      </c>
      <c r="C39" s="0" t="n">
        <v>8.06874139036631</v>
      </c>
      <c r="D39" s="0" t="n">
        <v>9.28588437989827</v>
      </c>
      <c r="E39" s="0" t="n">
        <v>8.67731288513229</v>
      </c>
      <c r="F39" s="0" t="n">
        <v>0.937920045008775</v>
      </c>
      <c r="G39" s="0" t="n">
        <v>0.928555488834222</v>
      </c>
      <c r="H39" s="18" t="n">
        <v>4.88729432346832</v>
      </c>
      <c r="I39" s="18" t="n">
        <v>5.41496630013623</v>
      </c>
    </row>
    <row r="40" customFormat="false" ht="12" hidden="false" customHeight="false" outlineLevel="0" collapsed="false">
      <c r="A40" s="0" t="n">
        <v>4</v>
      </c>
      <c r="B40" s="0" t="n">
        <v>0.5</v>
      </c>
      <c r="C40" s="0" t="n">
        <v>7.9573246364207</v>
      </c>
      <c r="D40" s="0" t="n">
        <v>9.93061861532445</v>
      </c>
      <c r="E40" s="0" t="n">
        <v>8.94397162587257</v>
      </c>
      <c r="F40" s="0" t="n">
        <v>0.938777272516212</v>
      </c>
      <c r="G40" s="0" t="n">
        <v>0.923594978838903</v>
      </c>
      <c r="H40" s="18" t="n">
        <v>4.65057468189539</v>
      </c>
      <c r="I40" s="18" t="n">
        <v>6.6255057835377</v>
      </c>
    </row>
    <row r="41" customFormat="false" ht="12" hidden="false" customHeight="false" outlineLevel="0" collapsed="false">
      <c r="A41" s="0" t="n">
        <v>4</v>
      </c>
      <c r="B41" s="0" t="n">
        <v>0.33</v>
      </c>
      <c r="C41" s="0" t="n">
        <v>7.75495081984661</v>
      </c>
      <c r="D41" s="0" t="n">
        <v>16.3027571127564</v>
      </c>
      <c r="E41" s="0" t="n">
        <v>12.0288539663015</v>
      </c>
      <c r="F41" s="0" t="n">
        <v>0.940334313052834</v>
      </c>
      <c r="G41" s="0" t="n">
        <v>0.874568488587185</v>
      </c>
      <c r="H41" s="18" t="n">
        <v>4.4520790547309</v>
      </c>
      <c r="I41" s="18" t="n">
        <v>15.2103516625166</v>
      </c>
    </row>
    <row r="42" customFormat="false" ht="12" hidden="false" customHeight="false" outlineLevel="0" collapsed="false">
      <c r="A42" s="0" t="n">
        <v>4</v>
      </c>
      <c r="B42" s="0" t="n">
        <v>0.17</v>
      </c>
      <c r="C42" s="0" t="n">
        <v>6.8795608674476</v>
      </c>
      <c r="D42" s="0" t="n">
        <v>55.3757957039639</v>
      </c>
      <c r="E42" s="0" t="n">
        <v>31.1276782857057</v>
      </c>
      <c r="F42" s="0" t="n">
        <v>0.947069461227193</v>
      </c>
      <c r="G42" s="0" t="n">
        <v>0.573945087766748</v>
      </c>
      <c r="H42" s="18"/>
      <c r="I42" s="18" t="n">
        <v>54.5608648766399</v>
      </c>
    </row>
    <row r="43" customFormat="false" ht="12" hidden="false" customHeight="false" outlineLevel="0" collapsed="false">
      <c r="A43" s="0" t="n">
        <v>4</v>
      </c>
      <c r="B43" s="0" t="n">
        <v>0</v>
      </c>
      <c r="D43" s="0" t="n">
        <v>129.973376937965</v>
      </c>
      <c r="G43" s="0" t="n">
        <v>0</v>
      </c>
      <c r="H43" s="18"/>
      <c r="I43" s="18" t="n">
        <v>147.651355335252</v>
      </c>
    </row>
    <row r="44" customFormat="false" ht="12" hidden="false" customHeight="false" outlineLevel="0" collapsed="false">
      <c r="A44" s="0" t="n">
        <v>3</v>
      </c>
      <c r="B44" s="0" t="n">
        <v>1</v>
      </c>
      <c r="C44" s="0" t="n">
        <v>4.67133174763471</v>
      </c>
      <c r="F44" s="0" t="n">
        <v>0.781432904861775</v>
      </c>
      <c r="H44" s="18" t="n">
        <v>2.43144206212981</v>
      </c>
      <c r="I44" s="18"/>
    </row>
    <row r="45" customFormat="false" ht="12" hidden="false" customHeight="false" outlineLevel="0" collapsed="false">
      <c r="A45" s="0" t="n">
        <v>3</v>
      </c>
      <c r="B45" s="0" t="n">
        <v>0.83</v>
      </c>
      <c r="C45" s="0" t="n">
        <v>4.75358742330367</v>
      </c>
      <c r="D45" s="0" t="n">
        <v>5.42106190651573</v>
      </c>
      <c r="E45" s="0" t="n">
        <v>5.0873246649097</v>
      </c>
      <c r="F45" s="0" t="n">
        <v>0.777584241341206</v>
      </c>
      <c r="G45" s="0" t="n">
        <v>0.746353755741801</v>
      </c>
      <c r="H45" s="18" t="n">
        <v>2.53025094124135</v>
      </c>
      <c r="I45" s="18" t="n">
        <v>2.85601671977382</v>
      </c>
    </row>
    <row r="46" customFormat="false" ht="12" hidden="false" customHeight="false" outlineLevel="0" collapsed="false">
      <c r="A46" s="0" t="n">
        <v>3</v>
      </c>
      <c r="B46" s="0" t="n">
        <v>0.67</v>
      </c>
      <c r="C46" s="0" t="n">
        <v>4.88330059177422</v>
      </c>
      <c r="D46" s="0" t="n">
        <v>5.68517669944908</v>
      </c>
      <c r="E46" s="0" t="n">
        <v>5.28423864561165</v>
      </c>
      <c r="F46" s="0" t="n">
        <v>0.771515087625429</v>
      </c>
      <c r="G46" s="0" t="n">
        <v>0.733996079988264</v>
      </c>
      <c r="H46" s="18" t="n">
        <v>2.78718950028916</v>
      </c>
      <c r="I46" s="18" t="n">
        <v>3.25762880298122</v>
      </c>
    </row>
    <row r="47" customFormat="false" ht="12" hidden="false" customHeight="false" outlineLevel="0" collapsed="false">
      <c r="A47" s="0" t="n">
        <v>3</v>
      </c>
      <c r="B47" s="0" t="n">
        <v>0.5</v>
      </c>
      <c r="C47" s="0" t="n">
        <v>4.79803190984886</v>
      </c>
      <c r="D47" s="0" t="n">
        <v>5.83411473022689</v>
      </c>
      <c r="E47" s="0" t="n">
        <v>5.31607332003788</v>
      </c>
      <c r="F47" s="0" t="n">
        <v>0.775504726795058</v>
      </c>
      <c r="G47" s="0" t="n">
        <v>0.727027413556213</v>
      </c>
      <c r="H47" s="18" t="n">
        <v>2.67811596938685</v>
      </c>
      <c r="I47" s="18" t="n">
        <v>3.41741257951589</v>
      </c>
    </row>
    <row r="48" customFormat="false" ht="12" hidden="false" customHeight="false" outlineLevel="0" collapsed="false">
      <c r="A48" s="0" t="n">
        <v>3</v>
      </c>
      <c r="B48" s="0" t="n">
        <v>0.33</v>
      </c>
      <c r="C48" s="0" t="n">
        <v>4.6940392988763</v>
      </c>
      <c r="D48" s="0" t="n">
        <v>6.26040777220069</v>
      </c>
      <c r="E48" s="0" t="n">
        <v>5.4772235355385</v>
      </c>
      <c r="F48" s="0" t="n">
        <v>0.78037044049814</v>
      </c>
      <c r="G48" s="0" t="n">
        <v>0.707081574361849</v>
      </c>
      <c r="H48" s="18" t="n">
        <v>2.69969560458511</v>
      </c>
      <c r="I48" s="18" t="n">
        <v>4.37325975007663</v>
      </c>
    </row>
    <row r="49" customFormat="false" ht="12" hidden="false" customHeight="false" outlineLevel="0" collapsed="false">
      <c r="A49" s="0" t="n">
        <v>3</v>
      </c>
      <c r="B49" s="0" t="n">
        <v>0.17</v>
      </c>
      <c r="C49" s="0" t="n">
        <v>4.63414981969976</v>
      </c>
      <c r="D49" s="0" t="n">
        <v>8.10833111037516</v>
      </c>
      <c r="E49" s="0" t="n">
        <v>6.37124046503746</v>
      </c>
      <c r="F49" s="0" t="n">
        <v>0.783172611313687</v>
      </c>
      <c r="G49" s="0" t="n">
        <v>0.620619028372167</v>
      </c>
      <c r="H49" s="18" t="n">
        <v>2.56404343411676</v>
      </c>
      <c r="I49" s="18" t="n">
        <v>7.77501444110654</v>
      </c>
    </row>
    <row r="50" customFormat="false" ht="12" hidden="false" customHeight="false" outlineLevel="0" collapsed="false">
      <c r="A50" s="0" t="n">
        <v>3</v>
      </c>
      <c r="B50" s="0" t="n">
        <v>0</v>
      </c>
      <c r="D50" s="0" t="n">
        <v>21.3725297702314</v>
      </c>
      <c r="G50" s="0" t="n">
        <v>0</v>
      </c>
      <c r="H50" s="18"/>
      <c r="I50" s="18" t="n">
        <v>21.698282453438</v>
      </c>
    </row>
    <row r="51" customFormat="false" ht="12" hidden="false" customHeight="false" outlineLevel="0" collapsed="false">
      <c r="A51" s="0" t="n">
        <v>2.8</v>
      </c>
      <c r="B51" s="0" t="n">
        <v>1</v>
      </c>
      <c r="C51" s="0" t="n">
        <v>4.34371343097699</v>
      </c>
      <c r="F51" s="0" t="n">
        <v>0.701495426785868</v>
      </c>
      <c r="H51" s="18" t="n">
        <v>2.20873293598992</v>
      </c>
      <c r="I51" s="18"/>
    </row>
    <row r="52" customFormat="false" ht="12" hidden="false" customHeight="false" outlineLevel="0" collapsed="false">
      <c r="A52" s="0" t="n">
        <v>2.8</v>
      </c>
      <c r="B52" s="0" t="n">
        <v>0.83</v>
      </c>
      <c r="C52" s="0" t="n">
        <v>4.26659053074955</v>
      </c>
      <c r="D52" s="0" t="n">
        <v>4.80026733107906</v>
      </c>
      <c r="E52" s="0" t="n">
        <v>4.5334289309143</v>
      </c>
      <c r="F52" s="0" t="n">
        <v>0.706795393918426</v>
      </c>
      <c r="G52" s="0" t="n">
        <v>0.670120560726032</v>
      </c>
      <c r="H52" s="18" t="n">
        <v>2.17818377951191</v>
      </c>
      <c r="I52" s="18" t="n">
        <v>2.35253013495711</v>
      </c>
    </row>
    <row r="53" customFormat="false" ht="12" hidden="false" customHeight="false" outlineLevel="0" collapsed="false">
      <c r="A53" s="0" t="n">
        <v>2.8</v>
      </c>
      <c r="B53" s="0" t="n">
        <v>0.67</v>
      </c>
      <c r="C53" s="0" t="n">
        <v>4.22572398593914</v>
      </c>
      <c r="D53" s="0" t="n">
        <v>4.93036709230235</v>
      </c>
      <c r="E53" s="0" t="n">
        <v>4.57804553912075</v>
      </c>
      <c r="F53" s="0" t="n">
        <v>0.709603786026057</v>
      </c>
      <c r="G53" s="0" t="n">
        <v>0.661179967771104</v>
      </c>
      <c r="H53" s="18" t="n">
        <v>2.0745192555021</v>
      </c>
      <c r="I53" s="18" t="n">
        <v>2.51629250943811</v>
      </c>
    </row>
    <row r="54" customFormat="false" ht="12" hidden="false" customHeight="false" outlineLevel="0" collapsed="false">
      <c r="A54" s="0" t="n">
        <v>2.8</v>
      </c>
      <c r="B54" s="0" t="n">
        <v>0.5</v>
      </c>
      <c r="C54" s="0" t="n">
        <v>4.24356762758891</v>
      </c>
      <c r="D54" s="0" t="n">
        <v>5.1640964706667</v>
      </c>
      <c r="E54" s="0" t="n">
        <v>4.70383204912781</v>
      </c>
      <c r="F54" s="0" t="n">
        <v>0.708377552131974</v>
      </c>
      <c r="G54" s="0" t="n">
        <v>0.645117838110639</v>
      </c>
      <c r="H54" s="18" t="n">
        <v>2.21283188090949</v>
      </c>
      <c r="I54" s="18" t="n">
        <v>3.02136823173335</v>
      </c>
    </row>
    <row r="55" customFormat="false" ht="12" hidden="false" customHeight="false" outlineLevel="0" collapsed="false">
      <c r="A55" s="0" t="n">
        <v>2.8</v>
      </c>
      <c r="B55" s="0" t="n">
        <v>0.33</v>
      </c>
      <c r="C55" s="0" t="n">
        <v>4.08852432399158</v>
      </c>
      <c r="D55" s="0" t="n">
        <v>5.30160726951844</v>
      </c>
      <c r="E55" s="0" t="n">
        <v>4.69506579675501</v>
      </c>
      <c r="F55" s="0" t="n">
        <v>0.719032291655069</v>
      </c>
      <c r="G55" s="0" t="n">
        <v>0.635667950825064</v>
      </c>
      <c r="H55" s="18" t="n">
        <v>2.02784234395112</v>
      </c>
      <c r="I55" s="18" t="n">
        <v>3.4124427099001</v>
      </c>
    </row>
    <row r="56" customFormat="false" ht="12" hidden="false" customHeight="false" outlineLevel="0" collapsed="false">
      <c r="A56" s="0" t="n">
        <v>2.8</v>
      </c>
      <c r="B56" s="0" t="n">
        <v>0.17</v>
      </c>
      <c r="C56" s="0" t="n">
        <v>4.20267696911248</v>
      </c>
      <c r="D56" s="0" t="n">
        <v>6.50095915500266</v>
      </c>
      <c r="E56" s="0" t="n">
        <v>5.35181806205757</v>
      </c>
      <c r="F56" s="0" t="n">
        <v>0.711187601356194</v>
      </c>
      <c r="G56" s="0" t="n">
        <v>0.553247222938899</v>
      </c>
      <c r="H56" s="18" t="n">
        <v>2.14679997800425</v>
      </c>
      <c r="I56" s="18" t="n">
        <v>5.5235374853379</v>
      </c>
    </row>
    <row r="57" customFormat="false" ht="12" hidden="false" customHeight="false" outlineLevel="0" collapsed="false">
      <c r="A57" s="0" t="n">
        <v>2.8</v>
      </c>
      <c r="B57" s="0" t="n">
        <v>0</v>
      </c>
      <c r="D57" s="0" t="n">
        <v>14.5515808491853</v>
      </c>
      <c r="G57" s="0" t="n">
        <v>0</v>
      </c>
      <c r="H57" s="18"/>
      <c r="I57" s="18" t="n">
        <v>15.5052340392267</v>
      </c>
    </row>
    <row r="58" customFormat="false" ht="12" hidden="false" customHeight="false" outlineLevel="0" collapsed="false">
      <c r="A58" s="0" t="n">
        <v>2.6</v>
      </c>
      <c r="B58" s="0" t="n">
        <v>1</v>
      </c>
      <c r="C58" s="0" t="n">
        <v>3.86838829232134</v>
      </c>
      <c r="F58" s="0" t="n">
        <v>0.493736103026654</v>
      </c>
      <c r="H58" s="18" t="n">
        <v>1.99473246929086</v>
      </c>
      <c r="I58" s="18"/>
    </row>
    <row r="59" customFormat="false" ht="12" hidden="false" customHeight="false" outlineLevel="0" collapsed="false">
      <c r="A59" s="0" t="n">
        <v>2.6</v>
      </c>
      <c r="B59" s="0" t="n">
        <v>0.83</v>
      </c>
      <c r="C59" s="0" t="n">
        <v>3.78038073092565</v>
      </c>
      <c r="D59" s="0" t="n">
        <v>4.39493071284546</v>
      </c>
      <c r="E59" s="0" t="n">
        <v>4.08765572188555</v>
      </c>
      <c r="F59" s="0" t="n">
        <v>0.505253832796373</v>
      </c>
      <c r="G59" s="0" t="n">
        <v>0.424826418271002</v>
      </c>
      <c r="H59" s="18" t="n">
        <v>1.8167543556821</v>
      </c>
      <c r="I59" s="18" t="n">
        <v>2.15809351251056</v>
      </c>
    </row>
    <row r="60" customFormat="false" ht="12" hidden="false" customHeight="false" outlineLevel="0" collapsed="false">
      <c r="A60" s="0" t="n">
        <v>2.6</v>
      </c>
      <c r="B60" s="0" t="n">
        <v>0.67</v>
      </c>
      <c r="C60" s="0" t="n">
        <v>3.86434964979366</v>
      </c>
      <c r="D60" s="0" t="n">
        <v>4.43248217317164</v>
      </c>
      <c r="E60" s="0" t="n">
        <v>4.14841591148265</v>
      </c>
      <c r="F60" s="0" t="n">
        <v>0.494264648444031</v>
      </c>
      <c r="G60" s="0" t="n">
        <v>0.419911981765363</v>
      </c>
      <c r="H60" s="18" t="n">
        <v>1.92338260312389</v>
      </c>
      <c r="I60" s="18" t="n">
        <v>2.26694362197158</v>
      </c>
    </row>
    <row r="61" customFormat="false" ht="12" hidden="false" customHeight="false" outlineLevel="0" collapsed="false">
      <c r="A61" s="0" t="n">
        <v>2.6</v>
      </c>
      <c r="B61" s="0" t="n">
        <v>0.5</v>
      </c>
      <c r="C61" s="0" t="n">
        <v>3.9084037160137</v>
      </c>
      <c r="D61" s="0" t="n">
        <v>4.72807627044355</v>
      </c>
      <c r="E61" s="0" t="n">
        <v>4.31823999322863</v>
      </c>
      <c r="F61" s="0" t="n">
        <v>0.488499202589914</v>
      </c>
      <c r="G61" s="0" t="n">
        <v>0.381226976978163</v>
      </c>
      <c r="H61" s="18" t="n">
        <v>2.02091918521437</v>
      </c>
      <c r="I61" s="18" t="n">
        <v>2.6999638187093</v>
      </c>
    </row>
    <row r="62" customFormat="false" ht="12" hidden="false" customHeight="false" outlineLevel="0" collapsed="false">
      <c r="A62" s="0" t="n">
        <v>2.6</v>
      </c>
      <c r="B62" s="0" t="n">
        <v>0.33</v>
      </c>
      <c r="C62" s="0" t="n">
        <v>3.79252642110224</v>
      </c>
      <c r="D62" s="0" t="n">
        <v>4.91572629194532</v>
      </c>
      <c r="E62" s="0" t="n">
        <v>4.35412635652378</v>
      </c>
      <c r="F62" s="0" t="n">
        <v>0.503664301452677</v>
      </c>
      <c r="G62" s="0" t="n">
        <v>0.356668834420139</v>
      </c>
      <c r="H62" s="18" t="n">
        <v>1.94110129225596</v>
      </c>
      <c r="I62" s="18" t="n">
        <v>3.27321164918268</v>
      </c>
    </row>
    <row r="63" customFormat="false" ht="12" hidden="false" customHeight="false" outlineLevel="0" collapsed="false">
      <c r="A63" s="0" t="n">
        <v>2.6</v>
      </c>
      <c r="B63" s="0" t="n">
        <v>0.17</v>
      </c>
      <c r="C63" s="0" t="n">
        <v>3.80852773623653</v>
      </c>
      <c r="D63" s="0" t="n">
        <v>5.51688577085859</v>
      </c>
      <c r="E63" s="0" t="n">
        <v>4.66270675354756</v>
      </c>
      <c r="F63" s="0" t="n">
        <v>0.501570176575745</v>
      </c>
      <c r="G63" s="0" t="n">
        <v>0.277993862442477</v>
      </c>
      <c r="H63" s="18" t="n">
        <v>1.9379705347123</v>
      </c>
      <c r="I63" s="18" t="n">
        <v>4.31947340183875</v>
      </c>
    </row>
    <row r="64" customFormat="false" ht="12" hidden="false" customHeight="false" outlineLevel="0" collapsed="false">
      <c r="A64" s="0" t="n">
        <v>2.6</v>
      </c>
      <c r="B64" s="0" t="n">
        <v>0</v>
      </c>
      <c r="D64" s="0" t="n">
        <v>7.64105107128546</v>
      </c>
      <c r="G64" s="0" t="n">
        <v>0</v>
      </c>
      <c r="H64" s="18"/>
      <c r="I64" s="18" t="n">
        <v>8.09853378826149</v>
      </c>
    </row>
    <row r="65" customFormat="false" ht="12" hidden="false" customHeight="false" outlineLevel="0" collapsed="false">
      <c r="A65" s="0" t="n">
        <v>2.4</v>
      </c>
      <c r="B65" s="0" t="n">
        <v>1</v>
      </c>
      <c r="C65" s="0" t="n">
        <v>3.5093002656054</v>
      </c>
      <c r="F65" s="0" t="n">
        <v>0.383132960606647</v>
      </c>
      <c r="H65" s="18" t="n">
        <v>1.72602570678709</v>
      </c>
      <c r="I65" s="18"/>
    </row>
    <row r="66" customFormat="false" ht="12" hidden="false" customHeight="false" outlineLevel="0" collapsed="false">
      <c r="A66" s="0" t="n">
        <v>2.4</v>
      </c>
      <c r="B66" s="0" t="n">
        <v>0.83</v>
      </c>
      <c r="C66" s="0" t="n">
        <v>3.52596480995099</v>
      </c>
      <c r="D66" s="0" t="n">
        <v>4.02418318774969</v>
      </c>
      <c r="E66" s="0" t="n">
        <v>3.77507399885034</v>
      </c>
      <c r="F66" s="0" t="n">
        <v>0.380203656370685</v>
      </c>
      <c r="G66" s="0" t="n">
        <v>0.292626512090322</v>
      </c>
      <c r="H66" s="18" t="n">
        <v>1.77519599403783</v>
      </c>
      <c r="I66" s="18" t="n">
        <v>1.9867851339394</v>
      </c>
    </row>
    <row r="67" customFormat="false" ht="12" hidden="false" customHeight="false" outlineLevel="0" collapsed="false">
      <c r="A67" s="0" t="n">
        <v>2.4</v>
      </c>
      <c r="B67" s="0" t="n">
        <v>0.67</v>
      </c>
      <c r="C67" s="0" t="n">
        <v>3.57642453242654</v>
      </c>
      <c r="D67" s="0" t="n">
        <v>4.1066283993502</v>
      </c>
      <c r="E67" s="0" t="n">
        <v>3.84152646588837</v>
      </c>
      <c r="F67" s="0" t="n">
        <v>0.371333814163913</v>
      </c>
      <c r="G67" s="0" t="n">
        <v>0.278134240200504</v>
      </c>
      <c r="H67" s="18" t="n">
        <v>1.83843117475279</v>
      </c>
      <c r="I67" s="18" t="n">
        <v>2.10314178949302</v>
      </c>
    </row>
    <row r="68" customFormat="false" ht="12" hidden="false" customHeight="false" outlineLevel="0" collapsed="false">
      <c r="A68" s="0" t="n">
        <v>2.4</v>
      </c>
      <c r="B68" s="0" t="n">
        <v>0.5</v>
      </c>
      <c r="C68" s="0" t="n">
        <v>3.55911390983423</v>
      </c>
      <c r="D68" s="0" t="n">
        <v>4.26313898232271</v>
      </c>
      <c r="E68" s="0" t="n">
        <v>3.91112644607847</v>
      </c>
      <c r="F68" s="0" t="n">
        <v>0.374376686446241</v>
      </c>
      <c r="G68" s="0" t="n">
        <v>0.250622710082027</v>
      </c>
      <c r="H68" s="18" t="n">
        <v>1.8746899377511</v>
      </c>
      <c r="I68" s="18" t="n">
        <v>2.29150600809731</v>
      </c>
    </row>
    <row r="69" customFormat="false" ht="12" hidden="false" customHeight="false" outlineLevel="0" collapsed="false">
      <c r="A69" s="0" t="n">
        <v>2.4</v>
      </c>
      <c r="B69" s="0" t="n">
        <v>0.33</v>
      </c>
      <c r="C69" s="0" t="n">
        <v>3.50519623674313</v>
      </c>
      <c r="D69" s="0" t="n">
        <v>4.38537060811535</v>
      </c>
      <c r="E69" s="0" t="n">
        <v>3.94528342242924</v>
      </c>
      <c r="F69" s="0" t="n">
        <v>0.383854369418161</v>
      </c>
      <c r="G69" s="0" t="n">
        <v>0.229136756924372</v>
      </c>
      <c r="H69" s="18" t="n">
        <v>1.87549089054891</v>
      </c>
      <c r="I69" s="18" t="n">
        <v>2.55641396091661</v>
      </c>
    </row>
    <row r="70" customFormat="false" ht="12" hidden="false" customHeight="false" outlineLevel="0" collapsed="false">
      <c r="A70" s="0" t="n">
        <v>2.4</v>
      </c>
      <c r="B70" s="0" t="n">
        <v>0.17</v>
      </c>
      <c r="C70" s="0" t="n">
        <v>3.45035660202336</v>
      </c>
      <c r="D70" s="0" t="n">
        <v>4.74167813563806</v>
      </c>
      <c r="E70" s="0" t="n">
        <v>4.09601736883071</v>
      </c>
      <c r="F70" s="0" t="n">
        <v>0.393494115393321</v>
      </c>
      <c r="G70" s="0" t="n">
        <v>0.166504792435411</v>
      </c>
      <c r="H70" s="18" t="n">
        <v>1.83606159640181</v>
      </c>
      <c r="I70" s="18" t="n">
        <v>3.42336064563289</v>
      </c>
    </row>
    <row r="71" customFormat="false" ht="12" hidden="false" customHeight="false" outlineLevel="0" collapsed="false">
      <c r="A71" s="0" t="n">
        <v>2.4</v>
      </c>
      <c r="B71" s="0" t="n">
        <v>0</v>
      </c>
      <c r="D71" s="0" t="n">
        <v>5.68890869749916</v>
      </c>
      <c r="G71" s="0" t="n">
        <v>0</v>
      </c>
      <c r="H71" s="18"/>
      <c r="I71" s="18" t="n">
        <v>5.23546186696258</v>
      </c>
    </row>
    <row r="72" customFormat="false" ht="12" hidden="false" customHeight="false" outlineLevel="0" collapsed="false">
      <c r="A72" s="0" t="n">
        <v>2.2</v>
      </c>
      <c r="B72" s="0" t="n">
        <v>1</v>
      </c>
      <c r="C72" s="0" t="n">
        <v>3.27353640667865</v>
      </c>
      <c r="F72" s="0" t="n">
        <v>0.283934369862783</v>
      </c>
      <c r="H72" s="18" t="n">
        <v>1.55860457025862</v>
      </c>
      <c r="I72" s="18"/>
    </row>
    <row r="73" customFormat="false" ht="12" hidden="false" customHeight="false" outlineLevel="0" collapsed="false">
      <c r="A73" s="0" t="n">
        <v>2.2</v>
      </c>
      <c r="B73" s="0" t="n">
        <v>0.83</v>
      </c>
      <c r="C73" s="0" t="n">
        <v>3.20752055841398</v>
      </c>
      <c r="D73" s="0" t="n">
        <v>3.66935006414689</v>
      </c>
      <c r="E73" s="0" t="n">
        <v>3.43843531128044</v>
      </c>
      <c r="F73" s="0" t="n">
        <v>0.298374924087333</v>
      </c>
      <c r="G73" s="0" t="n">
        <v>0.197352606032796</v>
      </c>
      <c r="H73" s="18" t="n">
        <v>1.55585768306818</v>
      </c>
      <c r="I73" s="18" t="n">
        <v>1.69875540570397</v>
      </c>
    </row>
    <row r="74" customFormat="false" ht="12" hidden="false" customHeight="false" outlineLevel="0" collapsed="false">
      <c r="A74" s="0" t="n">
        <v>2.2</v>
      </c>
      <c r="B74" s="0" t="n">
        <v>0.67</v>
      </c>
      <c r="C74" s="0" t="n">
        <v>3.23105713903725</v>
      </c>
      <c r="D74" s="0" t="n">
        <v>3.74586591622029</v>
      </c>
      <c r="E74" s="0" t="n">
        <v>3.48846152762877</v>
      </c>
      <c r="F74" s="0" t="n">
        <v>0.293226444174022</v>
      </c>
      <c r="G74" s="0" t="n">
        <v>0.180615241597612</v>
      </c>
      <c r="H74" s="18" t="n">
        <v>1.56322189983466</v>
      </c>
      <c r="I74" s="18" t="n">
        <v>1.80071275721852</v>
      </c>
    </row>
    <row r="75" customFormat="false" ht="12" hidden="false" customHeight="false" outlineLevel="0" collapsed="false">
      <c r="A75" s="0" t="n">
        <v>2.2</v>
      </c>
      <c r="B75" s="0" t="n">
        <v>0.5</v>
      </c>
      <c r="C75" s="0" t="n">
        <v>3.13993290862051</v>
      </c>
      <c r="D75" s="0" t="n">
        <v>3.78857613709279</v>
      </c>
      <c r="E75" s="0" t="n">
        <v>3.46425452285665</v>
      </c>
      <c r="F75" s="0" t="n">
        <v>0.313159300072924</v>
      </c>
      <c r="G75" s="0" t="n">
        <v>0.171272647710473</v>
      </c>
      <c r="H75" s="18" t="n">
        <v>1.44611306765114</v>
      </c>
      <c r="I75" s="18" t="n">
        <v>1.84187114228879</v>
      </c>
    </row>
    <row r="76" customFormat="false" ht="12" hidden="false" customHeight="false" outlineLevel="0" collapsed="false">
      <c r="A76" s="0" t="n">
        <v>2.2</v>
      </c>
      <c r="B76" s="0" t="n">
        <v>0.33</v>
      </c>
      <c r="C76" s="0" t="n">
        <v>3.15726797645734</v>
      </c>
      <c r="D76" s="0" t="n">
        <v>3.96965997403081</v>
      </c>
      <c r="E76" s="0" t="n">
        <v>3.56346397524408</v>
      </c>
      <c r="F76" s="0" t="n">
        <v>0.309367362323666</v>
      </c>
      <c r="G76" s="0" t="n">
        <v>0.13166169011118</v>
      </c>
      <c r="H76" s="18" t="n">
        <v>1.46216972546841</v>
      </c>
      <c r="I76" s="18" t="n">
        <v>2.18664119683528</v>
      </c>
    </row>
    <row r="77" customFormat="false" ht="12" hidden="false" customHeight="false" outlineLevel="0" collapsed="false">
      <c r="A77" s="0" t="n">
        <v>2.2</v>
      </c>
      <c r="B77" s="0" t="n">
        <v>0.17</v>
      </c>
      <c r="C77" s="0" t="n">
        <v>3.14575649429239</v>
      </c>
      <c r="D77" s="0" t="n">
        <v>4.12424242637928</v>
      </c>
      <c r="E77" s="0" t="n">
        <v>3.63499946033583</v>
      </c>
      <c r="F77" s="0" t="n">
        <v>0.311885427103224</v>
      </c>
      <c r="G77" s="0" t="n">
        <v>0.0978477447635027</v>
      </c>
      <c r="H77" s="18" t="n">
        <v>1.47018934264755</v>
      </c>
      <c r="I77" s="18" t="n">
        <v>2.63684499250904</v>
      </c>
    </row>
    <row r="78" customFormat="false" ht="12" hidden="false" customHeight="false" outlineLevel="0" collapsed="false">
      <c r="A78" s="0" t="n">
        <v>2.2</v>
      </c>
      <c r="B78" s="0" t="n">
        <v>0</v>
      </c>
      <c r="D78" s="0" t="n">
        <v>4.57155918243325</v>
      </c>
      <c r="G78" s="0" t="n">
        <v>0</v>
      </c>
      <c r="H78" s="18"/>
      <c r="I78" s="18" t="n">
        <v>3.45414838057836</v>
      </c>
    </row>
    <row r="79" customFormat="false" ht="12" hidden="false" customHeight="false" outlineLevel="0" collapsed="false">
      <c r="A79" s="0" t="n">
        <v>2</v>
      </c>
      <c r="B79" s="0" t="n">
        <v>1</v>
      </c>
      <c r="C79" s="0" t="n">
        <v>2.92373995064609</v>
      </c>
      <c r="F79" s="0" t="n">
        <v>0.260956970707138</v>
      </c>
      <c r="H79" s="18" t="n">
        <v>1.30881209230649</v>
      </c>
      <c r="I79" s="18"/>
    </row>
    <row r="80" customFormat="false" ht="12" hidden="false" customHeight="false" outlineLevel="0" collapsed="false">
      <c r="A80" s="0" t="n">
        <v>2</v>
      </c>
      <c r="B80" s="0" t="n">
        <v>0.83</v>
      </c>
      <c r="C80" s="0" t="n">
        <v>2.92000412695373</v>
      </c>
      <c r="D80" s="0" t="n">
        <v>3.33371328626231</v>
      </c>
      <c r="E80" s="0" t="n">
        <v>3.12685870660802</v>
      </c>
      <c r="F80" s="0" t="n">
        <v>0.261901286721939</v>
      </c>
      <c r="G80" s="0" t="n">
        <v>0.15732670912517</v>
      </c>
      <c r="H80" s="18" t="n">
        <v>1.32586309612108</v>
      </c>
      <c r="I80" s="18" t="n">
        <v>1.51854197644907</v>
      </c>
    </row>
    <row r="81" customFormat="false" ht="12" hidden="false" customHeight="false" outlineLevel="0" collapsed="false">
      <c r="A81" s="0" t="n">
        <v>2</v>
      </c>
      <c r="B81" s="0" t="n">
        <v>0.67</v>
      </c>
      <c r="C81" s="0" t="n">
        <v>2.92057193156245</v>
      </c>
      <c r="D81" s="0" t="n">
        <v>3.41046175337227</v>
      </c>
      <c r="E81" s="0" t="n">
        <v>3.16551684246736</v>
      </c>
      <c r="F81" s="0" t="n">
        <v>0.26175776094839</v>
      </c>
      <c r="G81" s="0" t="n">
        <v>0.137926755441192</v>
      </c>
      <c r="H81" s="18" t="n">
        <v>1.31505091923803</v>
      </c>
      <c r="I81" s="18" t="n">
        <v>1.5902882256377</v>
      </c>
    </row>
    <row r="82" customFormat="false" ht="12" hidden="false" customHeight="false" outlineLevel="0" collapsed="false">
      <c r="A82" s="0" t="n">
        <v>2</v>
      </c>
      <c r="B82" s="0" t="n">
        <v>0.5</v>
      </c>
      <c r="C82" s="0" t="n">
        <v>2.91740670002301</v>
      </c>
      <c r="D82" s="0" t="n">
        <v>3.44838698651189</v>
      </c>
      <c r="E82" s="0" t="n">
        <v>3.18289684326745</v>
      </c>
      <c r="F82" s="0" t="n">
        <v>0.262557846573243</v>
      </c>
      <c r="G82" s="0" t="n">
        <v>0.12834027385963</v>
      </c>
      <c r="H82" s="18" t="n">
        <v>1.36086926624757</v>
      </c>
      <c r="I82" s="18" t="n">
        <v>1.63705576569104</v>
      </c>
    </row>
    <row r="83" customFormat="false" ht="12" hidden="false" customHeight="false" outlineLevel="0" collapsed="false">
      <c r="A83" s="0" t="n">
        <v>2</v>
      </c>
      <c r="B83" s="0" t="n">
        <v>0.33</v>
      </c>
      <c r="C83" s="0" t="n">
        <v>2.84252177113151</v>
      </c>
      <c r="D83" s="0" t="n">
        <v>3.5933603049842</v>
      </c>
      <c r="E83" s="0" t="n">
        <v>3.21794103805785</v>
      </c>
      <c r="F83" s="0" t="n">
        <v>0.281486747785583</v>
      </c>
      <c r="G83" s="0" t="n">
        <v>0.091694907904038</v>
      </c>
      <c r="H83" s="18" t="n">
        <v>1.24173577380423</v>
      </c>
      <c r="I83" s="18" t="n">
        <v>1.85036889312503</v>
      </c>
    </row>
    <row r="84" customFormat="false" ht="12" hidden="false" customHeight="false" outlineLevel="0" collapsed="false">
      <c r="A84" s="0" t="n">
        <v>2</v>
      </c>
      <c r="B84" s="0" t="n">
        <v>0.17</v>
      </c>
      <c r="C84" s="0" t="n">
        <v>2.79328585311029</v>
      </c>
      <c r="D84" s="0" t="n">
        <v>3.65120062125664</v>
      </c>
      <c r="E84" s="0" t="n">
        <v>3.22224323718346</v>
      </c>
      <c r="F84" s="0" t="n">
        <v>0.293932267092585</v>
      </c>
      <c r="G84" s="0" t="n">
        <v>0.0770744275347777</v>
      </c>
      <c r="H84" s="18" t="n">
        <v>1.22793992045723</v>
      </c>
      <c r="I84" s="18" t="n">
        <v>2.04073102570719</v>
      </c>
    </row>
    <row r="85" customFormat="false" ht="12" hidden="false" customHeight="false" outlineLevel="0" collapsed="false">
      <c r="A85" s="0" t="n">
        <v>2</v>
      </c>
      <c r="B85" s="0" t="n">
        <v>0</v>
      </c>
      <c r="D85" s="0" t="n">
        <v>3.95611599698547</v>
      </c>
      <c r="G85" s="0" t="n">
        <v>0</v>
      </c>
      <c r="H85" s="18"/>
      <c r="I85" s="18" t="n">
        <v>2.54585921317425</v>
      </c>
    </row>
    <row r="86" customFormat="false" ht="12" hidden="false" customHeight="false" outlineLevel="0" collapsed="false">
      <c r="C86" s="19"/>
      <c r="D86" s="19"/>
      <c r="E86" s="19"/>
      <c r="F86" s="20"/>
      <c r="G86" s="20"/>
      <c r="H86" s="18"/>
      <c r="I86" s="18"/>
    </row>
    <row r="87" customFormat="false" ht="12" hidden="false" customHeight="false" outlineLevel="0" collapsed="false">
      <c r="C87" s="19"/>
      <c r="D87" s="19"/>
      <c r="E87" s="19"/>
      <c r="F87" s="20"/>
      <c r="G87" s="20"/>
      <c r="H87" s="18"/>
      <c r="I87" s="18"/>
    </row>
    <row r="88" customFormat="false" ht="12" hidden="false" customHeight="false" outlineLevel="0" collapsed="false">
      <c r="C88" s="19"/>
      <c r="D88" s="19"/>
      <c r="E88" s="19"/>
      <c r="F88" s="20"/>
      <c r="G88" s="20"/>
      <c r="H88" s="18"/>
      <c r="I88" s="18"/>
    </row>
    <row r="89" customFormat="false" ht="12" hidden="false" customHeight="false" outlineLevel="0" collapsed="false">
      <c r="C89" s="19"/>
      <c r="D89" s="19"/>
      <c r="E89" s="19"/>
      <c r="F89" s="20"/>
      <c r="G89" s="20"/>
      <c r="I89" s="18"/>
      <c r="J89" s="18"/>
    </row>
    <row r="90" customFormat="false" ht="12" hidden="false" customHeight="false" outlineLevel="0" collapsed="false">
      <c r="C90" s="19"/>
      <c r="D90" s="19"/>
      <c r="E90" s="19"/>
      <c r="F90" s="20"/>
      <c r="G90" s="20"/>
      <c r="I90" s="18"/>
      <c r="J90" s="18"/>
    </row>
    <row r="91" customFormat="false" ht="12" hidden="false" customHeight="false" outlineLevel="0" collapsed="false">
      <c r="C91" s="19"/>
      <c r="D91" s="19"/>
      <c r="E91" s="19"/>
      <c r="F91" s="20"/>
      <c r="G91" s="20"/>
      <c r="I91" s="18"/>
      <c r="J91" s="18"/>
    </row>
    <row r="92" customFormat="false" ht="12" hidden="false" customHeight="false" outlineLevel="0" collapsed="false">
      <c r="C92" s="19"/>
      <c r="D92" s="19"/>
      <c r="E92" s="19"/>
      <c r="F92" s="20"/>
      <c r="G92" s="20"/>
      <c r="I92" s="18"/>
      <c r="J92" s="18"/>
    </row>
    <row r="93" customFormat="false" ht="12" hidden="false" customHeight="false" outlineLevel="0" collapsed="false">
      <c r="C93" s="19"/>
      <c r="D93" s="19"/>
      <c r="E93" s="19"/>
      <c r="F93" s="20"/>
      <c r="G93" s="20"/>
      <c r="I93" s="18"/>
      <c r="J93" s="18"/>
    </row>
    <row r="94" customFormat="false" ht="12" hidden="false" customHeight="false" outlineLevel="0" collapsed="false">
      <c r="C94" s="19"/>
      <c r="D94" s="19"/>
      <c r="E94" s="19"/>
      <c r="F94" s="20"/>
      <c r="G94" s="20"/>
      <c r="I94" s="18"/>
      <c r="J94" s="18"/>
    </row>
    <row r="95" customFormat="false" ht="12" hidden="false" customHeight="false" outlineLevel="0" collapsed="false">
      <c r="C95" s="19"/>
      <c r="D95" s="19"/>
      <c r="E95" s="19"/>
      <c r="F95" s="20"/>
      <c r="G95" s="20"/>
      <c r="I95" s="18"/>
      <c r="J95" s="18"/>
    </row>
    <row r="96" customFormat="false" ht="12" hidden="false" customHeight="false" outlineLevel="0" collapsed="false">
      <c r="C96" s="19"/>
      <c r="D96" s="19"/>
      <c r="E96" s="19"/>
      <c r="F96" s="20"/>
      <c r="G96" s="20"/>
      <c r="I96" s="18"/>
      <c r="J96" s="18"/>
    </row>
    <row r="97" customFormat="false" ht="12" hidden="false" customHeight="false" outlineLevel="0" collapsed="false">
      <c r="C97" s="19"/>
      <c r="D97" s="19"/>
      <c r="E97" s="19"/>
      <c r="F97" s="20"/>
      <c r="G97" s="20"/>
      <c r="I97" s="18"/>
      <c r="J97" s="18"/>
    </row>
    <row r="98" customFormat="false" ht="12" hidden="false" customHeight="false" outlineLevel="0" collapsed="false">
      <c r="C98" s="19"/>
      <c r="D98" s="19"/>
      <c r="E98" s="19"/>
      <c r="F98" s="20"/>
      <c r="G98" s="20"/>
      <c r="I98" s="18"/>
      <c r="J98" s="18"/>
    </row>
    <row r="99" customFormat="false" ht="12" hidden="false" customHeight="false" outlineLevel="0" collapsed="false">
      <c r="C99" s="19"/>
      <c r="D99" s="19"/>
      <c r="E99" s="19"/>
      <c r="F99" s="20"/>
      <c r="G99" s="20"/>
      <c r="I99" s="18"/>
      <c r="J99" s="18"/>
    </row>
    <row r="100" customFormat="false" ht="12" hidden="false" customHeight="false" outlineLevel="0" collapsed="false">
      <c r="C100" s="19"/>
      <c r="D100" s="19"/>
      <c r="E100" s="19"/>
      <c r="F100" s="20"/>
      <c r="G100" s="20"/>
      <c r="I100" s="18"/>
      <c r="J100" s="18"/>
    </row>
    <row r="101" customFormat="false" ht="12" hidden="false" customHeight="false" outlineLevel="0" collapsed="false">
      <c r="C101" s="19"/>
      <c r="D101" s="19"/>
      <c r="E101" s="19"/>
      <c r="F101" s="20"/>
      <c r="G101" s="20"/>
      <c r="I101" s="18"/>
      <c r="J101" s="18"/>
    </row>
    <row r="102" customFormat="false" ht="12" hidden="false" customHeight="false" outlineLevel="0" collapsed="false">
      <c r="C102" s="19"/>
      <c r="D102" s="19"/>
      <c r="E102" s="19"/>
      <c r="F102" s="20"/>
      <c r="G102" s="20"/>
      <c r="I102" s="18"/>
      <c r="J102" s="18"/>
    </row>
    <row r="103" customFormat="false" ht="12" hidden="false" customHeight="false" outlineLevel="0" collapsed="false">
      <c r="C103" s="19"/>
      <c r="D103" s="19"/>
      <c r="E103" s="19"/>
      <c r="F103" s="20"/>
      <c r="G103" s="20"/>
      <c r="I103" s="18"/>
      <c r="J103" s="18"/>
    </row>
    <row r="104" customFormat="false" ht="12" hidden="false" customHeight="false" outlineLevel="0" collapsed="false">
      <c r="C104" s="19"/>
      <c r="D104" s="19"/>
      <c r="E104" s="19"/>
      <c r="F104" s="20"/>
      <c r="G104" s="20"/>
      <c r="I104" s="18"/>
      <c r="J104" s="18"/>
    </row>
    <row r="105" customFormat="false" ht="12" hidden="false" customHeight="false" outlineLevel="0" collapsed="false">
      <c r="C105" s="19"/>
      <c r="D105" s="19"/>
      <c r="E105" s="19"/>
      <c r="F105" s="20"/>
      <c r="G105" s="20"/>
      <c r="I105" s="18"/>
      <c r="J105" s="18"/>
    </row>
    <row r="106" customFormat="false" ht="12" hidden="false" customHeight="false" outlineLevel="0" collapsed="false">
      <c r="C106" s="19"/>
      <c r="D106" s="19"/>
      <c r="E106" s="19"/>
      <c r="F106" s="20"/>
      <c r="G106" s="20"/>
      <c r="I106" s="18"/>
      <c r="J106" s="18"/>
    </row>
    <row r="107" customFormat="false" ht="12" hidden="false" customHeight="false" outlineLevel="0" collapsed="false">
      <c r="C107" s="19"/>
      <c r="D107" s="19"/>
      <c r="E107" s="19"/>
      <c r="F107" s="20"/>
      <c r="G107" s="20"/>
      <c r="I107" s="18"/>
      <c r="J107" s="18"/>
    </row>
    <row r="108" customFormat="false" ht="12" hidden="false" customHeight="false" outlineLevel="0" collapsed="false">
      <c r="C108" s="19"/>
      <c r="D108" s="19"/>
      <c r="E108" s="19"/>
      <c r="F108" s="20"/>
      <c r="G108" s="20"/>
      <c r="I108" s="18"/>
      <c r="J108" s="18"/>
    </row>
    <row r="109" customFormat="false" ht="12" hidden="false" customHeight="false" outlineLevel="0" collapsed="false">
      <c r="C109" s="19"/>
      <c r="D109" s="19"/>
      <c r="E109" s="19"/>
      <c r="F109" s="20"/>
      <c r="G109" s="20"/>
      <c r="I109" s="18"/>
      <c r="J109" s="18"/>
    </row>
    <row r="110" customFormat="false" ht="12" hidden="false" customHeight="false" outlineLevel="0" collapsed="false">
      <c r="C110" s="19"/>
      <c r="D110" s="19"/>
      <c r="E110" s="19"/>
      <c r="F110" s="20"/>
      <c r="G110" s="20"/>
      <c r="I110" s="18"/>
      <c r="J110" s="18"/>
    </row>
    <row r="111" customFormat="false" ht="12" hidden="false" customHeight="false" outlineLevel="0" collapsed="false">
      <c r="C111" s="19"/>
      <c r="D111" s="19"/>
      <c r="E111" s="19"/>
      <c r="F111" s="20"/>
      <c r="G111" s="20"/>
      <c r="I111" s="18"/>
      <c r="J111" s="18"/>
    </row>
    <row r="112" customFormat="false" ht="12" hidden="false" customHeight="false" outlineLevel="0" collapsed="false">
      <c r="C112" s="19"/>
      <c r="D112" s="19"/>
      <c r="E112" s="19"/>
      <c r="F112" s="20"/>
      <c r="G112" s="20"/>
      <c r="I112" s="18"/>
      <c r="J112" s="18"/>
    </row>
    <row r="113" customFormat="false" ht="12" hidden="false" customHeight="false" outlineLevel="0" collapsed="false">
      <c r="C113" s="19"/>
      <c r="D113" s="19"/>
      <c r="E113" s="19"/>
      <c r="F113" s="20"/>
      <c r="G113" s="20"/>
      <c r="I113" s="18"/>
      <c r="J113" s="18"/>
    </row>
    <row r="114" customFormat="false" ht="12" hidden="false" customHeight="false" outlineLevel="0" collapsed="false">
      <c r="C114" s="19"/>
      <c r="D114" s="19"/>
      <c r="E114" s="19"/>
      <c r="F114" s="20"/>
      <c r="G114" s="20"/>
      <c r="I114" s="18"/>
      <c r="J114" s="18"/>
    </row>
    <row r="115" customFormat="false" ht="12" hidden="false" customHeight="false" outlineLevel="0" collapsed="false">
      <c r="C115" s="19"/>
      <c r="D115" s="19"/>
      <c r="E115" s="19"/>
      <c r="F115" s="20"/>
      <c r="G115" s="20"/>
      <c r="I115" s="18"/>
      <c r="J115" s="18"/>
    </row>
    <row r="116" customFormat="false" ht="12" hidden="false" customHeight="false" outlineLevel="0" collapsed="false">
      <c r="C116" s="19"/>
      <c r="D116" s="19"/>
      <c r="E116" s="19"/>
      <c r="F116" s="20"/>
      <c r="G116" s="20"/>
      <c r="I116" s="18"/>
      <c r="J116" s="18"/>
    </row>
    <row r="117" customFormat="false" ht="12" hidden="false" customHeight="false" outlineLevel="0" collapsed="false">
      <c r="C117" s="19"/>
      <c r="D117" s="19"/>
      <c r="E117" s="19"/>
      <c r="F117" s="20"/>
      <c r="G117" s="20"/>
      <c r="I117" s="18"/>
      <c r="J117" s="18"/>
    </row>
    <row r="118" customFormat="false" ht="12" hidden="false" customHeight="false" outlineLevel="0" collapsed="false">
      <c r="C118" s="19"/>
      <c r="D118" s="19"/>
      <c r="E118" s="19"/>
      <c r="F118" s="20"/>
      <c r="G118" s="20"/>
      <c r="I118" s="18"/>
      <c r="J118" s="18"/>
    </row>
    <row r="119" customFormat="false" ht="12" hidden="false" customHeight="false" outlineLevel="0" collapsed="false">
      <c r="C119" s="19"/>
      <c r="D119" s="19"/>
      <c r="E119" s="19"/>
      <c r="F119" s="20"/>
      <c r="G119" s="20"/>
      <c r="I119" s="18"/>
      <c r="J119" s="18"/>
    </row>
    <row r="120" customFormat="false" ht="12" hidden="false" customHeight="false" outlineLevel="0" collapsed="false">
      <c r="C120" s="19"/>
      <c r="D120" s="19"/>
      <c r="E120" s="19"/>
      <c r="F120" s="20"/>
      <c r="G120" s="20"/>
      <c r="I120" s="18"/>
      <c r="J120" s="18"/>
    </row>
    <row r="121" customFormat="false" ht="12" hidden="false" customHeight="false" outlineLevel="0" collapsed="false">
      <c r="C121" s="19"/>
      <c r="D121" s="19"/>
      <c r="E121" s="19"/>
      <c r="F121" s="20"/>
      <c r="G121" s="20"/>
      <c r="I121" s="18"/>
      <c r="J121" s="18"/>
    </row>
    <row r="122" customFormat="false" ht="12" hidden="false" customHeight="false" outlineLevel="0" collapsed="false">
      <c r="C122" s="19"/>
      <c r="D122" s="19"/>
      <c r="E122" s="19"/>
      <c r="F122" s="20"/>
      <c r="G122" s="20"/>
      <c r="I122" s="18"/>
      <c r="J122" s="18"/>
    </row>
    <row r="123" customFormat="false" ht="12" hidden="false" customHeight="false" outlineLevel="0" collapsed="false">
      <c r="C123" s="19"/>
      <c r="D123" s="19"/>
      <c r="E123" s="19"/>
      <c r="F123" s="20"/>
      <c r="G123" s="20"/>
      <c r="I123" s="18"/>
      <c r="J123" s="18"/>
    </row>
    <row r="124" customFormat="false" ht="12" hidden="false" customHeight="false" outlineLevel="0" collapsed="false">
      <c r="C124" s="19"/>
      <c r="D124" s="19"/>
      <c r="E124" s="19"/>
      <c r="F124" s="20"/>
      <c r="G124" s="20"/>
      <c r="I124" s="18"/>
      <c r="J124" s="18"/>
    </row>
    <row r="125" customFormat="false" ht="12" hidden="false" customHeight="false" outlineLevel="0" collapsed="false">
      <c r="C125" s="19"/>
      <c r="D125" s="19"/>
      <c r="E125" s="19"/>
      <c r="F125" s="20"/>
      <c r="G125" s="20"/>
      <c r="I125" s="18"/>
      <c r="J125" s="18"/>
    </row>
    <row r="126" customFormat="false" ht="12" hidden="false" customHeight="false" outlineLevel="0" collapsed="false">
      <c r="C126" s="19"/>
      <c r="D126" s="19"/>
      <c r="E126" s="19"/>
      <c r="F126" s="20"/>
      <c r="G126" s="20"/>
      <c r="I126" s="18"/>
      <c r="J126" s="18"/>
    </row>
    <row r="127" customFormat="false" ht="12" hidden="false" customHeight="false" outlineLevel="0" collapsed="false">
      <c r="C127" s="19"/>
      <c r="D127" s="19"/>
      <c r="E127" s="19"/>
      <c r="F127" s="20"/>
      <c r="G127" s="20"/>
      <c r="I127" s="18"/>
      <c r="J127" s="18"/>
    </row>
    <row r="128" customFormat="false" ht="12" hidden="false" customHeight="false" outlineLevel="0" collapsed="false">
      <c r="C128" s="19"/>
      <c r="D128" s="19"/>
      <c r="E128" s="19"/>
      <c r="F128" s="20"/>
      <c r="G128" s="20"/>
      <c r="I128" s="18"/>
      <c r="J128" s="18"/>
    </row>
    <row r="129" customFormat="false" ht="12" hidden="false" customHeight="false" outlineLevel="0" collapsed="false">
      <c r="C129" s="19"/>
      <c r="D129" s="19"/>
      <c r="E129" s="19"/>
      <c r="F129" s="20"/>
      <c r="G129" s="20"/>
      <c r="I129" s="18"/>
      <c r="J129" s="18"/>
    </row>
    <row r="130" customFormat="false" ht="12" hidden="false" customHeight="false" outlineLevel="0" collapsed="false">
      <c r="C130" s="19"/>
      <c r="D130" s="19"/>
      <c r="E130" s="19"/>
      <c r="F130" s="20"/>
      <c r="G130" s="20"/>
      <c r="I130" s="18"/>
      <c r="J130" s="18"/>
    </row>
    <row r="131" customFormat="false" ht="12" hidden="false" customHeight="false" outlineLevel="0" collapsed="false">
      <c r="C131" s="19"/>
      <c r="D131" s="19"/>
      <c r="E131" s="19"/>
      <c r="F131" s="20"/>
      <c r="G131" s="20"/>
      <c r="I131" s="18"/>
      <c r="J131" s="18"/>
    </row>
    <row r="132" customFormat="false" ht="12" hidden="false" customHeight="false" outlineLevel="0" collapsed="false">
      <c r="C132" s="19"/>
      <c r="D132" s="19"/>
      <c r="E132" s="19"/>
      <c r="F132" s="20"/>
      <c r="G132" s="20"/>
      <c r="I132" s="18"/>
      <c r="J132" s="18"/>
    </row>
    <row r="133" customFormat="false" ht="12" hidden="false" customHeight="false" outlineLevel="0" collapsed="false">
      <c r="C133" s="19"/>
      <c r="D133" s="19"/>
      <c r="E133" s="19"/>
      <c r="F133" s="20"/>
      <c r="G133" s="20"/>
      <c r="I133" s="18"/>
      <c r="J133" s="18"/>
    </row>
    <row r="134" customFormat="false" ht="12" hidden="false" customHeight="false" outlineLevel="0" collapsed="false">
      <c r="C134" s="19"/>
      <c r="D134" s="19"/>
      <c r="E134" s="19"/>
      <c r="F134" s="20"/>
      <c r="G134" s="20"/>
      <c r="I134" s="18"/>
      <c r="J134" s="18"/>
    </row>
    <row r="135" customFormat="false" ht="12" hidden="false" customHeight="false" outlineLevel="0" collapsed="false">
      <c r="C135" s="19"/>
      <c r="D135" s="19"/>
      <c r="E135" s="19"/>
      <c r="F135" s="20"/>
      <c r="G135" s="20"/>
      <c r="I135" s="18"/>
      <c r="J135" s="18"/>
    </row>
    <row r="136" customFormat="false" ht="12" hidden="false" customHeight="false" outlineLevel="0" collapsed="false">
      <c r="C136" s="19"/>
      <c r="D136" s="19"/>
      <c r="E136" s="19"/>
      <c r="F136" s="20"/>
      <c r="G136" s="20"/>
      <c r="I136" s="18"/>
      <c r="J136" s="18"/>
    </row>
    <row r="137" customFormat="false" ht="12" hidden="false" customHeight="false" outlineLevel="0" collapsed="false">
      <c r="C137" s="19"/>
      <c r="D137" s="19"/>
      <c r="E137" s="19"/>
      <c r="F137" s="20"/>
      <c r="G137" s="20"/>
      <c r="I137" s="18"/>
      <c r="J137" s="18"/>
    </row>
    <row r="138" customFormat="false" ht="12" hidden="false" customHeight="false" outlineLevel="0" collapsed="false">
      <c r="C138" s="19"/>
      <c r="D138" s="19"/>
      <c r="E138" s="19"/>
      <c r="F138" s="20"/>
      <c r="G138" s="20"/>
      <c r="I138" s="18"/>
      <c r="J138" s="18"/>
    </row>
    <row r="139" customFormat="false" ht="12" hidden="false" customHeight="false" outlineLevel="0" collapsed="false">
      <c r="C139" s="19"/>
      <c r="D139" s="19"/>
      <c r="E139" s="19"/>
      <c r="F139" s="20"/>
      <c r="G139" s="20"/>
      <c r="I139" s="18"/>
      <c r="J139" s="18"/>
    </row>
    <row r="140" customFormat="false" ht="12" hidden="false" customHeight="false" outlineLevel="0" collapsed="false">
      <c r="C140" s="19"/>
      <c r="D140" s="19"/>
      <c r="E140" s="19"/>
      <c r="F140" s="20"/>
      <c r="G140" s="20"/>
      <c r="I140" s="18"/>
      <c r="J140" s="18"/>
    </row>
    <row r="141" customFormat="false" ht="12" hidden="false" customHeight="false" outlineLevel="0" collapsed="false">
      <c r="C141" s="19"/>
      <c r="D141" s="19"/>
      <c r="E141" s="19"/>
      <c r="F141" s="20"/>
      <c r="G141" s="20"/>
      <c r="I141" s="18"/>
      <c r="J141" s="18"/>
    </row>
    <row r="142" customFormat="false" ht="12" hidden="false" customHeight="false" outlineLevel="0" collapsed="false">
      <c r="C142" s="19"/>
      <c r="D142" s="19"/>
      <c r="E142" s="19"/>
      <c r="F142" s="20"/>
      <c r="I142" s="18"/>
      <c r="J142" s="18"/>
    </row>
    <row r="143" customFormat="false" ht="12" hidden="false" customHeight="false" outlineLevel="0" collapsed="false">
      <c r="C143" s="19"/>
      <c r="D143" s="19"/>
      <c r="E143" s="19"/>
      <c r="F143" s="20"/>
      <c r="G143" s="20"/>
      <c r="I143" s="18"/>
      <c r="J143" s="18"/>
    </row>
    <row r="144" customFormat="false" ht="12" hidden="false" customHeight="false" outlineLevel="0" collapsed="false">
      <c r="C144" s="19"/>
      <c r="D144" s="19"/>
      <c r="E144" s="19"/>
      <c r="F144" s="20"/>
      <c r="G144" s="20"/>
      <c r="I144" s="18"/>
      <c r="J144" s="18"/>
    </row>
    <row r="145" customFormat="false" ht="12" hidden="false" customHeight="false" outlineLevel="0" collapsed="false">
      <c r="C145" s="19"/>
      <c r="D145" s="19"/>
      <c r="E145" s="19"/>
      <c r="F145" s="20"/>
      <c r="G145" s="20"/>
      <c r="I145" s="18"/>
      <c r="J145" s="18"/>
    </row>
    <row r="146" customFormat="false" ht="12" hidden="false" customHeight="false" outlineLevel="0" collapsed="false">
      <c r="C146" s="19"/>
      <c r="D146" s="19"/>
      <c r="E146" s="19"/>
      <c r="F146" s="20"/>
      <c r="G146" s="20"/>
      <c r="I146" s="18"/>
      <c r="J146" s="18"/>
    </row>
    <row r="147" customFormat="false" ht="12" hidden="false" customHeight="false" outlineLevel="0" collapsed="false">
      <c r="C147" s="19"/>
      <c r="D147" s="19"/>
      <c r="E147" s="19"/>
      <c r="F147" s="20"/>
      <c r="G147" s="20"/>
      <c r="I147" s="18"/>
      <c r="J147" s="18"/>
    </row>
    <row r="148" customFormat="false" ht="12" hidden="false" customHeight="false" outlineLevel="0" collapsed="false">
      <c r="C148" s="19"/>
      <c r="D148" s="19"/>
      <c r="E148" s="19"/>
      <c r="F148" s="20"/>
      <c r="G148" s="20"/>
      <c r="I148" s="18"/>
      <c r="J148" s="18"/>
    </row>
    <row r="149" customFormat="false" ht="12" hidden="false" customHeight="false" outlineLevel="0" collapsed="false">
      <c r="C149" s="19"/>
      <c r="D149" s="19"/>
      <c r="E149" s="19"/>
      <c r="F149" s="20"/>
      <c r="G149" s="20"/>
      <c r="I149" s="18"/>
      <c r="J149" s="18"/>
    </row>
    <row r="150" customFormat="false" ht="12" hidden="false" customHeight="false" outlineLevel="0" collapsed="false">
      <c r="C150" s="19"/>
      <c r="D150" s="19"/>
      <c r="E150" s="19"/>
      <c r="F150" s="20"/>
      <c r="G150" s="20"/>
      <c r="I150" s="18"/>
      <c r="J150" s="18"/>
    </row>
    <row r="151" customFormat="false" ht="12" hidden="false" customHeight="false" outlineLevel="0" collapsed="false">
      <c r="C151" s="19"/>
      <c r="D151" s="19"/>
      <c r="E151" s="19"/>
      <c r="F151" s="20"/>
      <c r="G151" s="20"/>
      <c r="I151" s="18"/>
      <c r="J151" s="18"/>
    </row>
    <row r="152" customFormat="false" ht="12" hidden="false" customHeight="false" outlineLevel="0" collapsed="false">
      <c r="C152" s="19"/>
      <c r="D152" s="19"/>
      <c r="E152" s="19"/>
      <c r="F152" s="20"/>
      <c r="G152" s="20"/>
      <c r="I152" s="18"/>
      <c r="J152" s="18"/>
    </row>
    <row r="153" customFormat="false" ht="12" hidden="false" customHeight="false" outlineLevel="0" collapsed="false">
      <c r="C153" s="19"/>
      <c r="D153" s="19"/>
      <c r="E153" s="19"/>
      <c r="F153" s="20"/>
      <c r="G153" s="20"/>
      <c r="I153" s="18"/>
      <c r="J153" s="18"/>
    </row>
    <row r="154" customFormat="false" ht="12" hidden="false" customHeight="false" outlineLevel="0" collapsed="false">
      <c r="C154" s="19"/>
      <c r="D154" s="19"/>
      <c r="E154" s="19"/>
      <c r="F154" s="20"/>
      <c r="G154" s="20"/>
      <c r="I154" s="18"/>
      <c r="J154" s="18"/>
    </row>
    <row r="155" customFormat="false" ht="12" hidden="false" customHeight="false" outlineLevel="0" collapsed="false">
      <c r="C155" s="19"/>
      <c r="D155" s="19"/>
      <c r="E155" s="19"/>
      <c r="F155" s="20"/>
      <c r="G155" s="20"/>
      <c r="I155" s="18"/>
      <c r="J155" s="18"/>
    </row>
    <row r="156" customFormat="false" ht="12" hidden="false" customHeight="false" outlineLevel="0" collapsed="false">
      <c r="C156" s="19"/>
      <c r="D156" s="19"/>
      <c r="E156" s="19"/>
      <c r="F156" s="20"/>
      <c r="G156" s="20"/>
      <c r="I156" s="18"/>
      <c r="J156" s="18"/>
    </row>
    <row r="157" customFormat="false" ht="12" hidden="false" customHeight="false" outlineLevel="0" collapsed="false">
      <c r="C157" s="19"/>
      <c r="D157" s="19"/>
      <c r="E157" s="19"/>
      <c r="F157" s="20"/>
      <c r="G157" s="20"/>
      <c r="I157" s="18"/>
      <c r="J157" s="18"/>
    </row>
    <row r="158" customFormat="false" ht="12" hidden="false" customHeight="false" outlineLevel="0" collapsed="false">
      <c r="C158" s="19"/>
      <c r="D158" s="19"/>
      <c r="E158" s="19"/>
      <c r="F158" s="20"/>
      <c r="G158" s="20"/>
      <c r="I158" s="18"/>
      <c r="J158" s="18"/>
    </row>
    <row r="159" customFormat="false" ht="12" hidden="false" customHeight="false" outlineLevel="0" collapsed="false">
      <c r="C159" s="19"/>
      <c r="D159" s="19"/>
      <c r="E159" s="19"/>
      <c r="F159" s="20"/>
      <c r="G159" s="20"/>
      <c r="I159" s="18"/>
      <c r="J159" s="18"/>
    </row>
    <row r="160" customFormat="false" ht="12" hidden="false" customHeight="false" outlineLevel="0" collapsed="false">
      <c r="C160" s="19"/>
      <c r="D160" s="19"/>
      <c r="E160" s="19"/>
      <c r="F160" s="20"/>
      <c r="G160" s="20"/>
      <c r="I160" s="18"/>
      <c r="J160" s="18"/>
    </row>
    <row r="161" customFormat="false" ht="12" hidden="false" customHeight="false" outlineLevel="0" collapsed="false">
      <c r="C161" s="19"/>
      <c r="D161" s="19"/>
      <c r="E161" s="19"/>
      <c r="F161" s="20"/>
      <c r="G161" s="20"/>
      <c r="I161" s="18"/>
      <c r="J161" s="18"/>
    </row>
    <row r="162" customFormat="false" ht="12" hidden="false" customHeight="false" outlineLevel="0" collapsed="false">
      <c r="C162" s="19"/>
      <c r="D162" s="19"/>
      <c r="E162" s="19"/>
      <c r="F162" s="20"/>
      <c r="G162" s="20"/>
      <c r="I162" s="18"/>
      <c r="J162" s="18"/>
    </row>
    <row r="163" customFormat="false" ht="12" hidden="false" customHeight="false" outlineLevel="0" collapsed="false">
      <c r="C163" s="19"/>
      <c r="D163" s="19"/>
      <c r="E163" s="19"/>
      <c r="F163" s="20"/>
      <c r="G163" s="20"/>
      <c r="I163" s="18"/>
      <c r="J163" s="18"/>
    </row>
    <row r="164" customFormat="false" ht="12" hidden="false" customHeight="false" outlineLevel="0" collapsed="false">
      <c r="C164" s="19"/>
      <c r="D164" s="19"/>
      <c r="E164" s="19"/>
      <c r="F164" s="20"/>
      <c r="G164" s="20"/>
      <c r="I164" s="18"/>
      <c r="J164" s="18"/>
    </row>
    <row r="165" customFormat="false" ht="12" hidden="false" customHeight="false" outlineLevel="0" collapsed="false">
      <c r="C165" s="19"/>
      <c r="D165" s="19"/>
      <c r="E165" s="19"/>
      <c r="F165" s="20"/>
      <c r="G165" s="20"/>
      <c r="I165" s="18"/>
      <c r="J165" s="18"/>
    </row>
    <row r="166" customFormat="false" ht="12" hidden="false" customHeight="false" outlineLevel="0" collapsed="false">
      <c r="C166" s="19"/>
      <c r="D166" s="19"/>
      <c r="E166" s="19"/>
      <c r="F166" s="20"/>
      <c r="G166" s="20"/>
      <c r="I166" s="18"/>
      <c r="J166" s="18"/>
    </row>
    <row r="167" customFormat="false" ht="12" hidden="false" customHeight="false" outlineLevel="0" collapsed="false">
      <c r="C167" s="19"/>
      <c r="D167" s="19"/>
      <c r="E167" s="19"/>
      <c r="F167" s="20"/>
      <c r="G167" s="20"/>
      <c r="I167" s="18"/>
      <c r="J167" s="18"/>
    </row>
    <row r="168" customFormat="false" ht="12" hidden="false" customHeight="false" outlineLevel="0" collapsed="false">
      <c r="C168" s="19"/>
      <c r="D168" s="19"/>
      <c r="E168" s="19"/>
      <c r="F168" s="20"/>
      <c r="G168" s="20"/>
      <c r="I168" s="18"/>
      <c r="J168" s="18"/>
    </row>
    <row r="169" customFormat="false" ht="12" hidden="false" customHeight="false" outlineLevel="0" collapsed="false">
      <c r="C169" s="19"/>
      <c r="D169" s="19"/>
      <c r="E169" s="19"/>
      <c r="F169" s="20"/>
      <c r="G169" s="20"/>
      <c r="I169" s="18"/>
      <c r="J169" s="18"/>
    </row>
    <row r="170" customFormat="false" ht="12" hidden="false" customHeight="false" outlineLevel="0" collapsed="false">
      <c r="C170" s="19"/>
      <c r="D170" s="19"/>
      <c r="E170" s="19"/>
      <c r="F170" s="20"/>
      <c r="G170" s="20"/>
      <c r="I170" s="18"/>
      <c r="J170" s="18"/>
    </row>
    <row r="171" customFormat="false" ht="12" hidden="false" customHeight="false" outlineLevel="0" collapsed="false">
      <c r="C171" s="19"/>
      <c r="D171" s="19"/>
      <c r="E171" s="19"/>
      <c r="F171" s="20"/>
      <c r="G171" s="20"/>
      <c r="I171" s="18"/>
      <c r="J171" s="18"/>
    </row>
    <row r="172" customFormat="false" ht="12" hidden="false" customHeight="false" outlineLevel="0" collapsed="false">
      <c r="C172" s="19"/>
      <c r="D172" s="19"/>
      <c r="E172" s="19"/>
      <c r="F172" s="20"/>
      <c r="G172" s="20"/>
      <c r="I172" s="18"/>
      <c r="J172" s="18"/>
    </row>
    <row r="173" customFormat="false" ht="12" hidden="false" customHeight="false" outlineLevel="0" collapsed="false">
      <c r="C173" s="19"/>
      <c r="D173" s="19"/>
      <c r="E173" s="19"/>
      <c r="F173" s="20"/>
      <c r="G173" s="20"/>
      <c r="I173" s="21"/>
      <c r="J173" s="21"/>
    </row>
    <row r="174" customFormat="false" ht="12" hidden="false" customHeight="false" outlineLevel="0" collapsed="false">
      <c r="C174" s="19"/>
      <c r="D174" s="19"/>
      <c r="E174" s="19"/>
      <c r="F174" s="20"/>
      <c r="G174" s="20"/>
      <c r="I174" s="21"/>
      <c r="J174" s="21"/>
    </row>
    <row r="175" customFormat="false" ht="12" hidden="false" customHeight="false" outlineLevel="0" collapsed="false">
      <c r="C175" s="19"/>
      <c r="D175" s="19"/>
      <c r="E175" s="19"/>
      <c r="F175" s="20"/>
      <c r="G175" s="20"/>
      <c r="I175" s="21"/>
      <c r="J175" s="21"/>
    </row>
    <row r="176" customFormat="false" ht="12" hidden="false" customHeight="false" outlineLevel="0" collapsed="false">
      <c r="C176" s="19"/>
      <c r="D176" s="19"/>
      <c r="E176" s="19"/>
      <c r="F176" s="20"/>
      <c r="G176" s="20"/>
      <c r="I176" s="21"/>
      <c r="J176" s="21"/>
    </row>
    <row r="177" customFormat="false" ht="12" hidden="false" customHeight="false" outlineLevel="0" collapsed="false">
      <c r="C177" s="19"/>
      <c r="D177" s="19"/>
      <c r="E177" s="19"/>
      <c r="F177" s="20"/>
      <c r="I177" s="21"/>
      <c r="J177" s="21"/>
    </row>
    <row r="178" customFormat="false" ht="12" hidden="false" customHeight="false" outlineLevel="0" collapsed="false">
      <c r="C178" s="19"/>
      <c r="D178" s="19"/>
      <c r="E178" s="19"/>
      <c r="F178" s="20"/>
      <c r="G178" s="20"/>
      <c r="I178" s="21"/>
      <c r="J178" s="21"/>
    </row>
    <row r="179" customFormat="false" ht="12" hidden="false" customHeight="false" outlineLevel="0" collapsed="false">
      <c r="C179" s="19"/>
      <c r="D179" s="19"/>
      <c r="E179" s="19"/>
      <c r="F179" s="20"/>
      <c r="G179" s="20"/>
      <c r="I179" s="21"/>
      <c r="J179" s="21"/>
    </row>
    <row r="180" customFormat="false" ht="12" hidden="false" customHeight="false" outlineLevel="0" collapsed="false">
      <c r="C180" s="19"/>
      <c r="D180" s="19"/>
      <c r="E180" s="19"/>
      <c r="F180" s="20"/>
      <c r="G180" s="20"/>
      <c r="I180" s="21"/>
      <c r="J180" s="21"/>
    </row>
    <row r="181" customFormat="false" ht="12" hidden="false" customHeight="false" outlineLevel="0" collapsed="false">
      <c r="C181" s="19"/>
      <c r="D181" s="19"/>
      <c r="E181" s="19"/>
      <c r="F181" s="20"/>
      <c r="G181" s="20"/>
      <c r="I181" s="21"/>
      <c r="J181" s="21"/>
    </row>
    <row r="182" customFormat="false" ht="12" hidden="false" customHeight="false" outlineLevel="0" collapsed="false">
      <c r="C182" s="19"/>
      <c r="D182" s="19"/>
      <c r="E182" s="19"/>
      <c r="F182" s="20"/>
      <c r="G182" s="20"/>
      <c r="I182" s="21"/>
      <c r="J182" s="21"/>
    </row>
    <row r="183" customFormat="false" ht="12" hidden="false" customHeight="false" outlineLevel="0" collapsed="false">
      <c r="C183" s="19"/>
      <c r="D183" s="19"/>
      <c r="E183" s="19"/>
      <c r="F183" s="20"/>
      <c r="G183" s="20"/>
      <c r="I183" s="21"/>
      <c r="J183" s="21"/>
    </row>
    <row r="184" customFormat="false" ht="12" hidden="false" customHeight="false" outlineLevel="0" collapsed="false">
      <c r="C184" s="19"/>
      <c r="D184" s="19"/>
      <c r="E184" s="19"/>
      <c r="F184" s="20"/>
      <c r="G184" s="20"/>
      <c r="I184" s="21"/>
      <c r="J184" s="21"/>
    </row>
    <row r="185" customFormat="false" ht="12" hidden="false" customHeight="false" outlineLevel="0" collapsed="false">
      <c r="C185" s="19"/>
      <c r="D185" s="19"/>
      <c r="E185" s="19"/>
      <c r="F185" s="20"/>
      <c r="G185" s="20"/>
      <c r="I185" s="21"/>
      <c r="J185" s="21"/>
    </row>
    <row r="186" customFormat="false" ht="12" hidden="false" customHeight="false" outlineLevel="0" collapsed="false">
      <c r="C186" s="19"/>
      <c r="D186" s="19"/>
      <c r="E186" s="19"/>
      <c r="F186" s="20"/>
      <c r="G186" s="20"/>
      <c r="I186" s="21"/>
      <c r="J186" s="21"/>
    </row>
    <row r="187" customFormat="false" ht="12" hidden="false" customHeight="false" outlineLevel="0" collapsed="false">
      <c r="C187" s="19"/>
      <c r="D187" s="19"/>
      <c r="E187" s="19"/>
      <c r="F187" s="20"/>
      <c r="G187" s="20"/>
      <c r="I187" s="21"/>
      <c r="J187" s="21"/>
    </row>
    <row r="188" customFormat="false" ht="12" hidden="false" customHeight="false" outlineLevel="0" collapsed="false">
      <c r="C188" s="19"/>
      <c r="D188" s="19"/>
      <c r="E188" s="19"/>
      <c r="F188" s="20"/>
      <c r="G188" s="20"/>
      <c r="I188" s="21"/>
      <c r="J188" s="21"/>
    </row>
    <row r="189" customFormat="false" ht="12" hidden="false" customHeight="false" outlineLevel="0" collapsed="false">
      <c r="C189" s="19"/>
      <c r="D189" s="19"/>
      <c r="E189" s="19"/>
      <c r="F189" s="20"/>
      <c r="G189" s="20"/>
      <c r="I189" s="21"/>
      <c r="J189" s="21"/>
    </row>
    <row r="190" customFormat="false" ht="12" hidden="false" customHeight="false" outlineLevel="0" collapsed="false">
      <c r="C190" s="19"/>
      <c r="D190" s="19"/>
      <c r="E190" s="19"/>
      <c r="F190" s="20"/>
      <c r="G190" s="20"/>
      <c r="I190" s="21"/>
      <c r="J190" s="21"/>
    </row>
    <row r="191" customFormat="false" ht="12" hidden="false" customHeight="false" outlineLevel="0" collapsed="false">
      <c r="C191" s="19"/>
      <c r="D191" s="19"/>
      <c r="E191" s="19"/>
      <c r="F191" s="20"/>
      <c r="G191" s="20"/>
      <c r="I191" s="21"/>
      <c r="J191" s="21"/>
    </row>
    <row r="192" customFormat="false" ht="12" hidden="false" customHeight="false" outlineLevel="0" collapsed="false">
      <c r="C192" s="19"/>
      <c r="D192" s="19"/>
      <c r="E192" s="19"/>
      <c r="F192" s="20"/>
      <c r="G192" s="20"/>
      <c r="I192" s="21"/>
      <c r="J192" s="21"/>
    </row>
    <row r="193" customFormat="false" ht="12" hidden="false" customHeight="false" outlineLevel="0" collapsed="false">
      <c r="C193" s="19"/>
      <c r="D193" s="19"/>
      <c r="E193" s="19"/>
      <c r="F193" s="20"/>
      <c r="G193" s="20"/>
      <c r="I193" s="21"/>
      <c r="J193" s="21"/>
    </row>
    <row r="194" customFormat="false" ht="12" hidden="false" customHeight="false" outlineLevel="0" collapsed="false">
      <c r="C194" s="19"/>
      <c r="D194" s="19"/>
      <c r="E194" s="19"/>
      <c r="F194" s="20"/>
      <c r="G194" s="20"/>
      <c r="I194" s="21"/>
      <c r="J194" s="21"/>
    </row>
    <row r="195" customFormat="false" ht="12" hidden="false" customHeight="false" outlineLevel="0" collapsed="false">
      <c r="C195" s="19"/>
      <c r="D195" s="19"/>
      <c r="E195" s="19"/>
      <c r="F195" s="20"/>
      <c r="G195" s="20"/>
      <c r="I195" s="21"/>
      <c r="J195" s="21"/>
    </row>
    <row r="196" customFormat="false" ht="12" hidden="false" customHeight="false" outlineLevel="0" collapsed="false">
      <c r="C196" s="19"/>
      <c r="D196" s="19"/>
      <c r="E196" s="19"/>
      <c r="F196" s="20"/>
      <c r="G196" s="20"/>
      <c r="I196" s="21"/>
      <c r="J196" s="21"/>
    </row>
    <row r="197" customFormat="false" ht="12" hidden="false" customHeight="false" outlineLevel="0" collapsed="false">
      <c r="C197" s="19"/>
      <c r="D197" s="19"/>
      <c r="E197" s="19"/>
      <c r="F197" s="20"/>
      <c r="G197" s="20"/>
      <c r="I197" s="21"/>
      <c r="J197" s="21"/>
    </row>
    <row r="198" customFormat="false" ht="12" hidden="false" customHeight="false" outlineLevel="0" collapsed="false">
      <c r="C198" s="19"/>
      <c r="D198" s="19"/>
      <c r="E198" s="19"/>
      <c r="F198" s="20"/>
      <c r="G198" s="20"/>
      <c r="I198" s="21"/>
      <c r="J198" s="21"/>
    </row>
    <row r="199" customFormat="false" ht="12" hidden="false" customHeight="false" outlineLevel="0" collapsed="false">
      <c r="C199" s="19"/>
      <c r="D199" s="19"/>
      <c r="E199" s="19"/>
      <c r="F199" s="20"/>
      <c r="G199" s="20"/>
      <c r="I199" s="21"/>
      <c r="J199" s="21"/>
    </row>
    <row r="200" customFormat="false" ht="12" hidden="false" customHeight="false" outlineLevel="0" collapsed="false">
      <c r="C200" s="19"/>
      <c r="D200" s="19"/>
      <c r="E200" s="19"/>
      <c r="F200" s="20"/>
      <c r="G200" s="20"/>
      <c r="I200" s="21"/>
      <c r="J200" s="21"/>
    </row>
    <row r="201" customFormat="false" ht="12" hidden="false" customHeight="false" outlineLevel="0" collapsed="false">
      <c r="C201" s="19"/>
      <c r="D201" s="19"/>
      <c r="E201" s="19"/>
      <c r="F201" s="20"/>
      <c r="G201" s="20"/>
      <c r="I201" s="21"/>
      <c r="J201" s="21"/>
    </row>
    <row r="202" customFormat="false" ht="12" hidden="false" customHeight="false" outlineLevel="0" collapsed="false">
      <c r="C202" s="19"/>
      <c r="D202" s="19"/>
      <c r="E202" s="19"/>
      <c r="F202" s="20"/>
      <c r="G202" s="20"/>
      <c r="I202" s="21"/>
      <c r="J202" s="21"/>
    </row>
    <row r="203" customFormat="false" ht="12" hidden="false" customHeight="false" outlineLevel="0" collapsed="false">
      <c r="C203" s="19"/>
      <c r="D203" s="19"/>
      <c r="E203" s="19"/>
      <c r="F203" s="20"/>
      <c r="G203" s="20"/>
      <c r="I203" s="21"/>
      <c r="J203" s="21"/>
    </row>
    <row r="204" customFormat="false" ht="12" hidden="false" customHeight="false" outlineLevel="0" collapsed="false">
      <c r="C204" s="19"/>
      <c r="D204" s="19"/>
      <c r="E204" s="19"/>
      <c r="F204" s="20"/>
      <c r="G204" s="20"/>
      <c r="I204" s="21"/>
      <c r="J204" s="21"/>
    </row>
    <row r="205" customFormat="false" ht="12" hidden="false" customHeight="false" outlineLevel="0" collapsed="false">
      <c r="I205" s="21"/>
      <c r="J205" s="21"/>
    </row>
    <row r="206" customFormat="false" ht="12" hidden="false" customHeight="false" outlineLevel="0" collapsed="false">
      <c r="I206" s="21"/>
      <c r="J206" s="21"/>
    </row>
    <row r="207" customFormat="false" ht="12" hidden="false" customHeight="false" outlineLevel="0" collapsed="false">
      <c r="I207" s="21"/>
      <c r="J207" s="21"/>
    </row>
    <row r="208" customFormat="false" ht="12" hidden="false" customHeight="false" outlineLevel="0" collapsed="false">
      <c r="I208" s="19"/>
      <c r="J208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A2:I2"/>
    </sheetView>
  </sheetViews>
  <sheetFormatPr defaultColWidth="9.05078125" defaultRowHeight="12" customHeight="false" zeroHeight="false" outlineLevelRow="0" outlineLevelCol="0"/>
  <sheetData>
    <row r="2" customFormat="false" ht="12.7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22" t="s">
        <v>24</v>
      </c>
      <c r="I2" s="22" t="s">
        <v>25</v>
      </c>
    </row>
    <row r="3" customFormat="false" ht="12" hidden="false" customHeight="false" outlineLevel="0" collapsed="false">
      <c r="A3" s="0" t="n">
        <v>1.05</v>
      </c>
      <c r="B3" s="0" t="n">
        <v>1</v>
      </c>
      <c r="C3" s="19" t="n">
        <v>31.6824772901007</v>
      </c>
      <c r="D3" s="19" t="s">
        <v>26</v>
      </c>
      <c r="E3" s="19" t="n">
        <v>31.6824772901007</v>
      </c>
      <c r="F3" s="20" t="n">
        <v>0.244897113649111</v>
      </c>
      <c r="G3" s="20" t="s">
        <v>26</v>
      </c>
      <c r="H3" s="18" t="n">
        <v>16.5870821929673</v>
      </c>
      <c r="I3" s="18" t="n">
        <v>0</v>
      </c>
    </row>
    <row r="4" customFormat="false" ht="12" hidden="false" customHeight="false" outlineLevel="0" collapsed="false">
      <c r="A4" s="0" t="n">
        <v>1.05</v>
      </c>
      <c r="B4" s="0" t="n">
        <v>0.83</v>
      </c>
      <c r="C4" s="19" t="n">
        <v>39.1858281079524</v>
      </c>
      <c r="D4" s="19" t="n">
        <v>40.0749837249413</v>
      </c>
      <c r="E4" s="19" t="n">
        <v>39.3360954072235</v>
      </c>
      <c r="F4" s="20" t="n">
        <v>0.0660663420530577</v>
      </c>
      <c r="G4" s="20" t="n">
        <v>0.0448746919603049</v>
      </c>
      <c r="H4" s="18" t="n">
        <v>21.3661292639075</v>
      </c>
      <c r="I4" s="18" t="n">
        <v>21.231430693714</v>
      </c>
    </row>
    <row r="5" customFormat="false" ht="12" hidden="false" customHeight="false" outlineLevel="0" collapsed="false">
      <c r="A5" s="0" t="n">
        <v>1.05</v>
      </c>
      <c r="B5" s="0" t="n">
        <v>0.67</v>
      </c>
      <c r="C5" s="19" t="n">
        <v>40.7129783742515</v>
      </c>
      <c r="D5" s="19" t="n">
        <v>41.8324972759071</v>
      </c>
      <c r="E5" s="19" t="n">
        <v>41.0802925258847</v>
      </c>
      <c r="F5" s="20" t="n">
        <v>0.0296690754057842</v>
      </c>
      <c r="G5" s="20" t="n">
        <v>0.00298707241011999</v>
      </c>
      <c r="H5" s="18" t="n">
        <v>20.9718418804741</v>
      </c>
      <c r="I5" s="18" t="n">
        <v>20.7562447079636</v>
      </c>
    </row>
    <row r="6" customFormat="false" ht="12" hidden="false" customHeight="false" outlineLevel="0" collapsed="false">
      <c r="A6" s="0" t="n">
        <v>1.05</v>
      </c>
      <c r="B6" s="0" t="n">
        <v>0.5</v>
      </c>
      <c r="C6" s="19" t="n">
        <v>32.0709537391472</v>
      </c>
      <c r="D6" s="19" t="n">
        <v>33.0721576956704</v>
      </c>
      <c r="E6" s="19" t="n">
        <v>32.5679847566305</v>
      </c>
      <c r="F6" s="20" t="n">
        <v>0.235638377810105</v>
      </c>
      <c r="G6" s="20" t="n">
        <v>0.211776228696126</v>
      </c>
      <c r="H6" s="18" t="n">
        <v>17.3020789856854</v>
      </c>
      <c r="I6" s="18" t="n">
        <v>16.9172866374432</v>
      </c>
    </row>
    <row r="7" customFormat="false" ht="12" hidden="false" customHeight="false" outlineLevel="0" collapsed="false">
      <c r="A7" s="0" t="n">
        <v>1.05</v>
      </c>
      <c r="B7" s="0" t="n">
        <v>0.33</v>
      </c>
      <c r="C7" s="19" t="n">
        <v>33.9726863354875</v>
      </c>
      <c r="D7" s="19" t="n">
        <v>35.5705864876039</v>
      </c>
      <c r="E7" s="19" t="n">
        <v>35.0456230242952</v>
      </c>
      <c r="F7" s="20" t="n">
        <v>0.190313520179328</v>
      </c>
      <c r="G7" s="20" t="n">
        <v>0.152230039335466</v>
      </c>
      <c r="H7" s="18" t="n">
        <v>18.0957058998062</v>
      </c>
      <c r="I7" s="18" t="n">
        <v>18.2271417370074</v>
      </c>
    </row>
    <row r="8" customFormat="false" ht="12" hidden="false" customHeight="false" outlineLevel="0" collapsed="false">
      <c r="A8" s="0" t="n">
        <v>1.05</v>
      </c>
      <c r="B8" s="0" t="n">
        <v>0.17</v>
      </c>
      <c r="C8" s="19" t="n">
        <v>30.2944123456496</v>
      </c>
      <c r="D8" s="19" t="n">
        <v>33.8178401036531</v>
      </c>
      <c r="E8" s="19" t="n">
        <v>33.2081696539265</v>
      </c>
      <c r="F8" s="20" t="n">
        <v>0.277979496582752</v>
      </c>
      <c r="G8" s="20" t="n">
        <v>0.19400404082669</v>
      </c>
      <c r="H8" s="18" t="n">
        <v>16.3892829984699</v>
      </c>
      <c r="I8" s="18" t="n">
        <v>17.5750577721932</v>
      </c>
    </row>
    <row r="9" customFormat="false" ht="12" hidden="false" customHeight="false" outlineLevel="0" collapsed="false">
      <c r="A9" s="0" t="n">
        <v>1.05</v>
      </c>
      <c r="B9" s="0" t="n">
        <v>0</v>
      </c>
      <c r="C9" s="19" t="s">
        <v>26</v>
      </c>
      <c r="D9" s="19" t="n">
        <v>41.957828347352</v>
      </c>
      <c r="E9" s="19" t="s">
        <v>26</v>
      </c>
      <c r="F9" s="20"/>
      <c r="G9" s="20"/>
      <c r="H9" s="18" t="n">
        <v>0</v>
      </c>
      <c r="I9" s="18" t="n">
        <v>19.9785381522874</v>
      </c>
    </row>
    <row r="10" customFormat="false" ht="12" hidden="false" customHeight="false" outlineLevel="0" collapsed="false">
      <c r="A10" s="0" t="n">
        <v>1</v>
      </c>
      <c r="B10" s="0" t="n">
        <v>1</v>
      </c>
      <c r="C10" s="19" t="n">
        <v>17.7358946525296</v>
      </c>
      <c r="D10" s="19" t="s">
        <v>26</v>
      </c>
      <c r="E10" s="19" t="n">
        <v>17.7358946525296</v>
      </c>
      <c r="F10" s="20" t="n">
        <v>0.400530364273952</v>
      </c>
      <c r="G10" s="20" t="s">
        <v>26</v>
      </c>
      <c r="H10" s="18" t="n">
        <v>9.71956231221947</v>
      </c>
      <c r="I10" s="18" t="n">
        <v>0</v>
      </c>
    </row>
    <row r="11" customFormat="false" ht="12" hidden="false" customHeight="false" outlineLevel="0" collapsed="false">
      <c r="A11" s="0" t="n">
        <v>1</v>
      </c>
      <c r="B11" s="0" t="n">
        <v>0.83</v>
      </c>
      <c r="C11" s="19" t="n">
        <v>18.3709912448051</v>
      </c>
      <c r="D11" s="19" t="n">
        <v>18.6367730622531</v>
      </c>
      <c r="E11" s="19" t="n">
        <v>18.4158197780147</v>
      </c>
      <c r="F11" s="20" t="n">
        <v>0.379064228492189</v>
      </c>
      <c r="G11" s="20" t="n">
        <v>0.370080857063255</v>
      </c>
      <c r="H11" s="18" t="n">
        <v>10.4462044081009</v>
      </c>
      <c r="I11" s="18" t="n">
        <v>10.2045446100475</v>
      </c>
    </row>
    <row r="12" customFormat="false" ht="12" hidden="false" customHeight="false" outlineLevel="0" collapsed="false">
      <c r="A12" s="0" t="n">
        <v>1</v>
      </c>
      <c r="B12" s="0" t="n">
        <v>0.67</v>
      </c>
      <c r="C12" s="19" t="n">
        <v>18.7607152034159</v>
      </c>
      <c r="D12" s="19" t="n">
        <v>19.5079122564615</v>
      </c>
      <c r="E12" s="19" t="n">
        <v>19.012047385492</v>
      </c>
      <c r="F12" s="20" t="n">
        <v>0.365891637874168</v>
      </c>
      <c r="G12" s="20" t="n">
        <v>0.340636529294635</v>
      </c>
      <c r="H12" s="18" t="n">
        <v>10.0007206725747</v>
      </c>
      <c r="I12" s="18" t="n">
        <v>9.96824961616845</v>
      </c>
    </row>
    <row r="13" customFormat="false" ht="12" hidden="false" customHeight="false" outlineLevel="0" collapsed="false">
      <c r="A13" s="0" t="n">
        <v>1</v>
      </c>
      <c r="B13" s="0" t="n">
        <v>0.5</v>
      </c>
      <c r="C13" s="19" t="n">
        <v>18.3480338577824</v>
      </c>
      <c r="D13" s="19" t="n">
        <v>19.3728053045678</v>
      </c>
      <c r="E13" s="19" t="n">
        <v>18.8645869850587</v>
      </c>
      <c r="F13" s="20" t="n">
        <v>0.37984018350914</v>
      </c>
      <c r="G13" s="20" t="n">
        <v>0.345203116817987</v>
      </c>
      <c r="H13" s="18" t="n">
        <v>10.0000252832503</v>
      </c>
      <c r="I13" s="18" t="n">
        <v>9.91911190454</v>
      </c>
    </row>
    <row r="14" customFormat="false" ht="12" hidden="false" customHeight="false" outlineLevel="0" collapsed="false">
      <c r="A14" s="0" t="n">
        <v>1</v>
      </c>
      <c r="B14" s="0" t="n">
        <v>0.33</v>
      </c>
      <c r="C14" s="19" t="n">
        <v>19.2790584543444</v>
      </c>
      <c r="D14" s="19" t="n">
        <v>20.6461172548237</v>
      </c>
      <c r="E14" s="19" t="n">
        <v>20.1930283997182</v>
      </c>
      <c r="F14" s="20" t="n">
        <v>0.348371741308318</v>
      </c>
      <c r="G14" s="20" t="n">
        <v>0.302165431607298</v>
      </c>
      <c r="H14" s="18" t="n">
        <v>10.7677791503404</v>
      </c>
      <c r="I14" s="18" t="n">
        <v>11.1347496627267</v>
      </c>
    </row>
    <row r="15" customFormat="false" ht="12" hidden="false" customHeight="false" outlineLevel="0" collapsed="false">
      <c r="A15" s="0" t="n">
        <v>1</v>
      </c>
      <c r="B15" s="0" t="n">
        <v>0.17</v>
      </c>
      <c r="C15" s="19" t="n">
        <v>15.2360685686096</v>
      </c>
      <c r="D15" s="19" t="n">
        <v>17.9761645156795</v>
      </c>
      <c r="E15" s="19" t="n">
        <v>17.5064207338202</v>
      </c>
      <c r="F15" s="20" t="n">
        <v>0.485023978002779</v>
      </c>
      <c r="G15" s="20" t="n">
        <v>0.392409291716846</v>
      </c>
      <c r="H15" s="18" t="n">
        <v>8.60724549327703</v>
      </c>
      <c r="I15" s="18" t="n">
        <v>9.66549216645627</v>
      </c>
    </row>
    <row r="16" customFormat="false" ht="12" hidden="false" customHeight="false" outlineLevel="0" collapsed="false">
      <c r="A16" s="0" t="n">
        <v>1</v>
      </c>
      <c r="B16" s="0" t="n">
        <v>0</v>
      </c>
      <c r="C16" s="19" t="s">
        <v>26</v>
      </c>
      <c r="D16" s="19" t="n">
        <v>29.5859766626024</v>
      </c>
      <c r="E16" s="19" t="s">
        <v>26</v>
      </c>
      <c r="F16" s="20"/>
      <c r="G16" s="20"/>
      <c r="H16" s="18" t="n">
        <v>0</v>
      </c>
      <c r="I16" s="18" t="n">
        <v>16.1390985339157</v>
      </c>
    </row>
    <row r="17" customFormat="false" ht="12" hidden="false" customHeight="false" outlineLevel="0" collapsed="false">
      <c r="A17" s="0" t="n">
        <v>0.95</v>
      </c>
      <c r="B17" s="0" t="n">
        <v>1</v>
      </c>
      <c r="C17" s="19" t="n">
        <v>9.89345491951361</v>
      </c>
      <c r="D17" s="19" t="s">
        <v>26</v>
      </c>
      <c r="E17" s="19" t="n">
        <v>9.89345491951361</v>
      </c>
      <c r="F17" s="20" t="n">
        <v>0.346902225758536</v>
      </c>
      <c r="G17" s="20" t="s">
        <v>26</v>
      </c>
      <c r="H17" s="18" t="n">
        <v>5.5278837762796</v>
      </c>
      <c r="I17" s="18" t="n">
        <v>0</v>
      </c>
    </row>
    <row r="18" customFormat="false" ht="12" hidden="false" customHeight="false" outlineLevel="0" collapsed="false">
      <c r="A18" s="0" t="n">
        <v>0.95</v>
      </c>
      <c r="B18" s="0" t="n">
        <v>0.83</v>
      </c>
      <c r="C18" s="19" t="n">
        <v>9.29860624287498</v>
      </c>
      <c r="D18" s="19" t="n">
        <v>9.87884327408574</v>
      </c>
      <c r="E18" s="19" t="n">
        <v>9.39995431099312</v>
      </c>
      <c r="F18" s="20" t="n">
        <v>0.386170039670228</v>
      </c>
      <c r="G18" s="20" t="n">
        <v>0.347866785983916</v>
      </c>
      <c r="H18" s="18" t="n">
        <v>5.84495559776001</v>
      </c>
      <c r="I18" s="18" t="n">
        <v>5.77058170303519</v>
      </c>
    </row>
    <row r="19" customFormat="false" ht="12" hidden="false" customHeight="false" outlineLevel="0" collapsed="false">
      <c r="A19" s="0" t="n">
        <v>0.95</v>
      </c>
      <c r="B19" s="0" t="n">
        <v>0.67</v>
      </c>
      <c r="C19" s="19" t="n">
        <v>9.89278568806361</v>
      </c>
      <c r="D19" s="19" t="n">
        <v>10.5575919331633</v>
      </c>
      <c r="E19" s="19" t="n">
        <v>10.1171577957848</v>
      </c>
      <c r="F19" s="20" t="n">
        <v>0.346946403810996</v>
      </c>
      <c r="G19" s="20" t="n">
        <v>0.303060472909336</v>
      </c>
      <c r="H19" s="18" t="n">
        <v>6.04449888655839</v>
      </c>
      <c r="I19" s="18" t="n">
        <v>6.04682414761005</v>
      </c>
    </row>
    <row r="20" customFormat="false" ht="12" hidden="false" customHeight="false" outlineLevel="0" collapsed="false">
      <c r="A20" s="0" t="n">
        <v>0.95</v>
      </c>
      <c r="B20" s="0" t="n">
        <v>0.5</v>
      </c>
      <c r="C20" s="19" t="n">
        <v>9.14413277005846</v>
      </c>
      <c r="D20" s="19" t="n">
        <v>10.0358767969109</v>
      </c>
      <c r="E20" s="19" t="n">
        <v>9.58935083786499</v>
      </c>
      <c r="F20" s="20" t="n">
        <v>0.396367314747191</v>
      </c>
      <c r="G20" s="20" t="n">
        <v>0.33750051403213</v>
      </c>
      <c r="H20" s="18" t="n">
        <v>5.58716750005077</v>
      </c>
      <c r="I20" s="18" t="n">
        <v>5.69354268017207</v>
      </c>
    </row>
    <row r="21" customFormat="false" ht="12" hidden="false" customHeight="false" outlineLevel="0" collapsed="false">
      <c r="A21" s="0" t="n">
        <v>0.95</v>
      </c>
      <c r="B21" s="0" t="n">
        <v>0.33</v>
      </c>
      <c r="C21" s="19" t="n">
        <v>9.52204404734523</v>
      </c>
      <c r="D21" s="19" t="n">
        <v>10.8188886659546</v>
      </c>
      <c r="E21" s="19" t="n">
        <v>10.3949069319773</v>
      </c>
      <c r="F21" s="20" t="n">
        <v>0.371420214258571</v>
      </c>
      <c r="G21" s="20" t="n">
        <v>0.285811461720539</v>
      </c>
      <c r="H21" s="18" t="n">
        <v>5.82667189236519</v>
      </c>
      <c r="I21" s="18" t="n">
        <v>6.03629231822704</v>
      </c>
    </row>
    <row r="22" customFormat="false" ht="12" hidden="false" customHeight="false" outlineLevel="0" collapsed="false">
      <c r="A22" s="0" t="n">
        <v>0.95</v>
      </c>
      <c r="B22" s="0" t="n">
        <v>0.17</v>
      </c>
      <c r="C22" s="19" t="n">
        <v>10.114132084475</v>
      </c>
      <c r="D22" s="19" t="n">
        <v>12.4891106496573</v>
      </c>
      <c r="E22" s="19" t="n">
        <v>12.0802976726373</v>
      </c>
      <c r="F22" s="20" t="n">
        <v>0.332334638759382</v>
      </c>
      <c r="G22" s="20" t="n">
        <v>0.175554906359492</v>
      </c>
      <c r="H22" s="18" t="n">
        <v>6.31312799319256</v>
      </c>
      <c r="I22" s="18" t="n">
        <v>7.01164552560548</v>
      </c>
    </row>
    <row r="23" customFormat="false" ht="12" hidden="false" customHeight="false" outlineLevel="0" collapsed="false">
      <c r="A23" s="0" t="n">
        <v>0.95</v>
      </c>
      <c r="B23" s="0" t="n">
        <v>0</v>
      </c>
      <c r="C23" s="19" t="s">
        <v>26</v>
      </c>
      <c r="D23" s="19" t="n">
        <v>15.1485050320441</v>
      </c>
      <c r="E23" s="19" t="s">
        <v>26</v>
      </c>
      <c r="F23" s="20"/>
      <c r="G23" s="20"/>
      <c r="H23" s="18" t="n">
        <v>0</v>
      </c>
      <c r="I23" s="18" t="n">
        <v>9.80464886939862</v>
      </c>
    </row>
    <row r="24" customFormat="false" ht="12" hidden="false" customHeight="false" outlineLevel="0" collapsed="false">
      <c r="A24" s="0" t="n">
        <v>0.67</v>
      </c>
      <c r="B24" s="0" t="n">
        <v>1</v>
      </c>
      <c r="C24" s="19" t="n">
        <v>2.91157418126176</v>
      </c>
      <c r="D24" s="19" t="s">
        <v>26</v>
      </c>
      <c r="E24" s="19" t="n">
        <v>2.91157418126176</v>
      </c>
      <c r="F24" s="20" t="n">
        <v>0.259688679636183</v>
      </c>
      <c r="G24" s="0" t="s">
        <v>26</v>
      </c>
      <c r="H24" s="18" t="n">
        <v>1.27466110075123</v>
      </c>
      <c r="I24" s="18" t="n">
        <v>0</v>
      </c>
    </row>
    <row r="25" customFormat="false" ht="12" hidden="false" customHeight="false" outlineLevel="0" collapsed="false">
      <c r="A25" s="0" t="n">
        <v>0.67</v>
      </c>
      <c r="B25" s="0" t="n">
        <v>0.83</v>
      </c>
      <c r="C25" s="19" t="n">
        <v>2.90938963182498</v>
      </c>
      <c r="D25" s="19" t="n">
        <v>3.30237616038501</v>
      </c>
      <c r="E25" s="19" t="n">
        <v>2.97621044123114</v>
      </c>
      <c r="F25" s="20" t="n">
        <v>0.260244134032073</v>
      </c>
      <c r="G25" s="20" t="n">
        <v>0.160321426338124</v>
      </c>
      <c r="H25" s="18" t="n">
        <v>1.29715076882632</v>
      </c>
      <c r="I25" s="18" t="n">
        <v>1.47933508012115</v>
      </c>
    </row>
    <row r="26" customFormat="false" ht="12" hidden="false" customHeight="false" outlineLevel="0" collapsed="false">
      <c r="A26" s="0" t="n">
        <v>0.67</v>
      </c>
      <c r="B26" s="0" t="n">
        <v>0.67</v>
      </c>
      <c r="C26" s="19" t="n">
        <v>2.89099783204972</v>
      </c>
      <c r="D26" s="19" t="n">
        <v>3.35602932241467</v>
      </c>
      <c r="E26" s="19" t="n">
        <v>3.04836448838922</v>
      </c>
      <c r="F26" s="20" t="n">
        <v>0.264920524440779</v>
      </c>
      <c r="G26" s="20" t="n">
        <v>0.146679306731659</v>
      </c>
      <c r="H26" s="18" t="n">
        <v>1.32147668928259</v>
      </c>
      <c r="I26" s="18" t="n">
        <v>1.58652006404682</v>
      </c>
    </row>
    <row r="27" customFormat="false" ht="12" hidden="false" customHeight="false" outlineLevel="0" collapsed="false">
      <c r="A27" s="0" t="n">
        <v>0.67</v>
      </c>
      <c r="B27" s="0" t="n">
        <v>0.5</v>
      </c>
      <c r="C27" s="19" t="n">
        <v>2.86530603166421</v>
      </c>
      <c r="D27" s="19" t="n">
        <v>3.44789978356641</v>
      </c>
      <c r="E27" s="19" t="n">
        <v>3.1538841367731</v>
      </c>
      <c r="F27" s="20" t="n">
        <v>0.271453049281923</v>
      </c>
      <c r="G27" s="20" t="n">
        <v>0.12331986672996</v>
      </c>
      <c r="H27" s="18" t="n">
        <v>1.26824694701051</v>
      </c>
      <c r="I27" s="18" t="n">
        <v>1.66765441888565</v>
      </c>
    </row>
    <row r="28" customFormat="false" ht="12" hidden="false" customHeight="false" outlineLevel="0" collapsed="false">
      <c r="A28" s="0" t="n">
        <v>0.67</v>
      </c>
      <c r="B28" s="0" t="n">
        <v>0.33</v>
      </c>
      <c r="C28" s="19" t="n">
        <v>2.89690585880091</v>
      </c>
      <c r="D28" s="19" t="n">
        <v>3.59208867022742</v>
      </c>
      <c r="E28" s="19" t="n">
        <v>3.36186729584334</v>
      </c>
      <c r="F28" s="20" t="n">
        <v>0.263418320199147</v>
      </c>
      <c r="G28" s="20" t="n">
        <v>0.0866576838624283</v>
      </c>
      <c r="H28" s="18" t="n">
        <v>1.32606553450831</v>
      </c>
      <c r="I28" s="18" t="n">
        <v>1.84733222095509</v>
      </c>
    </row>
    <row r="29" customFormat="false" ht="12" hidden="false" customHeight="false" outlineLevel="0" collapsed="false">
      <c r="A29" s="0" t="n">
        <v>0.67</v>
      </c>
      <c r="B29" s="0" t="n">
        <v>0.17</v>
      </c>
      <c r="C29" s="19" t="n">
        <v>2.80979268584884</v>
      </c>
      <c r="D29" s="19" t="n">
        <v>3.64731388880715</v>
      </c>
      <c r="E29" s="19" t="n">
        <v>3.50454444107619</v>
      </c>
      <c r="F29" s="20" t="n">
        <v>0.285568148461906</v>
      </c>
      <c r="G29" s="20" t="n">
        <v>0.0726158453452235</v>
      </c>
      <c r="H29" s="18" t="n">
        <v>1.24313274331531</v>
      </c>
      <c r="I29" s="18" t="n">
        <v>1.96957385958113</v>
      </c>
    </row>
    <row r="30" customFormat="false" ht="12" hidden="false" customHeight="false" outlineLevel="0" collapsed="false">
      <c r="A30" s="0" t="n">
        <v>0.67</v>
      </c>
      <c r="B30" s="0" t="n">
        <v>0</v>
      </c>
      <c r="C30" s="19" t="s">
        <v>26</v>
      </c>
      <c r="D30" s="19" t="n">
        <v>3.9329051186613</v>
      </c>
      <c r="E30" s="19" t="s">
        <v>26</v>
      </c>
      <c r="F30" s="20" t="s">
        <v>26</v>
      </c>
      <c r="G30" s="20" t="s">
        <v>26</v>
      </c>
      <c r="H30" s="18" t="n">
        <v>0</v>
      </c>
      <c r="I30" s="18" t="n">
        <v>2.55924951639899</v>
      </c>
    </row>
    <row r="31" customFormat="false" ht="12" hidden="false" customHeight="false" outlineLevel="0" collapsed="false">
      <c r="A31" s="0" t="n">
        <v>0.5</v>
      </c>
      <c r="B31" s="0" t="n">
        <v>1</v>
      </c>
      <c r="C31" s="19" t="n">
        <v>2.42454307429236</v>
      </c>
      <c r="D31" s="19" t="s">
        <v>26</v>
      </c>
      <c r="E31" s="19" t="n">
        <v>2.42454307429236</v>
      </c>
      <c r="F31" s="20" t="n">
        <v>0.190709771980173</v>
      </c>
      <c r="G31" s="20" t="s">
        <v>26</v>
      </c>
      <c r="H31" s="18" t="n">
        <v>0.82390854958247</v>
      </c>
      <c r="I31" s="18" t="n">
        <v>0</v>
      </c>
    </row>
    <row r="32" customFormat="false" ht="12" hidden="false" customHeight="false" outlineLevel="0" collapsed="false">
      <c r="A32" s="0" t="n">
        <v>0.5</v>
      </c>
      <c r="B32" s="0" t="n">
        <v>0.83</v>
      </c>
      <c r="C32" s="19" t="n">
        <v>2.41613764012816</v>
      </c>
      <c r="D32" s="19" t="n">
        <v>2.75625633401563</v>
      </c>
      <c r="E32" s="19" t="n">
        <v>2.47324356883186</v>
      </c>
      <c r="F32" s="20" t="n">
        <v>0.193515428767006</v>
      </c>
      <c r="G32" s="20" t="n">
        <v>0.0799869300372658</v>
      </c>
      <c r="H32" s="18" t="n">
        <v>0.815756652852056</v>
      </c>
      <c r="I32" s="18" t="n">
        <v>1.07408979208102</v>
      </c>
    </row>
    <row r="33" customFormat="false" ht="12" hidden="false" customHeight="false" outlineLevel="0" collapsed="false">
      <c r="A33" s="0" t="n">
        <v>0.5</v>
      </c>
      <c r="B33" s="0" t="n">
        <v>0.67</v>
      </c>
      <c r="C33" s="19" t="n">
        <v>2.40804673533897</v>
      </c>
      <c r="D33" s="19" t="n">
        <v>2.76876244715173</v>
      </c>
      <c r="E33" s="19" t="n">
        <v>2.5271069679513</v>
      </c>
      <c r="F33" s="20" t="n">
        <v>0.196216098534912</v>
      </c>
      <c r="G33" s="20" t="n">
        <v>0.0758125042417953</v>
      </c>
      <c r="H33" s="18" t="n">
        <v>0.798790041754914</v>
      </c>
      <c r="I33" s="18" t="n">
        <v>1.06528334736993</v>
      </c>
    </row>
    <row r="34" customFormat="false" ht="12" hidden="false" customHeight="false" outlineLevel="0" collapsed="false">
      <c r="A34" s="0" t="n">
        <v>0.5</v>
      </c>
      <c r="B34" s="0" t="n">
        <v>0.5</v>
      </c>
      <c r="C34" s="19" t="n">
        <v>2.39089716452271</v>
      </c>
      <c r="D34" s="19" t="n">
        <v>2.79825600912218</v>
      </c>
      <c r="E34" s="19" t="n">
        <v>2.59201022610147</v>
      </c>
      <c r="F34" s="20" t="n">
        <v>0.201940467890727</v>
      </c>
      <c r="G34" s="20" t="n">
        <v>0.0659678239202666</v>
      </c>
      <c r="H34" s="18" t="n">
        <v>0.786553578623266</v>
      </c>
      <c r="I34" s="18" t="n">
        <v>1.11690519521044</v>
      </c>
    </row>
    <row r="35" customFormat="false" ht="12" hidden="false" customHeight="false" outlineLevel="0" collapsed="false">
      <c r="A35" s="0" t="n">
        <v>0.5</v>
      </c>
      <c r="B35" s="0" t="n">
        <v>0.33</v>
      </c>
      <c r="C35" s="19" t="n">
        <v>2.38214583922111</v>
      </c>
      <c r="D35" s="19" t="n">
        <v>2.86506513213098</v>
      </c>
      <c r="E35" s="19" t="n">
        <v>2.70610419821481</v>
      </c>
      <c r="F35" s="20" t="n">
        <v>0.204861579964958</v>
      </c>
      <c r="G35" s="20" t="n">
        <v>0.0436675517713068</v>
      </c>
      <c r="H35" s="18" t="n">
        <v>0.806743895547534</v>
      </c>
      <c r="I35" s="18" t="n">
        <v>1.23107266567843</v>
      </c>
    </row>
    <row r="36" customFormat="false" ht="12" hidden="false" customHeight="false" outlineLevel="0" collapsed="false">
      <c r="A36" s="0" t="n">
        <v>0.5</v>
      </c>
      <c r="B36" s="0" t="n">
        <v>0.17</v>
      </c>
      <c r="C36" s="19" t="n">
        <v>2.37151204565819</v>
      </c>
      <c r="D36" s="19" t="n">
        <v>2.87550347849513</v>
      </c>
      <c r="E36" s="19" t="n">
        <v>2.78947214090986</v>
      </c>
      <c r="F36" s="20" t="n">
        <v>0.208411042669291</v>
      </c>
      <c r="G36" s="20" t="n">
        <v>0.040183327548292</v>
      </c>
      <c r="H36" s="18" t="n">
        <v>0.754127052796358</v>
      </c>
      <c r="I36" s="18" t="n">
        <v>1.36924504594597</v>
      </c>
    </row>
    <row r="37" customFormat="false" ht="12" hidden="false" customHeight="false" outlineLevel="0" collapsed="false">
      <c r="A37" s="0" t="n">
        <v>0.5</v>
      </c>
      <c r="B37" s="0" t="n">
        <v>0</v>
      </c>
      <c r="C37" s="19" t="s">
        <v>26</v>
      </c>
      <c r="D37" s="19" t="n">
        <v>2.99588823681306</v>
      </c>
      <c r="E37" s="19" t="n">
        <v>2.99588823681306</v>
      </c>
      <c r="F37" s="20" t="s">
        <v>26</v>
      </c>
      <c r="G37" s="20"/>
      <c r="H37" s="18" t="n">
        <v>0</v>
      </c>
      <c r="I37" s="18" t="n">
        <v>1.52987909115405</v>
      </c>
    </row>
    <row r="38" customFormat="false" ht="12" hidden="false" customHeight="false" outlineLevel="0" collapsed="false">
      <c r="A38" s="0" t="n">
        <v>1.05</v>
      </c>
      <c r="B38" s="0" t="n">
        <v>1</v>
      </c>
      <c r="C38" s="19" t="n">
        <v>31.6393095754699</v>
      </c>
      <c r="D38" s="19" t="s">
        <v>26</v>
      </c>
      <c r="E38" s="19" t="n">
        <v>31.6393095754699</v>
      </c>
      <c r="F38" s="20" t="n">
        <v>0.155497664245993</v>
      </c>
      <c r="G38" s="20" t="s">
        <v>26</v>
      </c>
      <c r="H38" s="18" t="n">
        <v>16.6211896245193</v>
      </c>
      <c r="I38" s="18" t="n">
        <v>0</v>
      </c>
    </row>
    <row r="39" customFormat="false" ht="12" hidden="false" customHeight="false" outlineLevel="0" collapsed="false">
      <c r="A39" s="0" t="n">
        <v>1.05</v>
      </c>
      <c r="B39" s="0" t="n">
        <v>0.83</v>
      </c>
      <c r="C39" s="19" t="n">
        <v>37.5273606423865</v>
      </c>
      <c r="D39" s="19" t="n">
        <v>38.0376444313638</v>
      </c>
      <c r="E39" s="19" t="n">
        <v>37.6138367351585</v>
      </c>
      <c r="F39" s="20" t="n">
        <v>-0.00166356796070389</v>
      </c>
      <c r="G39" s="20" t="n">
        <v>-0.0152838352001255</v>
      </c>
      <c r="H39" s="18" t="n">
        <v>19.1298957663275</v>
      </c>
      <c r="I39" s="18" t="n">
        <v>19.7808787923129</v>
      </c>
    </row>
    <row r="40" customFormat="false" ht="12" hidden="false" customHeight="false" outlineLevel="0" collapsed="false">
      <c r="A40" s="0" t="n">
        <v>1.05</v>
      </c>
      <c r="B40" s="0" t="n">
        <v>0.67</v>
      </c>
      <c r="C40" s="19" t="n">
        <v>30.561006071379</v>
      </c>
      <c r="D40" s="19" t="n">
        <v>31.4161218092221</v>
      </c>
      <c r="E40" s="19" t="n">
        <v>30.8400018327792</v>
      </c>
      <c r="F40" s="20" t="n">
        <v>0.184279260307195</v>
      </c>
      <c r="G40" s="20" t="n">
        <v>0.161454892530586</v>
      </c>
      <c r="H40" s="18" t="n">
        <v>16.2783913120397</v>
      </c>
      <c r="I40" s="18" t="n">
        <v>16.4428939878386</v>
      </c>
    </row>
    <row r="41" customFormat="false" ht="12" hidden="false" customHeight="false" outlineLevel="0" collapsed="false">
      <c r="A41" s="0" t="n">
        <v>1.05</v>
      </c>
      <c r="B41" s="0" t="n">
        <v>0.5</v>
      </c>
      <c r="C41" s="19" t="n">
        <v>29.0524700388846</v>
      </c>
      <c r="D41" s="19" t="n">
        <v>30.6005816988028</v>
      </c>
      <c r="E41" s="19" t="n">
        <v>29.8324602968734</v>
      </c>
      <c r="F41" s="20" t="n">
        <v>0.224544431074331</v>
      </c>
      <c r="G41" s="20" t="n">
        <v>0.183222925316109</v>
      </c>
      <c r="H41" s="18" t="n">
        <v>16.8777929483141</v>
      </c>
      <c r="I41" s="18" t="n">
        <v>16.9683977174038</v>
      </c>
    </row>
    <row r="42" customFormat="false" ht="12" hidden="false" customHeight="false" outlineLevel="0" collapsed="false">
      <c r="A42" s="0" t="n">
        <v>1.05</v>
      </c>
      <c r="B42" s="0" t="n">
        <v>0.33</v>
      </c>
      <c r="C42" s="19" t="n">
        <v>32.9994293018313</v>
      </c>
      <c r="D42" s="19" t="n">
        <v>34.4936456434312</v>
      </c>
      <c r="E42" s="19" t="n">
        <v>33.9972669747517</v>
      </c>
      <c r="F42" s="20" t="n">
        <v>0.119193955308302</v>
      </c>
      <c r="G42" s="20" t="n">
        <v>0.0793109993419923</v>
      </c>
      <c r="H42" s="18" t="n">
        <v>16.1304485206406</v>
      </c>
      <c r="I42" s="18" t="n">
        <v>16.5484215250669</v>
      </c>
    </row>
    <row r="43" customFormat="false" ht="12" hidden="false" customHeight="false" outlineLevel="0" collapsed="false">
      <c r="A43" s="0" t="n">
        <v>1.05</v>
      </c>
      <c r="B43" s="0" t="n">
        <v>0.17</v>
      </c>
      <c r="C43" s="19" t="n">
        <v>30.8748592255711</v>
      </c>
      <c r="D43" s="19" t="n">
        <v>33.8928361102844</v>
      </c>
      <c r="E43" s="19" t="n">
        <v>33.3874255813244</v>
      </c>
      <c r="F43" s="20" t="n">
        <v>0.175902031936684</v>
      </c>
      <c r="G43" s="20" t="n">
        <v>0.0953475393579978</v>
      </c>
      <c r="H43" s="18" t="n">
        <v>16.6525513851408</v>
      </c>
      <c r="I43" s="18" t="n">
        <v>18.4166513211587</v>
      </c>
    </row>
    <row r="44" customFormat="false" ht="12" hidden="false" customHeight="false" outlineLevel="0" collapsed="false">
      <c r="A44" s="0" t="n">
        <v>1.05</v>
      </c>
      <c r="B44" s="0" t="n">
        <v>0</v>
      </c>
      <c r="C44" s="19" t="s">
        <v>26</v>
      </c>
      <c r="D44" s="19" t="n">
        <v>37.4650350104964</v>
      </c>
      <c r="E44" s="19" t="n">
        <v>37.4650350104964</v>
      </c>
      <c r="F44" s="20" t="s">
        <v>26</v>
      </c>
      <c r="G44" s="20"/>
      <c r="H44" s="18" t="n">
        <v>0</v>
      </c>
      <c r="I44" s="18" t="n">
        <v>18.1982907851569</v>
      </c>
    </row>
    <row r="45" customFormat="false" ht="12" hidden="false" customHeight="false" outlineLevel="0" collapsed="false">
      <c r="A45" s="0" t="n">
        <v>1</v>
      </c>
      <c r="B45" s="0" t="n">
        <v>1</v>
      </c>
      <c r="C45" s="19" t="n">
        <v>23.2288327535796</v>
      </c>
      <c r="D45" s="19" t="s">
        <v>26</v>
      </c>
      <c r="E45" s="19" t="n">
        <v>23.2288327535796</v>
      </c>
      <c r="F45" s="20" t="n">
        <v>0.0448576734817094</v>
      </c>
      <c r="G45" s="20"/>
      <c r="H45" s="18" t="n">
        <v>11.7212943396345</v>
      </c>
      <c r="I45" s="18" t="n">
        <v>0</v>
      </c>
    </row>
    <row r="46" customFormat="false" ht="12" hidden="false" customHeight="false" outlineLevel="0" collapsed="false">
      <c r="A46" s="0" t="n">
        <v>1</v>
      </c>
      <c r="B46" s="0" t="n">
        <v>0.83</v>
      </c>
      <c r="C46" s="19" t="n">
        <v>18.3653339158044</v>
      </c>
      <c r="D46" s="19" t="n">
        <v>19.1760413159909</v>
      </c>
      <c r="E46" s="19" t="n">
        <v>18.5055592724567</v>
      </c>
      <c r="F46" s="20" t="n">
        <v>0.244839034758494</v>
      </c>
      <c r="G46" s="20" t="n">
        <v>0.211503698430828</v>
      </c>
      <c r="H46" s="18" t="n">
        <v>9.26071791715706</v>
      </c>
      <c r="I46" s="18" t="n">
        <v>9.43818257657365</v>
      </c>
    </row>
    <row r="47" customFormat="false" ht="12" hidden="false" customHeight="false" outlineLevel="0" collapsed="false">
      <c r="A47" s="0" t="n">
        <v>1</v>
      </c>
      <c r="B47" s="0" t="n">
        <v>0.67</v>
      </c>
      <c r="C47" s="19" t="n">
        <v>16.2270668428449</v>
      </c>
      <c r="D47" s="19" t="n">
        <v>17.2690202088566</v>
      </c>
      <c r="E47" s="19" t="n">
        <v>16.5716755527638</v>
      </c>
      <c r="F47" s="20" t="n">
        <v>0.332762065952101</v>
      </c>
      <c r="G47" s="20" t="n">
        <v>0.289918167048802</v>
      </c>
      <c r="H47" s="18" t="n">
        <v>8.86990791471115</v>
      </c>
      <c r="I47" s="18" t="n">
        <v>8.88509856106854</v>
      </c>
    </row>
    <row r="48" customFormat="false" ht="12" hidden="false" customHeight="false" outlineLevel="0" collapsed="false">
      <c r="A48" s="0" t="n">
        <v>1</v>
      </c>
      <c r="B48" s="0" t="n">
        <v>0.5</v>
      </c>
      <c r="C48" s="19" t="n">
        <v>19.4112884681381</v>
      </c>
      <c r="D48" s="19" t="n">
        <v>20.38275575217</v>
      </c>
      <c r="E48" s="19" t="n">
        <v>19.8956620559564</v>
      </c>
      <c r="F48" s="20" t="n">
        <v>0.201830611772004</v>
      </c>
      <c r="G48" s="20" t="n">
        <v>0.161885017791885</v>
      </c>
      <c r="H48" s="18" t="n">
        <v>11.2453812942807</v>
      </c>
      <c r="I48" s="18" t="n">
        <v>11.3893762578369</v>
      </c>
    </row>
    <row r="49" customFormat="false" ht="12" hidden="false" customHeight="false" outlineLevel="0" collapsed="false">
      <c r="A49" s="0" t="n">
        <v>1</v>
      </c>
      <c r="B49" s="0" t="n">
        <v>0.33</v>
      </c>
      <c r="C49" s="19" t="n">
        <v>21.4506546352596</v>
      </c>
      <c r="D49" s="19" t="n">
        <v>22.9503448995665</v>
      </c>
      <c r="E49" s="19" t="n">
        <v>22.4563969161793</v>
      </c>
      <c r="F49" s="20" t="n">
        <v>0.1179742696927</v>
      </c>
      <c r="G49" s="20" t="n">
        <v>0.0563087670261399</v>
      </c>
      <c r="H49" s="18" t="n">
        <v>11.8133376112714</v>
      </c>
      <c r="I49" s="18" t="n">
        <v>12.2650358349377</v>
      </c>
    </row>
    <row r="50" customFormat="false" ht="12" hidden="false" customHeight="false" outlineLevel="0" collapsed="false">
      <c r="A50" s="0" t="n">
        <v>1</v>
      </c>
      <c r="B50" s="0" t="n">
        <v>0.17</v>
      </c>
      <c r="C50" s="19" t="n">
        <v>16.7769525997346</v>
      </c>
      <c r="D50" s="19" t="n">
        <v>19.2924550113373</v>
      </c>
      <c r="E50" s="19" t="n">
        <v>18.8649034514452</v>
      </c>
      <c r="F50" s="20" t="n">
        <v>0.310151409328644</v>
      </c>
      <c r="G50" s="20" t="n">
        <v>0.206716903976223</v>
      </c>
      <c r="H50" s="18" t="n">
        <v>9.05431272185979</v>
      </c>
      <c r="I50" s="18" t="n">
        <v>9.84800007360268</v>
      </c>
    </row>
    <row r="51" customFormat="false" ht="12" hidden="false" customHeight="false" outlineLevel="0" collapsed="false">
      <c r="A51" s="0" t="n">
        <v>1</v>
      </c>
      <c r="B51" s="0" t="n">
        <v>0</v>
      </c>
      <c r="C51" s="19" t="s">
        <v>26</v>
      </c>
      <c r="D51" s="19" t="n">
        <v>24.3197606353118</v>
      </c>
      <c r="E51" s="19" t="s">
        <v>26</v>
      </c>
      <c r="F51" s="20"/>
      <c r="G51" s="20"/>
      <c r="H51" s="18" t="n">
        <v>0</v>
      </c>
      <c r="I51" s="18" t="n">
        <v>13.536657422744</v>
      </c>
    </row>
    <row r="52" customFormat="false" ht="12" hidden="false" customHeight="false" outlineLevel="0" collapsed="false">
      <c r="A52" s="0" t="n">
        <v>0.95</v>
      </c>
      <c r="B52" s="0" t="n">
        <v>1</v>
      </c>
      <c r="C52" s="19" t="n">
        <v>9.47908996039307</v>
      </c>
      <c r="D52" s="19" t="s">
        <v>26</v>
      </c>
      <c r="E52" s="19" t="n">
        <v>9.47908996039307</v>
      </c>
      <c r="F52" s="20" t="n">
        <v>0.408507265413491</v>
      </c>
      <c r="G52" s="20"/>
      <c r="H52" s="18" t="n">
        <v>5.90582101281971</v>
      </c>
      <c r="I52" s="18" t="n">
        <v>0</v>
      </c>
    </row>
    <row r="53" customFormat="false" ht="12" hidden="false" customHeight="false" outlineLevel="0" collapsed="false">
      <c r="A53" s="0" t="n">
        <v>0.95</v>
      </c>
      <c r="B53" s="0" t="n">
        <v>0.83</v>
      </c>
      <c r="C53" s="19" t="n">
        <v>9.34402666629349</v>
      </c>
      <c r="D53" s="19" t="n">
        <v>10.1191520070665</v>
      </c>
      <c r="E53" s="19" t="n">
        <v>9.47290417295268</v>
      </c>
      <c r="F53" s="20" t="n">
        <v>0.416935179643974</v>
      </c>
      <c r="G53" s="20" t="n">
        <v>0.368567561088099</v>
      </c>
      <c r="H53" s="18" t="n">
        <v>5.46219422879701</v>
      </c>
      <c r="I53" s="18" t="n">
        <v>5.6079164974355</v>
      </c>
    </row>
    <row r="54" customFormat="false" ht="12" hidden="false" customHeight="false" outlineLevel="0" collapsed="false">
      <c r="A54" s="0" t="n">
        <v>0.95</v>
      </c>
      <c r="B54" s="0" t="n">
        <v>0.67</v>
      </c>
      <c r="C54" s="19" t="n">
        <v>9.8245268967865</v>
      </c>
      <c r="D54" s="19" t="n">
        <v>10.6638001637247</v>
      </c>
      <c r="E54" s="19" t="n">
        <v>10.0984656911151</v>
      </c>
      <c r="F54" s="20" t="n">
        <v>0.38695209092013</v>
      </c>
      <c r="G54" s="20" t="n">
        <v>0.334581658547312</v>
      </c>
      <c r="H54" s="18" t="n">
        <v>6.27376023174664</v>
      </c>
      <c r="I54" s="18" t="n">
        <v>6.34544758188498</v>
      </c>
    </row>
    <row r="55" customFormat="false" ht="12" hidden="false" customHeight="false" outlineLevel="0" collapsed="false">
      <c r="A55" s="0" t="n">
        <v>0.95</v>
      </c>
      <c r="B55" s="0" t="n">
        <v>0.5</v>
      </c>
      <c r="C55" s="19" t="n">
        <v>9.11218140376343</v>
      </c>
      <c r="D55" s="19" t="n">
        <v>10.1009042837812</v>
      </c>
      <c r="E55" s="19" t="n">
        <v>9.61092618187372</v>
      </c>
      <c r="F55" s="20" t="n">
        <v>0.4314022633944</v>
      </c>
      <c r="G55" s="20" t="n">
        <v>0.369706214249013</v>
      </c>
      <c r="H55" s="18" t="n">
        <v>5.76501084148115</v>
      </c>
      <c r="I55" s="18" t="n">
        <v>6.02712836727989</v>
      </c>
    </row>
    <row r="56" customFormat="false" ht="12" hidden="false" customHeight="false" outlineLevel="0" collapsed="false">
      <c r="A56" s="0" t="n">
        <v>0.95</v>
      </c>
      <c r="B56" s="0" t="n">
        <v>0.33</v>
      </c>
      <c r="C56" s="19" t="n">
        <v>9.81345142751653</v>
      </c>
      <c r="D56" s="19" t="n">
        <v>11.0764520082651</v>
      </c>
      <c r="E56" s="19" t="n">
        <v>10.6497262120495</v>
      </c>
      <c r="F56" s="20" t="n">
        <v>0.387643197306154</v>
      </c>
      <c r="G56" s="20" t="n">
        <v>0.308832291363414</v>
      </c>
      <c r="H56" s="18" t="n">
        <v>5.91922618690678</v>
      </c>
      <c r="I56" s="18" t="n">
        <v>6.52167547044972</v>
      </c>
    </row>
    <row r="57" customFormat="false" ht="12" hidden="false" customHeight="false" outlineLevel="0" collapsed="false">
      <c r="A57" s="0" t="n">
        <v>0.95</v>
      </c>
      <c r="B57" s="0" t="n">
        <v>0.17</v>
      </c>
      <c r="C57" s="19" t="n">
        <v>8.96606497694596</v>
      </c>
      <c r="D57" s="19" t="n">
        <v>11.1667328516702</v>
      </c>
      <c r="E57" s="19" t="n">
        <v>10.7935729357128</v>
      </c>
      <c r="F57" s="20" t="n">
        <v>0.440519890215898</v>
      </c>
      <c r="G57" s="20" t="n">
        <v>0.303198790344902</v>
      </c>
      <c r="H57" s="18" t="n">
        <v>5.63944804934501</v>
      </c>
      <c r="I57" s="18" t="n">
        <v>6.78443626687792</v>
      </c>
    </row>
    <row r="58" customFormat="false" ht="12" hidden="false" customHeight="false" outlineLevel="0" collapsed="false">
      <c r="A58" s="0" t="n">
        <v>0.95</v>
      </c>
      <c r="B58" s="0" t="n">
        <v>0</v>
      </c>
      <c r="C58" s="19" t="s">
        <v>26</v>
      </c>
      <c r="D58" s="19" t="n">
        <v>16.0257081889933</v>
      </c>
      <c r="E58" s="19" t="s">
        <v>26</v>
      </c>
      <c r="F58" s="20"/>
      <c r="G58" s="20"/>
      <c r="H58" s="18" t="n">
        <v>0</v>
      </c>
      <c r="I58" s="18" t="n">
        <v>9.75978908693903</v>
      </c>
    </row>
    <row r="59" customFormat="false" ht="12" hidden="false" customHeight="false" outlineLevel="0" collapsed="false">
      <c r="A59" s="0" t="n">
        <v>0.67</v>
      </c>
      <c r="B59" s="0" t="n">
        <v>1</v>
      </c>
      <c r="C59" s="19" t="n">
        <v>2.89700036111537</v>
      </c>
      <c r="D59" s="19" t="s">
        <v>26</v>
      </c>
      <c r="E59" s="19" t="n">
        <v>2.89700036111537</v>
      </c>
      <c r="F59" s="20" t="n">
        <v>0.271209956794146</v>
      </c>
      <c r="H59" s="18" t="n">
        <v>1.27281847296811</v>
      </c>
      <c r="I59" s="18" t="n">
        <v>0</v>
      </c>
    </row>
    <row r="60" customFormat="false" ht="12" hidden="false" customHeight="false" outlineLevel="0" collapsed="false">
      <c r="A60" s="0" t="n">
        <v>0.67</v>
      </c>
      <c r="B60" s="0" t="n">
        <v>0.83</v>
      </c>
      <c r="C60" s="19" t="n">
        <v>2.94591462030045</v>
      </c>
      <c r="D60" s="19" t="n">
        <v>3.31669476150842</v>
      </c>
      <c r="E60" s="19" t="n">
        <v>3.00789670057238</v>
      </c>
      <c r="F60" s="20" t="n">
        <v>0.258904737387424</v>
      </c>
      <c r="G60" s="20" t="n">
        <v>0.165628644378312</v>
      </c>
      <c r="H60" s="18" t="n">
        <v>1.36488845531353</v>
      </c>
      <c r="I60" s="18" t="n">
        <v>1.49686091486268</v>
      </c>
    </row>
    <row r="61" customFormat="false" ht="12" hidden="false" customHeight="false" outlineLevel="0" collapsed="false">
      <c r="A61" s="0" t="n">
        <v>0.67</v>
      </c>
      <c r="B61" s="0" t="n">
        <v>0.67</v>
      </c>
      <c r="C61" s="19" t="n">
        <v>2.8808906519734</v>
      </c>
      <c r="D61" s="19" t="n">
        <v>3.33307762511105</v>
      </c>
      <c r="E61" s="19" t="n">
        <v>3.03032337369629</v>
      </c>
      <c r="F61" s="20" t="n">
        <v>0.275262629958845</v>
      </c>
      <c r="G61" s="20" t="n">
        <v>0.161507254532092</v>
      </c>
      <c r="H61" s="18" t="n">
        <v>1.31312279450074</v>
      </c>
      <c r="I61" s="18" t="n">
        <v>1.5521859514201</v>
      </c>
    </row>
    <row r="62" customFormat="false" ht="12" hidden="false" customHeight="false" outlineLevel="0" collapsed="false">
      <c r="A62" s="0" t="n">
        <v>0.67</v>
      </c>
      <c r="B62" s="0" t="n">
        <v>0.5</v>
      </c>
      <c r="C62" s="19" t="n">
        <v>2.90168228486903</v>
      </c>
      <c r="D62" s="19" t="n">
        <v>3.46515305766875</v>
      </c>
      <c r="E62" s="19" t="n">
        <v>3.18477000112361</v>
      </c>
      <c r="F62" s="20" t="n">
        <v>0.270032138710134</v>
      </c>
      <c r="G62" s="20" t="n">
        <v>0.128281418079971</v>
      </c>
      <c r="H62" s="18" t="n">
        <v>1.32313714699028</v>
      </c>
      <c r="I62" s="18" t="n">
        <v>1.68803687818506</v>
      </c>
    </row>
    <row r="63" customFormat="false" ht="12" hidden="false" customHeight="false" outlineLevel="0" collapsed="false">
      <c r="A63" s="0" t="n">
        <v>0.67</v>
      </c>
      <c r="B63" s="0" t="n">
        <v>0.33</v>
      </c>
      <c r="C63" s="19" t="n">
        <v>2.85283391938433</v>
      </c>
      <c r="D63" s="19" t="n">
        <v>3.5364187604708</v>
      </c>
      <c r="E63" s="19" t="n">
        <v>3.315073988927</v>
      </c>
      <c r="F63" s="20" t="n">
        <v>0.282320781428294</v>
      </c>
      <c r="G63" s="20" t="n">
        <v>0.110353310330544</v>
      </c>
      <c r="H63" s="18" t="n">
        <v>1.28420205904797</v>
      </c>
      <c r="I63" s="18" t="n">
        <v>1.79827221494155</v>
      </c>
    </row>
    <row r="64" customFormat="false" ht="12" hidden="false" customHeight="false" outlineLevel="0" collapsed="false">
      <c r="A64" s="0" t="n">
        <v>0.67</v>
      </c>
      <c r="B64" s="0" t="n">
        <v>0.17</v>
      </c>
      <c r="C64" s="19" t="n">
        <v>2.82748388196051</v>
      </c>
      <c r="D64" s="19" t="n">
        <v>3.73023616269822</v>
      </c>
      <c r="E64" s="19" t="n">
        <v>3.57712937588511</v>
      </c>
      <c r="F64" s="20" t="n">
        <v>0.288698017384958</v>
      </c>
      <c r="G64" s="20" t="n">
        <v>0.0615952242635533</v>
      </c>
      <c r="H64" s="18" t="n">
        <v>1.30448398338513</v>
      </c>
      <c r="I64" s="18" t="n">
        <v>2.19257500357039</v>
      </c>
    </row>
    <row r="65" customFormat="false" ht="12" hidden="false" customHeight="false" outlineLevel="0" collapsed="false">
      <c r="A65" s="0" t="n">
        <v>0.67</v>
      </c>
      <c r="B65" s="0" t="n">
        <v>0</v>
      </c>
      <c r="C65" s="19" t="s">
        <v>26</v>
      </c>
      <c r="D65" s="19" t="n">
        <v>3.97508224504802</v>
      </c>
      <c r="E65" s="19" t="s">
        <v>26</v>
      </c>
      <c r="F65" s="20" t="s">
        <v>26</v>
      </c>
      <c r="G65" s="20" t="s">
        <v>26</v>
      </c>
      <c r="H65" s="18" t="n">
        <v>0</v>
      </c>
      <c r="I65" s="18" t="n">
        <v>2.46616024372496</v>
      </c>
    </row>
    <row r="66" customFormat="false" ht="12" hidden="false" customHeight="false" outlineLevel="0" collapsed="false">
      <c r="A66" s="0" t="n">
        <v>0.5</v>
      </c>
      <c r="B66" s="0" t="n">
        <v>1</v>
      </c>
      <c r="C66" s="19" t="n">
        <v>2.4169524290633</v>
      </c>
      <c r="D66" s="19" t="s">
        <v>26</v>
      </c>
      <c r="E66" s="19" t="n">
        <v>2.4169524290633</v>
      </c>
      <c r="F66" s="20" t="n">
        <v>0.194350167140678</v>
      </c>
      <c r="G66" s="20" t="s">
        <v>26</v>
      </c>
      <c r="H66" s="18" t="n">
        <v>0.803892403558065</v>
      </c>
      <c r="I66" s="18" t="n">
        <v>0</v>
      </c>
    </row>
    <row r="67" customFormat="false" ht="12" hidden="false" customHeight="false" outlineLevel="0" collapsed="false">
      <c r="A67" s="0" t="n">
        <v>0.5</v>
      </c>
      <c r="B67" s="0" t="n">
        <v>0.83</v>
      </c>
      <c r="C67" s="19" t="n">
        <v>2.39367247800368</v>
      </c>
      <c r="D67" s="19" t="n">
        <v>2.73210135255808</v>
      </c>
      <c r="E67" s="19" t="n">
        <v>2.45146484881509</v>
      </c>
      <c r="F67" s="20" t="n">
        <v>0.202110141418461</v>
      </c>
      <c r="G67" s="20" t="n">
        <v>0.0893006533454217</v>
      </c>
      <c r="H67" s="18" t="n">
        <v>0.767925395517542</v>
      </c>
      <c r="I67" s="18" t="n">
        <v>0.986597028448406</v>
      </c>
    </row>
    <row r="68" customFormat="false" ht="12" hidden="false" customHeight="false" outlineLevel="0" collapsed="false">
      <c r="A68" s="0" t="n">
        <v>0.5</v>
      </c>
      <c r="B68" s="0" t="n">
        <v>0.67</v>
      </c>
      <c r="C68" s="19" t="n">
        <v>2.4131332799054</v>
      </c>
      <c r="D68" s="19" t="n">
        <v>2.7721663245215</v>
      </c>
      <c r="E68" s="19" t="n">
        <v>2.53071660201718</v>
      </c>
      <c r="F68" s="20" t="n">
        <v>0.195623215316442</v>
      </c>
      <c r="G68" s="20" t="n">
        <v>0.0759456788834906</v>
      </c>
      <c r="H68" s="18" t="n">
        <v>0.799199962991498</v>
      </c>
      <c r="I68" s="18" t="n">
        <v>1.10258874536474</v>
      </c>
    </row>
    <row r="69" customFormat="false" ht="12" hidden="false" customHeight="false" outlineLevel="0" collapsed="false">
      <c r="A69" s="0" t="n">
        <v>0.5</v>
      </c>
      <c r="B69" s="0" t="n">
        <v>0.5</v>
      </c>
      <c r="C69" s="19" t="n">
        <v>2.39379494921937</v>
      </c>
      <c r="D69" s="19" t="n">
        <v>2.79025185155401</v>
      </c>
      <c r="E69" s="19" t="n">
        <v>2.59199696992654</v>
      </c>
      <c r="F69" s="20" t="n">
        <v>0.202069317729395</v>
      </c>
      <c r="G69" s="20" t="n">
        <v>0.0699171771820482</v>
      </c>
      <c r="H69" s="18" t="n">
        <v>0.784111254515147</v>
      </c>
      <c r="I69" s="18" t="n">
        <v>1.13745302025892</v>
      </c>
    </row>
    <row r="70" customFormat="false" ht="12" hidden="false" customHeight="false" outlineLevel="0" collapsed="false">
      <c r="A70" s="0" t="n">
        <v>0.5</v>
      </c>
      <c r="B70" s="0" t="n">
        <v>0.33</v>
      </c>
      <c r="C70" s="19" t="n">
        <v>2.39458414823629</v>
      </c>
      <c r="D70" s="19" t="n">
        <v>2.86867510451438</v>
      </c>
      <c r="E70" s="19" t="n">
        <v>2.71113467974317</v>
      </c>
      <c r="F70" s="20" t="n">
        <v>0.201806251709382</v>
      </c>
      <c r="G70" s="20" t="n">
        <v>0.0437761245572393</v>
      </c>
      <c r="H70" s="18" t="n">
        <v>0.780394446913849</v>
      </c>
      <c r="I70" s="18" t="n">
        <v>1.28211182459417</v>
      </c>
    </row>
    <row r="71" customFormat="false" ht="12" hidden="false" customHeight="false" outlineLevel="0" collapsed="false">
      <c r="A71" s="0" t="n">
        <v>0.5</v>
      </c>
      <c r="B71" s="0" t="n">
        <v>0.17</v>
      </c>
      <c r="C71" s="19" t="n">
        <v>2.3578817607256</v>
      </c>
      <c r="D71" s="19" t="n">
        <v>2.91668021693998</v>
      </c>
      <c r="E71" s="19" t="n">
        <v>2.82032473647341</v>
      </c>
      <c r="F71" s="20" t="n">
        <v>0.214040366046085</v>
      </c>
      <c r="G71" s="20" t="n">
        <v>0.027774439816978</v>
      </c>
      <c r="H71" s="18" t="n">
        <v>0.76337021506796</v>
      </c>
      <c r="I71" s="18" t="n">
        <v>1.41885396170055</v>
      </c>
    </row>
    <row r="72" customFormat="false" ht="12" hidden="false" customHeight="false" outlineLevel="0" collapsed="false">
      <c r="A72" s="0" t="n">
        <v>0.5</v>
      </c>
      <c r="B72" s="0" t="n">
        <v>0</v>
      </c>
      <c r="C72" s="19" t="s">
        <v>26</v>
      </c>
      <c r="D72" s="19" t="n">
        <v>3.00000363741817</v>
      </c>
      <c r="E72" s="19" t="n">
        <v>3.00000363741817</v>
      </c>
      <c r="F72" s="20" t="s">
        <v>26</v>
      </c>
      <c r="G72" s="20"/>
      <c r="H72" s="18" t="n">
        <v>0</v>
      </c>
      <c r="I72" s="18" t="n">
        <v>1.48537206786739</v>
      </c>
    </row>
    <row r="73" customFormat="false" ht="12" hidden="false" customHeight="false" outlineLevel="0" collapsed="false">
      <c r="A73" s="0" t="n">
        <v>0.95</v>
      </c>
      <c r="B73" s="0" t="n">
        <v>1</v>
      </c>
      <c r="C73" s="19" t="n">
        <v>10.4553268108226</v>
      </c>
      <c r="D73" s="19" t="s">
        <v>26</v>
      </c>
      <c r="E73" s="19" t="n">
        <v>10.4553268108226</v>
      </c>
      <c r="F73" s="20" t="n">
        <v>0.23247378631406</v>
      </c>
      <c r="G73" s="20" t="s">
        <v>26</v>
      </c>
      <c r="H73" s="18" t="n">
        <v>6.44253558909984</v>
      </c>
      <c r="I73" s="18" t="n">
        <v>0</v>
      </c>
    </row>
    <row r="74" customFormat="false" ht="12" hidden="false" customHeight="false" outlineLevel="0" collapsed="false">
      <c r="A74" s="0" t="n">
        <v>0.95</v>
      </c>
      <c r="B74" s="0" t="n">
        <v>0.83</v>
      </c>
      <c r="C74" s="19" t="n">
        <v>11.3137945883053</v>
      </c>
      <c r="D74" s="19" t="n">
        <v>11.9879609297696</v>
      </c>
      <c r="E74" s="19" t="n">
        <v>11.4252342845493</v>
      </c>
      <c r="F74" s="20" t="n">
        <v>0.169453611551028</v>
      </c>
      <c r="G74" s="20" t="n">
        <v>0.119963017060664</v>
      </c>
      <c r="H74" s="18" t="n">
        <v>6.73220991834802</v>
      </c>
      <c r="I74" s="18" t="n">
        <v>6.67450663656052</v>
      </c>
    </row>
    <row r="75" customFormat="false" ht="12" hidden="false" customHeight="false" outlineLevel="0" collapsed="false">
      <c r="A75" s="0" t="n">
        <v>0.95</v>
      </c>
      <c r="B75" s="0" t="n">
        <v>0.67</v>
      </c>
      <c r="C75" s="19" t="n">
        <v>9.84029676569982</v>
      </c>
      <c r="D75" s="19" t="n">
        <v>10.4905233979801</v>
      </c>
      <c r="E75" s="19" t="n">
        <v>10.0555868036478</v>
      </c>
      <c r="F75" s="20" t="n">
        <v>0.277623181486245</v>
      </c>
      <c r="G75" s="20" t="n">
        <v>0.229890002586926</v>
      </c>
      <c r="H75" s="18" t="n">
        <v>6.05569178102137</v>
      </c>
      <c r="I75" s="18" t="n">
        <v>6.26378871601914</v>
      </c>
    </row>
    <row r="76" customFormat="false" ht="12" hidden="false" customHeight="false" outlineLevel="0" collapsed="false">
      <c r="A76" s="0" t="n">
        <v>0.95</v>
      </c>
      <c r="B76" s="0" t="n">
        <v>0.5</v>
      </c>
      <c r="C76" s="19" t="n">
        <v>8.90827999892926</v>
      </c>
      <c r="D76" s="19" t="n">
        <v>9.75690232860668</v>
      </c>
      <c r="E76" s="19" t="n">
        <v>9.33318519939875</v>
      </c>
      <c r="F76" s="20" t="n">
        <v>0.34604259228369</v>
      </c>
      <c r="G76" s="20" t="n">
        <v>0.283745172477316</v>
      </c>
      <c r="H76" s="18" t="n">
        <v>6.00037974994808</v>
      </c>
      <c r="I76" s="18" t="n">
        <v>6.13407187706444</v>
      </c>
    </row>
    <row r="77" customFormat="false" ht="12" hidden="false" customHeight="false" outlineLevel="0" collapsed="false">
      <c r="A77" s="0" t="n">
        <v>0.95</v>
      </c>
      <c r="B77" s="0" t="n">
        <v>0.33</v>
      </c>
      <c r="C77" s="19" t="n">
        <v>9.10459715828644</v>
      </c>
      <c r="D77" s="19" t="n">
        <v>10.4031367310602</v>
      </c>
      <c r="E77" s="19" t="n">
        <v>9.9773888898001</v>
      </c>
      <c r="F77" s="20" t="n">
        <v>0.331630936987844</v>
      </c>
      <c r="G77" s="20" t="n">
        <v>0.236305063426368</v>
      </c>
      <c r="H77" s="18" t="n">
        <v>5.8693534376554</v>
      </c>
      <c r="I77" s="18" t="n">
        <v>6.2112575563399</v>
      </c>
    </row>
    <row r="78" customFormat="false" ht="12" hidden="false" customHeight="false" outlineLevel="0" collapsed="false">
      <c r="A78" s="0" t="n">
        <v>0.95</v>
      </c>
      <c r="B78" s="0" t="n">
        <v>0.17</v>
      </c>
      <c r="C78" s="19" t="n">
        <v>9.4819210844518</v>
      </c>
      <c r="D78" s="19" t="n">
        <v>11.58826012401</v>
      </c>
      <c r="E78" s="19" t="n">
        <v>11.229059106464</v>
      </c>
      <c r="F78" s="20" t="n">
        <v>0.303931563297962</v>
      </c>
      <c r="G78" s="20" t="n">
        <v>0.14930507892088</v>
      </c>
      <c r="H78" s="18" t="n">
        <v>6.01591896246897</v>
      </c>
      <c r="I78" s="18" t="n">
        <v>6.91506853426749</v>
      </c>
    </row>
    <row r="79" customFormat="false" ht="12" hidden="false" customHeight="false" outlineLevel="0" collapsed="false">
      <c r="A79" s="0" t="n">
        <v>0.95</v>
      </c>
      <c r="B79" s="0" t="n">
        <v>0</v>
      </c>
      <c r="C79" s="19" t="s">
        <v>26</v>
      </c>
      <c r="D79" s="19" t="n">
        <v>13.6221103910084</v>
      </c>
      <c r="E79" s="19" t="n">
        <v>13.6221103910084</v>
      </c>
      <c r="F79" s="20" t="s">
        <v>26</v>
      </c>
      <c r="G79" s="20"/>
      <c r="H79" s="18" t="n">
        <v>0</v>
      </c>
      <c r="I79" s="18" t="n">
        <v>9.32908441470285</v>
      </c>
    </row>
    <row r="80" customFormat="false" ht="12" hidden="false" customHeight="false" outlineLevel="0" collapsed="false">
      <c r="A80" s="0" t="n">
        <v>0.67</v>
      </c>
      <c r="B80" s="0" t="n">
        <v>1</v>
      </c>
      <c r="C80" s="19" t="n">
        <v>2.89736680167573</v>
      </c>
      <c r="D80" s="19" t="s">
        <v>26</v>
      </c>
      <c r="E80" s="19" t="n">
        <v>2.89736680167573</v>
      </c>
      <c r="F80" s="20" t="n">
        <v>0.292631113863265</v>
      </c>
      <c r="G80" s="20" t="s">
        <v>26</v>
      </c>
      <c r="H80" s="18" t="n">
        <v>1.2940846104938</v>
      </c>
      <c r="I80" s="18" t="n">
        <v>0</v>
      </c>
    </row>
    <row r="81" customFormat="false" ht="12" hidden="false" customHeight="false" outlineLevel="0" collapsed="false">
      <c r="A81" s="0" t="n">
        <v>0.67</v>
      </c>
      <c r="B81" s="0" t="n">
        <v>0.83</v>
      </c>
      <c r="C81" s="19" t="n">
        <v>2.93061528976728</v>
      </c>
      <c r="D81" s="19" t="n">
        <v>3.33300293827254</v>
      </c>
      <c r="E81" s="19" t="n">
        <v>2.9992760355239</v>
      </c>
      <c r="F81" s="20" t="n">
        <v>0.284513761937561</v>
      </c>
      <c r="G81" s="20" t="n">
        <v>0.186274042150022</v>
      </c>
      <c r="H81" s="18" t="n">
        <v>1.33524676232656</v>
      </c>
      <c r="I81" s="18" t="n">
        <v>1.51985436867092</v>
      </c>
    </row>
    <row r="82" customFormat="false" ht="12" hidden="false" customHeight="false" outlineLevel="0" collapsed="false">
      <c r="A82" s="0" t="n">
        <v>0.67</v>
      </c>
      <c r="B82" s="0" t="n">
        <v>0.67</v>
      </c>
      <c r="C82" s="19" t="n">
        <v>2.97575328584818</v>
      </c>
      <c r="D82" s="19" t="n">
        <v>3.43631997054387</v>
      </c>
      <c r="E82" s="19" t="n">
        <v>3.12807804069987</v>
      </c>
      <c r="F82" s="20" t="n">
        <v>0.273493681914651</v>
      </c>
      <c r="G82" s="20" t="n">
        <v>0.161050016667831</v>
      </c>
      <c r="H82" s="18" t="n">
        <v>1.43236819344457</v>
      </c>
      <c r="I82" s="18" t="n">
        <v>1.6335748255151</v>
      </c>
    </row>
    <row r="83" customFormat="false" ht="12" hidden="false" customHeight="false" outlineLevel="0" collapsed="false">
      <c r="A83" s="0" t="n">
        <v>0.67</v>
      </c>
      <c r="B83" s="0" t="n">
        <v>0.5</v>
      </c>
      <c r="C83" s="19" t="n">
        <v>2.91911051849846</v>
      </c>
      <c r="D83" s="19" t="n">
        <v>3.49535990585099</v>
      </c>
      <c r="E83" s="19" t="n">
        <v>3.20663975447446</v>
      </c>
      <c r="F83" s="20" t="n">
        <v>0.287322559647598</v>
      </c>
      <c r="G83" s="20" t="n">
        <v>0.146635889588156</v>
      </c>
      <c r="H83" s="18" t="n">
        <v>1.36679098600733</v>
      </c>
      <c r="I83" s="18" t="n">
        <v>1.72262800675935</v>
      </c>
    </row>
    <row r="84" customFormat="false" ht="12" hidden="false" customHeight="false" outlineLevel="0" collapsed="false">
      <c r="A84" s="0" t="n">
        <v>0.67</v>
      </c>
      <c r="B84" s="0" t="n">
        <v>0.33</v>
      </c>
      <c r="C84" s="19" t="n">
        <v>2.86675774096403</v>
      </c>
      <c r="D84" s="19" t="n">
        <v>3.60300035850413</v>
      </c>
      <c r="E84" s="19" t="n">
        <v>3.35704624140457</v>
      </c>
      <c r="F84" s="20" t="n">
        <v>0.300104070745633</v>
      </c>
      <c r="G84" s="20" t="n">
        <v>0.120356335666137</v>
      </c>
      <c r="H84" s="18" t="n">
        <v>1.27604464899813</v>
      </c>
      <c r="I84" s="18" t="n">
        <v>1.84262307011313</v>
      </c>
    </row>
    <row r="85" customFormat="false" ht="12" hidden="false" customHeight="false" outlineLevel="0" collapsed="false">
      <c r="A85" s="0" t="n">
        <v>0.67</v>
      </c>
      <c r="B85" s="0" t="n">
        <v>0.17</v>
      </c>
      <c r="C85" s="19" t="n">
        <v>2.8427912110027</v>
      </c>
      <c r="D85" s="19" t="n">
        <v>3.74395292983998</v>
      </c>
      <c r="E85" s="19" t="n">
        <v>3.58808199120509</v>
      </c>
      <c r="F85" s="20" t="n">
        <v>0.305955306976236</v>
      </c>
      <c r="G85" s="20" t="n">
        <v>0.0859438949194969</v>
      </c>
      <c r="H85" s="18" t="n">
        <v>1.28303349751023</v>
      </c>
      <c r="I85" s="18" t="n">
        <v>2.00095074961359</v>
      </c>
    </row>
    <row r="86" customFormat="false" ht="12" hidden="false" customHeight="false" outlineLevel="0" collapsed="false">
      <c r="A86" s="0" t="n">
        <v>0.67</v>
      </c>
      <c r="B86" s="0" t="n">
        <v>0</v>
      </c>
      <c r="C86" s="19" t="s">
        <v>26</v>
      </c>
      <c r="D86" s="19" t="n">
        <v>4.09597716051603</v>
      </c>
      <c r="E86" s="19" t="n">
        <v>4.09597716051603</v>
      </c>
      <c r="F86" s="20" t="s">
        <v>26</v>
      </c>
      <c r="G86" s="20" t="s">
        <v>26</v>
      </c>
      <c r="H86" s="18" t="n">
        <v>0</v>
      </c>
      <c r="I86" s="18" t="n">
        <v>2.60008008726982</v>
      </c>
    </row>
    <row r="87" customFormat="false" ht="12" hidden="false" customHeight="false" outlineLevel="0" collapsed="false">
      <c r="A87" s="0" t="n">
        <v>1.05</v>
      </c>
      <c r="B87" s="0" t="n">
        <v>1</v>
      </c>
      <c r="C87" s="19" t="n">
        <v>29.6671168052226</v>
      </c>
      <c r="D87" s="19" t="s">
        <v>26</v>
      </c>
      <c r="E87" s="19" t="n">
        <v>29.6671168052226</v>
      </c>
      <c r="F87" s="20" t="n">
        <v>0.220797575074859</v>
      </c>
      <c r="G87" s="20"/>
      <c r="H87" s="21" t="n">
        <v>16.4420920475255</v>
      </c>
      <c r="I87" s="21" t="n">
        <v>0</v>
      </c>
    </row>
    <row r="88" customFormat="false" ht="12" hidden="false" customHeight="false" outlineLevel="0" collapsed="false">
      <c r="A88" s="0" t="n">
        <v>1.05</v>
      </c>
      <c r="B88" s="0" t="n">
        <v>0.83</v>
      </c>
      <c r="C88" s="19" t="n">
        <v>32.5740205643283</v>
      </c>
      <c r="D88" s="19" t="n">
        <v>33.2429626517628</v>
      </c>
      <c r="E88" s="19" t="n">
        <v>32.6889671130191</v>
      </c>
      <c r="F88" s="20" t="n">
        <v>0.144448178772203</v>
      </c>
      <c r="G88" s="20" t="n">
        <v>0.126878514012205</v>
      </c>
      <c r="H88" s="21" t="n">
        <v>16.4761592936365</v>
      </c>
      <c r="I88" s="21" t="n">
        <v>16.3466381604107</v>
      </c>
    </row>
    <row r="89" customFormat="false" ht="12" hidden="false" customHeight="false" outlineLevel="0" collapsed="false">
      <c r="A89" s="0" t="n">
        <v>1.05</v>
      </c>
      <c r="B89" s="0" t="n">
        <v>0.67</v>
      </c>
      <c r="C89" s="19" t="n">
        <v>36.8504238174541</v>
      </c>
      <c r="D89" s="19" t="n">
        <v>37.6337342193515</v>
      </c>
      <c r="E89" s="19" t="n">
        <v>37.1089684707737</v>
      </c>
      <c r="F89" s="20" t="n">
        <v>0.0321290812788185</v>
      </c>
      <c r="G89" s="20" t="n">
        <v>0.0115555496938387</v>
      </c>
      <c r="H89" s="21" t="n">
        <v>17.9071079250875</v>
      </c>
      <c r="I89" s="21" t="n">
        <v>18.2038365117442</v>
      </c>
    </row>
    <row r="90" customFormat="false" ht="12" hidden="false" customHeight="false" outlineLevel="0" collapsed="false">
      <c r="A90" s="0" t="n">
        <v>1.05</v>
      </c>
      <c r="B90" s="0" t="n">
        <v>0.5</v>
      </c>
      <c r="C90" s="19" t="n">
        <v>29.1686401408893</v>
      </c>
      <c r="D90" s="19" t="n">
        <v>30.4464768575064</v>
      </c>
      <c r="E90" s="19" t="n">
        <v>29.8156514650698</v>
      </c>
      <c r="F90" s="20" t="n">
        <v>0.233889990767533</v>
      </c>
      <c r="G90" s="20" t="n">
        <v>0.200327798836865</v>
      </c>
      <c r="H90" s="21" t="n">
        <v>14.5533275822398</v>
      </c>
      <c r="I90" s="21" t="n">
        <v>15.0542307465541</v>
      </c>
    </row>
    <row r="91" customFormat="false" ht="12" hidden="false" customHeight="false" outlineLevel="0" collapsed="false">
      <c r="A91" s="0" t="n">
        <v>1.05</v>
      </c>
      <c r="B91" s="0" t="n">
        <v>0.33</v>
      </c>
      <c r="C91" s="19" t="n">
        <v>33.9042822564526</v>
      </c>
      <c r="D91" s="19" t="n">
        <v>35.5638524969614</v>
      </c>
      <c r="E91" s="19" t="n">
        <v>35.0160283605695</v>
      </c>
      <c r="F91" s="20" t="n">
        <v>0.109509052631511</v>
      </c>
      <c r="G91" s="20" t="n">
        <v>0.065920686285428</v>
      </c>
      <c r="H91" s="21" t="n">
        <v>17.7157725577849</v>
      </c>
      <c r="I91" s="21" t="n">
        <v>17.8623230149933</v>
      </c>
    </row>
    <row r="92" customFormat="false" ht="12" hidden="false" customHeight="false" outlineLevel="0" collapsed="false">
      <c r="A92" s="0" t="n">
        <v>1.05</v>
      </c>
      <c r="B92" s="0" t="n">
        <v>0.17</v>
      </c>
      <c r="C92" s="19" t="n">
        <v>30.7309281984245</v>
      </c>
      <c r="D92" s="19" t="n">
        <v>33.8905441403728</v>
      </c>
      <c r="E92" s="19" t="n">
        <v>33.3615191111593</v>
      </c>
      <c r="F92" s="20" t="n">
        <v>0.192856726535779</v>
      </c>
      <c r="G92" s="20" t="n">
        <v>0.109869882213757</v>
      </c>
      <c r="H92" s="21" t="n">
        <v>18.1606999586144</v>
      </c>
      <c r="I92" s="21" t="n">
        <v>18.7159663463725</v>
      </c>
    </row>
    <row r="93" customFormat="false" ht="12" hidden="false" customHeight="false" outlineLevel="0" collapsed="false">
      <c r="A93" s="0" t="n">
        <v>1.05</v>
      </c>
      <c r="B93" s="0" t="n">
        <v>0</v>
      </c>
      <c r="C93" s="19" t="s">
        <v>26</v>
      </c>
      <c r="D93" s="19" t="n">
        <v>38.0736967137554</v>
      </c>
      <c r="E93" s="19" t="s">
        <v>26</v>
      </c>
      <c r="F93" s="20"/>
      <c r="G93" s="20"/>
      <c r="H93" s="21" t="n">
        <v>0</v>
      </c>
      <c r="I93" s="21" t="n">
        <v>19.9089786424311</v>
      </c>
    </row>
    <row r="94" customFormat="false" ht="12" hidden="false" customHeight="false" outlineLevel="0" collapsed="false">
      <c r="A94" s="0" t="n">
        <v>1.05</v>
      </c>
      <c r="B94" s="0" t="n">
        <v>1</v>
      </c>
      <c r="C94" s="19" t="n">
        <v>27.1929519989514</v>
      </c>
      <c r="D94" s="19" t="s">
        <v>26</v>
      </c>
      <c r="E94" s="19" t="n">
        <v>27.1929519989514</v>
      </c>
      <c r="F94" s="20" t="n">
        <v>0.284768781900333</v>
      </c>
      <c r="H94" s="21" t="n">
        <v>15.5189015468342</v>
      </c>
      <c r="I94" s="21" t="n">
        <v>0</v>
      </c>
    </row>
    <row r="95" customFormat="false" ht="12" hidden="false" customHeight="false" outlineLevel="0" collapsed="false">
      <c r="A95" s="0" t="n">
        <v>1.05</v>
      </c>
      <c r="B95" s="0" t="n">
        <v>0.83</v>
      </c>
      <c r="C95" s="19" t="n">
        <v>35.4988649709262</v>
      </c>
      <c r="D95" s="19" t="n">
        <v>35.7960175668222</v>
      </c>
      <c r="E95" s="19" t="n">
        <v>35.5491233799787</v>
      </c>
      <c r="F95" s="20" t="n">
        <v>0.0663059885778411</v>
      </c>
      <c r="G95" s="20" t="n">
        <v>0.0584902570187095</v>
      </c>
      <c r="H95" s="21" t="n">
        <v>19.5705908766343</v>
      </c>
      <c r="I95" s="21" t="n">
        <v>19.6491087926803</v>
      </c>
    </row>
    <row r="96" customFormat="false" ht="12" hidden="false" customHeight="false" outlineLevel="0" collapsed="false">
      <c r="A96" s="0" t="n">
        <v>1.05</v>
      </c>
      <c r="B96" s="0" t="n">
        <v>0.67</v>
      </c>
      <c r="C96" s="19" t="n">
        <v>37.1116517473748</v>
      </c>
      <c r="D96" s="19" t="n">
        <v>37.3502644742207</v>
      </c>
      <c r="E96" s="19" t="n">
        <v>37.1895747102051</v>
      </c>
      <c r="F96" s="20" t="n">
        <v>0.0238863406227809</v>
      </c>
      <c r="G96" s="20" t="n">
        <v>0.0176103294238998</v>
      </c>
      <c r="H96" s="21" t="n">
        <v>19.0601007215185</v>
      </c>
      <c r="I96" s="21" t="n">
        <v>19.1176445100272</v>
      </c>
    </row>
    <row r="97" customFormat="false" ht="12" hidden="false" customHeight="false" outlineLevel="0" collapsed="false">
      <c r="A97" s="0" t="n">
        <v>1.05</v>
      </c>
      <c r="B97" s="0" t="n">
        <v>0.5</v>
      </c>
      <c r="C97" s="19" t="n">
        <v>33.0703387539862</v>
      </c>
      <c r="D97" s="19" t="n">
        <v>33.6796064234725</v>
      </c>
      <c r="E97" s="19" t="n">
        <v>33.3778564556982</v>
      </c>
      <c r="F97" s="20" t="n">
        <v>0.130181281131439</v>
      </c>
      <c r="G97" s="20" t="n">
        <v>0.114156273717305</v>
      </c>
      <c r="H97" s="21" t="n">
        <v>17.1611577877529</v>
      </c>
      <c r="I97" s="21" t="n">
        <v>17.0663996999544</v>
      </c>
    </row>
    <row r="98" customFormat="false" ht="12" hidden="false" customHeight="false" outlineLevel="0" collapsed="false">
      <c r="A98" s="0" t="n">
        <v>1.05</v>
      </c>
      <c r="B98" s="0" t="n">
        <v>0.33</v>
      </c>
      <c r="C98" s="19" t="n">
        <v>33.4460384962272</v>
      </c>
      <c r="D98" s="19" t="n">
        <v>34.8810051397329</v>
      </c>
      <c r="E98" s="19" t="n">
        <v>34.4035439052171</v>
      </c>
      <c r="F98" s="20" t="n">
        <v>0.120299596189947</v>
      </c>
      <c r="G98" s="20" t="n">
        <v>0.0825569877226305</v>
      </c>
      <c r="H98" s="21" t="n">
        <v>16.2931054041734</v>
      </c>
      <c r="I98" s="21" t="n">
        <v>16.8639822229205</v>
      </c>
    </row>
    <row r="99" customFormat="false" ht="12" hidden="false" customHeight="false" outlineLevel="0" collapsed="false">
      <c r="A99" s="0" t="n">
        <v>1.05</v>
      </c>
      <c r="B99" s="0" t="n">
        <v>0.17</v>
      </c>
      <c r="C99" s="19" t="n">
        <v>29.6291286032009</v>
      </c>
      <c r="D99" s="19" t="n">
        <v>31.9200227521488</v>
      </c>
      <c r="E99" s="19" t="n">
        <v>31.5309525625191</v>
      </c>
      <c r="F99" s="20" t="n">
        <v>0.220692268242291</v>
      </c>
      <c r="G99" s="20" t="n">
        <v>0.160436985448699</v>
      </c>
      <c r="H99" s="21" t="n">
        <v>16.2356934419345</v>
      </c>
      <c r="I99" s="21" t="n">
        <v>17.1193622852097</v>
      </c>
    </row>
    <row r="100" customFormat="false" ht="12" hidden="false" customHeight="false" outlineLevel="0" collapsed="false">
      <c r="A100" s="0" t="n">
        <v>1.05</v>
      </c>
      <c r="B100" s="0" t="n">
        <v>0</v>
      </c>
      <c r="C100" s="19" t="s">
        <v>26</v>
      </c>
      <c r="D100" s="19" t="n">
        <v>38.0198057786148</v>
      </c>
      <c r="E100" s="19" t="s">
        <v>26</v>
      </c>
      <c r="F100" s="20" t="s">
        <v>26</v>
      </c>
      <c r="G100" s="20" t="s">
        <v>26</v>
      </c>
      <c r="H100" s="21" t="n">
        <v>0</v>
      </c>
      <c r="I100" s="21" t="n">
        <v>19.467941100619</v>
      </c>
    </row>
    <row r="101" customFormat="false" ht="12" hidden="false" customHeight="false" outlineLevel="0" collapsed="false">
      <c r="A101" s="0" t="n">
        <v>1</v>
      </c>
      <c r="B101" s="0" t="n">
        <v>1</v>
      </c>
      <c r="C101" s="19" t="n">
        <v>17.422844441695</v>
      </c>
      <c r="D101" s="19" t="s">
        <v>26</v>
      </c>
      <c r="E101" s="19" t="n">
        <v>17.422844441695</v>
      </c>
      <c r="F101" s="20" t="n">
        <v>0.31309052787336</v>
      </c>
      <c r="G101" s="20" t="s">
        <v>26</v>
      </c>
      <c r="H101" s="21" t="n">
        <v>10.1945466018767</v>
      </c>
      <c r="I101" s="21" t="n">
        <v>0</v>
      </c>
    </row>
    <row r="102" customFormat="false" ht="12" hidden="false" customHeight="false" outlineLevel="0" collapsed="false">
      <c r="A102" s="0" t="n">
        <v>1</v>
      </c>
      <c r="B102" s="0" t="n">
        <v>0.83</v>
      </c>
      <c r="C102" s="19" t="n">
        <v>18.0520598173722</v>
      </c>
      <c r="D102" s="19" t="n">
        <v>18.5882954329707</v>
      </c>
      <c r="E102" s="19" t="n">
        <v>18.1424333931211</v>
      </c>
      <c r="F102" s="20" t="n">
        <v>0.288283212224832</v>
      </c>
      <c r="G102" s="20" t="n">
        <v>0.267141697423449</v>
      </c>
      <c r="H102" s="21" t="n">
        <v>10.2261276885052</v>
      </c>
      <c r="I102" s="21" t="n">
        <v>10.0740811268197</v>
      </c>
    </row>
    <row r="103" customFormat="false" ht="12" hidden="false" customHeight="false" outlineLevel="0" collapsed="false">
      <c r="A103" s="0" t="n">
        <v>1</v>
      </c>
      <c r="B103" s="0" t="n">
        <v>0.67</v>
      </c>
      <c r="C103" s="19" t="n">
        <v>18.0340059097819</v>
      </c>
      <c r="D103" s="19" t="n">
        <v>18.625504958789</v>
      </c>
      <c r="E103" s="19" t="n">
        <v>18.2285696636353</v>
      </c>
      <c r="F103" s="20" t="n">
        <v>0.28899500186252</v>
      </c>
      <c r="G103" s="20" t="n">
        <v>0.265674682331657</v>
      </c>
      <c r="H103" s="21" t="n">
        <v>10.4079493257494</v>
      </c>
      <c r="I103" s="21" t="n">
        <v>10.3537584038318</v>
      </c>
    </row>
    <row r="104" customFormat="false" ht="12" hidden="false" customHeight="false" outlineLevel="0" collapsed="false">
      <c r="A104" s="0" t="n">
        <v>1</v>
      </c>
      <c r="B104" s="0" t="n">
        <v>0.5</v>
      </c>
      <c r="C104" s="19" t="n">
        <v>18.0501826305467</v>
      </c>
      <c r="D104" s="19" t="n">
        <v>19.005240148859</v>
      </c>
      <c r="E104" s="19" t="n">
        <v>18.5331233823066</v>
      </c>
      <c r="F104" s="20" t="n">
        <v>0.288357221805512</v>
      </c>
      <c r="G104" s="20" t="n">
        <v>0.250703321034606</v>
      </c>
      <c r="H104" s="21" t="n">
        <v>9.82675504710411</v>
      </c>
      <c r="I104" s="21" t="n">
        <v>9.93552405442692</v>
      </c>
    </row>
    <row r="105" customFormat="false" ht="12" hidden="false" customHeight="false" outlineLevel="0" collapsed="false">
      <c r="A105" s="0" t="n">
        <v>1</v>
      </c>
      <c r="B105" s="0" t="n">
        <v>0.33</v>
      </c>
      <c r="C105" s="19" t="n">
        <v>18.2147830545602</v>
      </c>
      <c r="D105" s="19" t="n">
        <v>19.7539931108385</v>
      </c>
      <c r="E105" s="19" t="n">
        <v>19.2470286253023</v>
      </c>
      <c r="F105" s="20" t="n">
        <v>0.281867719431241</v>
      </c>
      <c r="G105" s="20" t="n">
        <v>0.221183141158824</v>
      </c>
      <c r="H105" s="21" t="n">
        <v>9.99625213381963</v>
      </c>
      <c r="I105" s="21" t="n">
        <v>10.3381886965503</v>
      </c>
    </row>
    <row r="106" customFormat="false" ht="12" hidden="false" customHeight="false" outlineLevel="0" collapsed="false">
      <c r="A106" s="0" t="n">
        <v>1</v>
      </c>
      <c r="B106" s="0" t="n">
        <v>0.17</v>
      </c>
      <c r="C106" s="19" t="n">
        <v>18.2296283019763</v>
      </c>
      <c r="D106" s="19" t="n">
        <v>21.0668195521862</v>
      </c>
      <c r="E106" s="19" t="n">
        <v>20.5822272866504</v>
      </c>
      <c r="F106" s="20" t="n">
        <v>0.281282433767907</v>
      </c>
      <c r="G106" s="20" t="n">
        <v>0.16942391660523</v>
      </c>
      <c r="H106" s="21" t="n">
        <v>9.90868070027445</v>
      </c>
      <c r="I106" s="21" t="n">
        <v>10.7497255851667</v>
      </c>
    </row>
    <row r="107" customFormat="false" ht="12" hidden="false" customHeight="false" outlineLevel="0" collapsed="false">
      <c r="A107" s="0" t="n">
        <v>1</v>
      </c>
      <c r="B107" s="0" t="n">
        <v>0</v>
      </c>
      <c r="C107" s="19" t="s">
        <v>26</v>
      </c>
      <c r="D107" s="19" t="n">
        <v>25.3641056772077</v>
      </c>
      <c r="E107" s="19" t="n">
        <v>25.3641056772077</v>
      </c>
      <c r="F107" s="20" t="s">
        <v>26</v>
      </c>
      <c r="G107" s="20"/>
      <c r="H107" s="21" t="n">
        <v>0</v>
      </c>
      <c r="I107" s="21" t="n">
        <v>12.8419485765301</v>
      </c>
    </row>
    <row r="108" customFormat="false" ht="12" hidden="false" customHeight="false" outlineLevel="0" collapsed="false">
      <c r="A108" s="0" t="n">
        <v>0.5</v>
      </c>
      <c r="B108" s="0" t="n">
        <v>1</v>
      </c>
      <c r="C108" s="19" t="n">
        <v>2.42679755644688</v>
      </c>
      <c r="D108" s="19" t="s">
        <v>26</v>
      </c>
      <c r="E108" s="19" t="n">
        <v>2.42679755644688</v>
      </c>
      <c r="F108" s="20" t="n">
        <v>0.190082331348528</v>
      </c>
      <c r="G108" s="20" t="s">
        <v>26</v>
      </c>
      <c r="H108" s="21" t="n">
        <v>0.808267926905258</v>
      </c>
      <c r="I108" s="21" t="n">
        <v>0</v>
      </c>
    </row>
    <row r="109" customFormat="false" ht="12" hidden="false" customHeight="false" outlineLevel="0" collapsed="false">
      <c r="A109" s="0" t="n">
        <v>0.5</v>
      </c>
      <c r="B109" s="0" t="n">
        <v>0.83</v>
      </c>
      <c r="C109" s="19" t="n">
        <v>2.42055393524762</v>
      </c>
      <c r="D109" s="19" t="n">
        <v>2.72357829385273</v>
      </c>
      <c r="E109" s="19" t="n">
        <v>2.47351249231984</v>
      </c>
      <c r="F109" s="20" t="n">
        <v>0.192166072990768</v>
      </c>
      <c r="G109" s="20" t="n">
        <v>0.091034941795222</v>
      </c>
      <c r="H109" s="21" t="n">
        <v>0.809716071961205</v>
      </c>
      <c r="I109" s="21" t="n">
        <v>1.00798510509095</v>
      </c>
    </row>
    <row r="110" customFormat="false" ht="12" hidden="false" customHeight="false" outlineLevel="0" collapsed="false">
      <c r="A110" s="0" t="n">
        <v>0.5</v>
      </c>
      <c r="B110" s="0" t="n">
        <v>0.67</v>
      </c>
      <c r="C110" s="19" t="n">
        <v>2.40558072128571</v>
      </c>
      <c r="D110" s="19" t="n">
        <v>2.77088332561144</v>
      </c>
      <c r="E110" s="19" t="n">
        <v>2.52659329734535</v>
      </c>
      <c r="F110" s="20" t="n">
        <v>0.19716322263435</v>
      </c>
      <c r="G110" s="20" t="n">
        <v>0.0752473945662766</v>
      </c>
      <c r="H110" s="21" t="n">
        <v>0.790678706909674</v>
      </c>
      <c r="I110" s="21" t="n">
        <v>1.1033501046535</v>
      </c>
    </row>
    <row r="111" customFormat="false" ht="12" hidden="false" customHeight="false" outlineLevel="0" collapsed="false">
      <c r="A111" s="0" t="n">
        <v>0.5</v>
      </c>
      <c r="B111" s="0" t="n">
        <v>0.5</v>
      </c>
      <c r="C111" s="19" t="n">
        <v>2.39349196090518</v>
      </c>
      <c r="D111" s="19" t="n">
        <v>2.80737629563953</v>
      </c>
      <c r="E111" s="19" t="n">
        <v>2.59928904827959</v>
      </c>
      <c r="F111" s="20" t="n">
        <v>0.201197716817137</v>
      </c>
      <c r="G111" s="20" t="n">
        <v>0.0630682570322033</v>
      </c>
      <c r="H111" s="21" t="n">
        <v>0.805487207300939</v>
      </c>
      <c r="I111" s="21" t="n">
        <v>1.17300318719714</v>
      </c>
    </row>
    <row r="112" customFormat="false" ht="12" hidden="false" customHeight="false" outlineLevel="0" collapsed="false">
      <c r="A112" s="0" t="n">
        <v>0.5</v>
      </c>
      <c r="B112" s="0" t="n">
        <v>0.33</v>
      </c>
      <c r="C112" s="19" t="n">
        <v>2.38412786745665</v>
      </c>
      <c r="D112" s="19" t="n">
        <v>2.84280520228842</v>
      </c>
      <c r="E112" s="19" t="n">
        <v>2.6931846556663</v>
      </c>
      <c r="F112" s="20" t="n">
        <v>0.204322882620408</v>
      </c>
      <c r="G112" s="20" t="n">
        <v>0.0512442392439399</v>
      </c>
      <c r="H112" s="21" t="n">
        <v>0.79714547685976</v>
      </c>
      <c r="I112" s="21" t="n">
        <v>1.21213657814478</v>
      </c>
    </row>
    <row r="113" customFormat="false" ht="12" hidden="false" customHeight="false" outlineLevel="0" collapsed="false">
      <c r="A113" s="0" t="n">
        <v>0.5</v>
      </c>
      <c r="B113" s="0" t="n">
        <v>0.17</v>
      </c>
      <c r="C113" s="19" t="n">
        <v>2.36225425210764</v>
      </c>
      <c r="D113" s="19" t="n">
        <v>2.91931575321576</v>
      </c>
      <c r="E113" s="19" t="n">
        <v>2.82465243546079</v>
      </c>
      <c r="F113" s="20" t="n">
        <v>0.211622967253092</v>
      </c>
      <c r="G113" s="20" t="n">
        <v>0.0257096630821608</v>
      </c>
      <c r="H113" s="21" t="n">
        <v>0.768362210667091</v>
      </c>
      <c r="I113" s="21" t="n">
        <v>1.32458562643018</v>
      </c>
    </row>
    <row r="114" customFormat="false" ht="12" hidden="false" customHeight="false" outlineLevel="0" collapsed="false">
      <c r="A114" s="0" t="n">
        <v>0.5</v>
      </c>
      <c r="B114" s="0" t="n">
        <v>0</v>
      </c>
      <c r="C114" s="19" t="s">
        <v>26</v>
      </c>
      <c r="D114" s="19" t="n">
        <v>2.99635092599912</v>
      </c>
      <c r="E114" s="19" t="n">
        <v>2.99635092599912</v>
      </c>
      <c r="F114" s="20" t="s">
        <v>26</v>
      </c>
      <c r="G114" s="20"/>
      <c r="H114" s="21" t="n">
        <v>0</v>
      </c>
      <c r="I114" s="21" t="n">
        <v>1.49456991775564</v>
      </c>
    </row>
    <row r="115" customFormat="false" ht="12" hidden="false" customHeight="false" outlineLevel="0" collapsed="false">
      <c r="A115" s="0" t="n">
        <v>1</v>
      </c>
      <c r="B115" s="0" t="n">
        <v>1</v>
      </c>
      <c r="C115" s="19" t="n">
        <v>18.7304848052089</v>
      </c>
      <c r="D115" s="19" t="s">
        <v>26</v>
      </c>
      <c r="E115" s="19" t="n">
        <v>18.7304848052089</v>
      </c>
      <c r="F115" s="20" t="n">
        <v>0.28929889050439</v>
      </c>
      <c r="G115" s="20" t="s">
        <v>26</v>
      </c>
      <c r="H115" s="21" t="n">
        <v>9.27779809823858</v>
      </c>
      <c r="I115" s="21" t="n">
        <v>0</v>
      </c>
    </row>
    <row r="116" customFormat="false" ht="12" hidden="false" customHeight="false" outlineLevel="0" collapsed="false">
      <c r="A116" s="0" t="n">
        <v>1</v>
      </c>
      <c r="B116" s="0" t="n">
        <v>0.83</v>
      </c>
      <c r="C116" s="19" t="n">
        <v>19.4661781616465</v>
      </c>
      <c r="D116" s="19" t="n">
        <v>20.2871983015783</v>
      </c>
      <c r="E116" s="19" t="n">
        <v>19.6055052793929</v>
      </c>
      <c r="F116" s="20" t="n">
        <v>0.261384071955575</v>
      </c>
      <c r="G116" s="20" t="n">
        <v>0.230231652227203</v>
      </c>
      <c r="H116" s="21" t="n">
        <v>9.825734044306</v>
      </c>
      <c r="I116" s="21" t="n">
        <v>10.1894807553771</v>
      </c>
    </row>
    <row r="117" customFormat="false" ht="12" hidden="false" customHeight="false" outlineLevel="0" collapsed="false">
      <c r="A117" s="0" t="n">
        <v>1</v>
      </c>
      <c r="B117" s="0" t="n">
        <v>0.67</v>
      </c>
      <c r="C117" s="19" t="n">
        <v>19.6085490156015</v>
      </c>
      <c r="D117" s="19" t="n">
        <v>20.1563432727919</v>
      </c>
      <c r="E117" s="19" t="n">
        <v>19.7870386444027</v>
      </c>
      <c r="F117" s="20" t="n">
        <v>0.255982016166952</v>
      </c>
      <c r="G117" s="20" t="n">
        <v>0.235196756713751</v>
      </c>
      <c r="H117" s="21" t="n">
        <v>9.88450998192565</v>
      </c>
      <c r="I117" s="21" t="n">
        <v>9.98758210721816</v>
      </c>
    </row>
    <row r="118" customFormat="false" ht="12" hidden="false" customHeight="false" outlineLevel="0" collapsed="false">
      <c r="A118" s="0" t="n">
        <v>1</v>
      </c>
      <c r="B118" s="0" t="n">
        <v>0.5</v>
      </c>
      <c r="C118" s="19" t="n">
        <v>14.9639634809117</v>
      </c>
      <c r="D118" s="19" t="n">
        <v>15.7240400559482</v>
      </c>
      <c r="E118" s="19" t="n">
        <v>15.3431150124257</v>
      </c>
      <c r="F118" s="20" t="n">
        <v>0.432214085276734</v>
      </c>
      <c r="G118" s="20" t="n">
        <v>0.403374080824217</v>
      </c>
      <c r="H118" s="21" t="n">
        <v>8.14376222148341</v>
      </c>
      <c r="I118" s="21" t="n">
        <v>8.31697410889924</v>
      </c>
    </row>
    <row r="119" customFormat="false" ht="12" hidden="false" customHeight="false" outlineLevel="0" collapsed="false">
      <c r="A119" s="0" t="n">
        <v>1</v>
      </c>
      <c r="B119" s="0" t="n">
        <v>0.33</v>
      </c>
      <c r="C119" s="19" t="n">
        <v>22.8441565510617</v>
      </c>
      <c r="D119" s="19" t="n">
        <v>24.6291441993086</v>
      </c>
      <c r="E119" s="19" t="n">
        <v>24.040276774152</v>
      </c>
      <c r="F119" s="20" t="n">
        <v>0.133211575932303</v>
      </c>
      <c r="G119" s="20" t="n">
        <v>0.0654828056821997</v>
      </c>
      <c r="H119" s="21" t="n">
        <v>13.1580990977818</v>
      </c>
      <c r="I119" s="21" t="n">
        <v>13.2214965945335</v>
      </c>
    </row>
    <row r="120" customFormat="false" ht="12" hidden="false" customHeight="false" outlineLevel="0" collapsed="false">
      <c r="A120" s="0" t="n">
        <v>1</v>
      </c>
      <c r="B120" s="0" t="n">
        <v>0.17</v>
      </c>
      <c r="C120" s="19" t="n">
        <v>15.9645522853837</v>
      </c>
      <c r="D120" s="19" t="n">
        <v>18.3733325764386</v>
      </c>
      <c r="E120" s="19" t="n">
        <v>17.9662487072503</v>
      </c>
      <c r="F120" s="20" t="n">
        <v>0.394248192728702</v>
      </c>
      <c r="G120" s="20" t="n">
        <v>0.302850514388427</v>
      </c>
      <c r="H120" s="21" t="n">
        <v>9.34966173977911</v>
      </c>
      <c r="I120" s="21" t="n">
        <v>10.548829964491</v>
      </c>
    </row>
    <row r="121" customFormat="false" ht="12" hidden="false" customHeight="false" outlineLevel="0" collapsed="false">
      <c r="A121" s="0" t="n">
        <v>1</v>
      </c>
      <c r="B121" s="0" t="n">
        <v>0</v>
      </c>
      <c r="C121" s="19" t="s">
        <v>26</v>
      </c>
      <c r="D121" s="19" t="n">
        <v>26.3549395870538</v>
      </c>
      <c r="E121" s="19" t="n">
        <v>26.3549395870538</v>
      </c>
      <c r="F121" s="20" t="s">
        <v>26</v>
      </c>
      <c r="G121" s="20" t="s">
        <v>26</v>
      </c>
      <c r="H121" s="21" t="n">
        <v>0</v>
      </c>
      <c r="I121" s="21" t="n">
        <v>13.7528343209842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L1" activeCellId="0" sqref="L1:M16384"/>
    </sheetView>
  </sheetViews>
  <sheetFormatPr defaultColWidth="9.05078125" defaultRowHeight="12" customHeight="false" zeroHeight="false" outlineLevelRow="0" outlineLevelCol="0"/>
  <sheetData>
    <row r="1" customFormat="false" ht="12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28</v>
      </c>
      <c r="E1" s="0" t="s">
        <v>30</v>
      </c>
      <c r="F1" s="0" t="s">
        <v>31</v>
      </c>
      <c r="G1" s="0" t="s">
        <v>32</v>
      </c>
      <c r="H1" s="0" t="s">
        <v>33</v>
      </c>
      <c r="L1" s="0" t="s">
        <v>34</v>
      </c>
      <c r="P1" s="0" t="s">
        <v>35</v>
      </c>
    </row>
    <row r="2" customFormat="false" ht="12" hidden="false" customHeight="false" outlineLevel="0" collapsed="false">
      <c r="A2" s="0" t="s">
        <v>36</v>
      </c>
      <c r="B2" s="0" t="s">
        <v>37</v>
      </c>
      <c r="D2" s="0" t="s">
        <v>38</v>
      </c>
      <c r="E2" s="0" t="s">
        <v>39</v>
      </c>
      <c r="F2" s="0" t="s">
        <v>40</v>
      </c>
      <c r="G2" s="0" t="s">
        <v>41</v>
      </c>
      <c r="H2" s="23" t="s">
        <v>42</v>
      </c>
      <c r="I2" s="23" t="s">
        <v>42</v>
      </c>
      <c r="J2" s="24" t="s">
        <v>43</v>
      </c>
      <c r="K2" s="24" t="s">
        <v>43</v>
      </c>
      <c r="L2" s="23" t="s">
        <v>42</v>
      </c>
      <c r="M2" s="23" t="s">
        <v>42</v>
      </c>
      <c r="N2" s="24" t="s">
        <v>43</v>
      </c>
      <c r="O2" s="24" t="s">
        <v>43</v>
      </c>
      <c r="P2" s="23" t="s">
        <v>42</v>
      </c>
      <c r="Q2" s="23" t="s">
        <v>42</v>
      </c>
      <c r="R2" s="24" t="s">
        <v>43</v>
      </c>
      <c r="S2" s="24" t="s">
        <v>43</v>
      </c>
      <c r="T2" s="0" t="s">
        <v>40</v>
      </c>
      <c r="W2" s="0" t="s">
        <v>41</v>
      </c>
      <c r="X2" s="0" t="s">
        <v>44</v>
      </c>
    </row>
    <row r="3" customFormat="false" ht="12.75" hidden="false" customHeight="false" outlineLevel="0" collapsed="false">
      <c r="A3" s="0" t="s">
        <v>45</v>
      </c>
      <c r="B3" s="0" t="s">
        <v>46</v>
      </c>
      <c r="F3" s="0" t="s">
        <v>46</v>
      </c>
      <c r="H3" s="22" t="s">
        <v>47</v>
      </c>
      <c r="I3" s="22" t="s">
        <v>48</v>
      </c>
      <c r="J3" s="22" t="s">
        <v>47</v>
      </c>
      <c r="K3" s="22" t="s">
        <v>48</v>
      </c>
      <c r="L3" s="22" t="s">
        <v>47</v>
      </c>
      <c r="M3" s="22" t="s">
        <v>48</v>
      </c>
      <c r="N3" s="22" t="s">
        <v>47</v>
      </c>
      <c r="O3" s="22" t="s">
        <v>48</v>
      </c>
      <c r="P3" s="22" t="s">
        <v>47</v>
      </c>
      <c r="Q3" s="22" t="s">
        <v>48</v>
      </c>
      <c r="R3" s="22" t="s">
        <v>47</v>
      </c>
      <c r="S3" s="22" t="s">
        <v>48</v>
      </c>
      <c r="T3" s="0" t="s">
        <v>41</v>
      </c>
      <c r="U3" s="0" t="s">
        <v>44</v>
      </c>
      <c r="V3" s="0" t="s">
        <v>49</v>
      </c>
      <c r="W3" s="0" t="s">
        <v>50</v>
      </c>
      <c r="X3" s="0" t="s">
        <v>50</v>
      </c>
    </row>
    <row r="4" customFormat="false" ht="12" hidden="false" customHeight="false" outlineLevel="0" collapsed="false"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customFormat="false" ht="12" hidden="false" customHeight="false" outlineLevel="0" collapsed="false">
      <c r="A5" s="0" t="n">
        <v>0.67</v>
      </c>
      <c r="B5" s="0" t="n">
        <v>20</v>
      </c>
      <c r="C5" s="0" t="n">
        <v>2</v>
      </c>
      <c r="D5" s="0" t="n">
        <v>0.5</v>
      </c>
      <c r="E5" s="0" t="n">
        <v>-0.15</v>
      </c>
      <c r="F5" s="0" t="n">
        <v>0</v>
      </c>
      <c r="G5" s="0" t="n">
        <v>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customFormat="false" ht="12" hidden="false" customHeight="false" outlineLevel="0" collapsed="false">
      <c r="A6" s="0" t="n">
        <v>0.67</v>
      </c>
      <c r="B6" s="0" t="n">
        <v>20</v>
      </c>
      <c r="C6" s="0" t="n">
        <v>2</v>
      </c>
      <c r="D6" s="0" t="n">
        <v>0.5</v>
      </c>
      <c r="E6" s="0" t="n">
        <v>-0.15</v>
      </c>
      <c r="F6" s="0" t="n">
        <v>0</v>
      </c>
      <c r="G6" s="0" t="n">
        <v>0.83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customFormat="false" ht="12" hidden="false" customHeight="false" outlineLevel="0" collapsed="false">
      <c r="A7" s="0" t="n">
        <v>0.67</v>
      </c>
      <c r="B7" s="0" t="n">
        <v>20</v>
      </c>
      <c r="C7" s="0" t="n">
        <v>2</v>
      </c>
      <c r="D7" s="0" t="n">
        <v>0.5</v>
      </c>
      <c r="E7" s="0" t="n">
        <v>-0.15</v>
      </c>
      <c r="F7" s="0" t="n">
        <v>0</v>
      </c>
      <c r="G7" s="0" t="n">
        <v>0.67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customFormat="false" ht="12" hidden="false" customHeight="false" outlineLevel="0" collapsed="false">
      <c r="A8" s="0" t="n">
        <v>0.67</v>
      </c>
      <c r="B8" s="0" t="n">
        <v>20</v>
      </c>
      <c r="C8" s="0" t="n">
        <v>2</v>
      </c>
      <c r="D8" s="0" t="n">
        <v>0.5</v>
      </c>
      <c r="E8" s="0" t="n">
        <v>-0.15</v>
      </c>
      <c r="F8" s="0" t="n">
        <v>0</v>
      </c>
      <c r="G8" s="0" t="n">
        <v>0.5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customFormat="false" ht="12" hidden="false" customHeight="false" outlineLevel="0" collapsed="false">
      <c r="A9" s="0" t="n">
        <v>0.67</v>
      </c>
      <c r="B9" s="0" t="n">
        <v>20</v>
      </c>
      <c r="C9" s="0" t="n">
        <v>2</v>
      </c>
      <c r="D9" s="0" t="n">
        <v>0.5</v>
      </c>
      <c r="E9" s="0" t="n">
        <v>-0.15</v>
      </c>
      <c r="F9" s="0" t="n">
        <v>0</v>
      </c>
      <c r="G9" s="0" t="n">
        <v>0.33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customFormat="false" ht="12" hidden="false" customHeight="false" outlineLevel="0" collapsed="false">
      <c r="A10" s="0" t="n">
        <v>0.67</v>
      </c>
      <c r="B10" s="0" t="n">
        <v>20</v>
      </c>
      <c r="C10" s="0" t="n">
        <v>2</v>
      </c>
      <c r="D10" s="0" t="n">
        <v>0.5</v>
      </c>
      <c r="E10" s="0" t="n">
        <v>-0.15</v>
      </c>
      <c r="F10" s="0" t="n">
        <v>0</v>
      </c>
      <c r="G10" s="0" t="n">
        <v>0.17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customFormat="false" ht="12" hidden="false" customHeight="false" outlineLevel="0" collapsed="false">
      <c r="A11" s="0" t="n">
        <v>0.67</v>
      </c>
      <c r="B11" s="0" t="n">
        <v>20</v>
      </c>
      <c r="C11" s="0" t="n">
        <v>2</v>
      </c>
      <c r="D11" s="0" t="n">
        <v>0.5</v>
      </c>
      <c r="E11" s="0" t="n">
        <v>-0.15</v>
      </c>
      <c r="F11" s="0" t="n">
        <v>0</v>
      </c>
      <c r="G11" s="0" t="n">
        <v>0</v>
      </c>
      <c r="H11" s="18"/>
      <c r="I11" s="18" t="n">
        <v>4328.36040926762</v>
      </c>
      <c r="J11" s="18"/>
      <c r="K11" s="18" t="n">
        <v>3.90774844068122</v>
      </c>
      <c r="L11" s="18"/>
      <c r="M11" s="18" t="n">
        <v>2489.32187960146</v>
      </c>
      <c r="N11" s="18"/>
      <c r="O11" s="18" t="n">
        <v>2.35717513223087</v>
      </c>
      <c r="P11" s="18" t="n">
        <v>0</v>
      </c>
      <c r="Q11" s="18" t="n">
        <v>15173</v>
      </c>
      <c r="R11" s="18" t="n">
        <v>0</v>
      </c>
      <c r="S11" s="18" t="n">
        <v>14827</v>
      </c>
      <c r="U11" s="0" t="n">
        <v>2166.13407885415</v>
      </c>
      <c r="X11" s="0" t="n">
        <v>0</v>
      </c>
    </row>
    <row r="12" customFormat="false" ht="12" hidden="false" customHeight="false" outlineLevel="0" collapsed="false">
      <c r="A12" s="0" t="n">
        <v>0.67</v>
      </c>
      <c r="B12" s="0" t="n">
        <v>15</v>
      </c>
      <c r="C12" s="0" t="n">
        <v>2</v>
      </c>
      <c r="D12" s="0" t="n">
        <v>0.5</v>
      </c>
      <c r="E12" s="0" t="n">
        <v>-0.15</v>
      </c>
      <c r="F12" s="0" t="n">
        <v>0</v>
      </c>
      <c r="G12" s="0" t="n">
        <v>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customFormat="false" ht="12" hidden="false" customHeight="false" outlineLevel="0" collapsed="false">
      <c r="A13" s="0" t="n">
        <v>0.67</v>
      </c>
      <c r="B13" s="0" t="n">
        <v>15</v>
      </c>
      <c r="C13" s="0" t="n">
        <v>2</v>
      </c>
      <c r="D13" s="0" t="n">
        <v>0.5</v>
      </c>
      <c r="E13" s="0" t="n">
        <v>-0.15</v>
      </c>
      <c r="F13" s="0" t="n">
        <v>0</v>
      </c>
      <c r="G13" s="0" t="n">
        <v>0.83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customFormat="false" ht="12" hidden="false" customHeight="false" outlineLevel="0" collapsed="false">
      <c r="A14" s="0" t="n">
        <v>0.67</v>
      </c>
      <c r="B14" s="0" t="n">
        <v>15</v>
      </c>
      <c r="C14" s="0" t="n">
        <v>2</v>
      </c>
      <c r="D14" s="0" t="n">
        <v>0.5</v>
      </c>
      <c r="E14" s="0" t="n">
        <v>-0.15</v>
      </c>
      <c r="F14" s="0" t="n">
        <v>0</v>
      </c>
      <c r="G14" s="0" t="n">
        <v>0.67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customFormat="false" ht="12" hidden="false" customHeight="false" outlineLevel="0" collapsed="false">
      <c r="A15" s="0" t="n">
        <v>0.67</v>
      </c>
      <c r="B15" s="0" t="n">
        <v>15</v>
      </c>
      <c r="C15" s="0" t="n">
        <v>2</v>
      </c>
      <c r="D15" s="0" t="n">
        <v>0.5</v>
      </c>
      <c r="E15" s="0" t="n">
        <v>-0.15</v>
      </c>
      <c r="F15" s="0" t="n">
        <v>0</v>
      </c>
      <c r="G15" s="0" t="n">
        <v>0.5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customFormat="false" ht="12" hidden="false" customHeight="false" outlineLevel="0" collapsed="false">
      <c r="A16" s="0" t="n">
        <v>0.67</v>
      </c>
      <c r="B16" s="0" t="n">
        <v>15</v>
      </c>
      <c r="C16" s="0" t="n">
        <v>2</v>
      </c>
      <c r="D16" s="0" t="n">
        <v>0.5</v>
      </c>
      <c r="E16" s="0" t="n">
        <v>-0.15</v>
      </c>
      <c r="F16" s="0" t="n">
        <v>0</v>
      </c>
      <c r="G16" s="0" t="n">
        <v>0.33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customFormat="false" ht="12" hidden="false" customHeight="false" outlineLevel="0" collapsed="false">
      <c r="A17" s="0" t="n">
        <v>0.67</v>
      </c>
      <c r="B17" s="0" t="n">
        <v>15</v>
      </c>
      <c r="C17" s="0" t="n">
        <v>2</v>
      </c>
      <c r="D17" s="0" t="n">
        <v>0.5</v>
      </c>
      <c r="E17" s="0" t="n">
        <v>-0.15</v>
      </c>
      <c r="F17" s="0" t="n">
        <v>0</v>
      </c>
      <c r="G17" s="0" t="n">
        <v>0.17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customFormat="false" ht="12" hidden="false" customHeight="false" outlineLevel="0" collapsed="false">
      <c r="A18" s="0" t="n">
        <v>0.67</v>
      </c>
      <c r="B18" s="0" t="n">
        <v>15</v>
      </c>
      <c r="C18" s="0" t="n">
        <v>2</v>
      </c>
      <c r="D18" s="0" t="n">
        <v>0.5</v>
      </c>
      <c r="E18" s="0" t="n">
        <v>-0.15</v>
      </c>
      <c r="F18" s="0" t="n">
        <v>0</v>
      </c>
      <c r="G18" s="0" t="n">
        <v>0</v>
      </c>
      <c r="H18" s="18"/>
      <c r="I18" s="18" t="n">
        <v>3038.50003613245</v>
      </c>
      <c r="J18" s="18"/>
      <c r="K18" s="18" t="n">
        <v>4.10738263999103</v>
      </c>
      <c r="L18" s="18"/>
      <c r="M18" s="18" t="n">
        <v>1751.04350182761</v>
      </c>
      <c r="N18" s="18"/>
      <c r="O18" s="18" t="n">
        <v>2.55087284926936</v>
      </c>
      <c r="P18" s="18" t="n">
        <v>0</v>
      </c>
      <c r="Q18" s="18" t="n">
        <v>15055</v>
      </c>
      <c r="R18" s="18" t="n">
        <v>0</v>
      </c>
      <c r="S18" s="18" t="n">
        <v>14945</v>
      </c>
      <c r="U18" s="0" t="n">
        <v>1521.30370938622</v>
      </c>
      <c r="X18" s="0" t="n">
        <v>0</v>
      </c>
    </row>
    <row r="19" customFormat="false" ht="12" hidden="false" customHeight="false" outlineLevel="0" collapsed="false">
      <c r="A19" s="0" t="n">
        <v>0.67</v>
      </c>
      <c r="B19" s="0" t="n">
        <v>10</v>
      </c>
      <c r="C19" s="0" t="n">
        <v>2</v>
      </c>
      <c r="D19" s="0" t="n">
        <v>0.5</v>
      </c>
      <c r="E19" s="0" t="n">
        <v>-0.15</v>
      </c>
      <c r="F19" s="0" t="n">
        <v>0</v>
      </c>
      <c r="G19" s="0" t="n">
        <v>1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customFormat="false" ht="12" hidden="false" customHeight="false" outlineLevel="0" collapsed="false">
      <c r="A20" s="0" t="n">
        <v>0.67</v>
      </c>
      <c r="B20" s="0" t="n">
        <v>10</v>
      </c>
      <c r="C20" s="0" t="n">
        <v>2</v>
      </c>
      <c r="D20" s="0" t="n">
        <v>0.5</v>
      </c>
      <c r="E20" s="0" t="n">
        <v>-0.15</v>
      </c>
      <c r="F20" s="0" t="n">
        <v>0</v>
      </c>
      <c r="G20" s="0" t="n">
        <v>0.83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customFormat="false" ht="12" hidden="false" customHeight="false" outlineLevel="0" collapsed="false">
      <c r="A21" s="0" t="n">
        <v>0.67</v>
      </c>
      <c r="B21" s="0" t="n">
        <v>10</v>
      </c>
      <c r="C21" s="0" t="n">
        <v>2</v>
      </c>
      <c r="D21" s="0" t="n">
        <v>0.5</v>
      </c>
      <c r="E21" s="0" t="n">
        <v>-0.15</v>
      </c>
      <c r="F21" s="0" t="n">
        <v>0</v>
      </c>
      <c r="G21" s="0" t="n">
        <v>0.67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customFormat="false" ht="12" hidden="false" customHeight="false" outlineLevel="0" collapsed="false">
      <c r="A22" s="0" t="n">
        <v>0.67</v>
      </c>
      <c r="B22" s="0" t="n">
        <v>10</v>
      </c>
      <c r="C22" s="0" t="n">
        <v>2</v>
      </c>
      <c r="D22" s="0" t="n">
        <v>0.5</v>
      </c>
      <c r="E22" s="0" t="n">
        <v>-0.15</v>
      </c>
      <c r="F22" s="0" t="n">
        <v>0</v>
      </c>
      <c r="G22" s="0" t="n">
        <v>0.5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customFormat="false" ht="12" hidden="false" customHeight="false" outlineLevel="0" collapsed="false">
      <c r="A23" s="0" t="n">
        <v>0.67</v>
      </c>
      <c r="B23" s="0" t="n">
        <v>10</v>
      </c>
      <c r="C23" s="0" t="n">
        <v>2</v>
      </c>
      <c r="D23" s="0" t="n">
        <v>0.5</v>
      </c>
      <c r="E23" s="0" t="n">
        <v>-0.15</v>
      </c>
      <c r="F23" s="0" t="n">
        <v>0</v>
      </c>
      <c r="G23" s="0" t="n">
        <v>0.33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customFormat="false" ht="12" hidden="false" customHeight="false" outlineLevel="0" collapsed="false">
      <c r="A24" s="0" t="n">
        <v>0.67</v>
      </c>
      <c r="B24" s="0" t="n">
        <v>10</v>
      </c>
      <c r="C24" s="0" t="n">
        <v>2</v>
      </c>
      <c r="D24" s="0" t="n">
        <v>0.5</v>
      </c>
      <c r="E24" s="0" t="n">
        <v>-0.15</v>
      </c>
      <c r="F24" s="0" t="n">
        <v>0</v>
      </c>
      <c r="G24" s="0" t="n">
        <v>0.17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customFormat="false" ht="12" hidden="false" customHeight="false" outlineLevel="0" collapsed="false">
      <c r="A25" s="0" t="n">
        <v>0.67</v>
      </c>
      <c r="B25" s="0" t="n">
        <v>10</v>
      </c>
      <c r="C25" s="0" t="n">
        <v>2</v>
      </c>
      <c r="D25" s="0" t="n">
        <v>0.5</v>
      </c>
      <c r="E25" s="0" t="n">
        <v>-0.15</v>
      </c>
      <c r="F25" s="0" t="n">
        <v>0</v>
      </c>
      <c r="G25" s="0" t="n">
        <v>0</v>
      </c>
      <c r="H25" s="18"/>
      <c r="I25" s="18" t="n">
        <v>1755.55612921353</v>
      </c>
      <c r="J25" s="18"/>
      <c r="K25" s="18" t="n">
        <v>4.13322117834351</v>
      </c>
      <c r="L25" s="18"/>
      <c r="M25" s="18" t="n">
        <v>1006.53363333793</v>
      </c>
      <c r="N25" s="18"/>
      <c r="O25" s="18" t="n">
        <v>2.63392427698596</v>
      </c>
      <c r="P25" s="18" t="n">
        <v>0</v>
      </c>
      <c r="Q25" s="18" t="n">
        <v>14946</v>
      </c>
      <c r="R25" s="18" t="n">
        <v>0</v>
      </c>
      <c r="S25" s="18" t="n">
        <v>15054</v>
      </c>
      <c r="U25" s="0" t="n">
        <v>879.844675195934</v>
      </c>
      <c r="X25" s="0" t="n">
        <v>0</v>
      </c>
    </row>
    <row r="26" customFormat="false" ht="12" hidden="false" customHeight="false" outlineLevel="0" collapsed="false">
      <c r="A26" s="0" t="n">
        <v>0.67</v>
      </c>
      <c r="B26" s="0" t="n">
        <v>8</v>
      </c>
      <c r="C26" s="0" t="n">
        <v>2</v>
      </c>
      <c r="D26" s="0" t="n">
        <v>0.5</v>
      </c>
      <c r="E26" s="0" t="n">
        <v>-0.15</v>
      </c>
      <c r="F26" s="0" t="n">
        <v>0</v>
      </c>
      <c r="G26" s="0" t="n">
        <v>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customFormat="false" ht="12" hidden="false" customHeight="false" outlineLevel="0" collapsed="false">
      <c r="A27" s="0" t="n">
        <v>0.67</v>
      </c>
      <c r="B27" s="0" t="n">
        <v>8</v>
      </c>
      <c r="C27" s="0" t="n">
        <v>2</v>
      </c>
      <c r="D27" s="0" t="n">
        <v>0.5</v>
      </c>
      <c r="E27" s="0" t="n">
        <v>-0.15</v>
      </c>
      <c r="F27" s="0" t="n">
        <v>0</v>
      </c>
      <c r="G27" s="0" t="n">
        <v>0.83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customFormat="false" ht="12" hidden="false" customHeight="false" outlineLevel="0" collapsed="false">
      <c r="A28" s="0" t="n">
        <v>0.67</v>
      </c>
      <c r="B28" s="0" t="n">
        <v>8</v>
      </c>
      <c r="C28" s="0" t="n">
        <v>2</v>
      </c>
      <c r="D28" s="0" t="n">
        <v>0.5</v>
      </c>
      <c r="E28" s="0" t="n">
        <v>-0.15</v>
      </c>
      <c r="F28" s="0" t="n">
        <v>0</v>
      </c>
      <c r="G28" s="0" t="n">
        <v>0.67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customFormat="false" ht="12" hidden="false" customHeight="false" outlineLevel="0" collapsed="false">
      <c r="A29" s="0" t="n">
        <v>0.67</v>
      </c>
      <c r="B29" s="0" t="n">
        <v>8</v>
      </c>
      <c r="C29" s="0" t="n">
        <v>2</v>
      </c>
      <c r="D29" s="0" t="n">
        <v>0.5</v>
      </c>
      <c r="E29" s="0" t="n">
        <v>-0.15</v>
      </c>
      <c r="F29" s="0" t="n">
        <v>0</v>
      </c>
      <c r="G29" s="0" t="n">
        <v>0.5</v>
      </c>
      <c r="H29" s="18" t="n">
        <v>21.0431462333759</v>
      </c>
      <c r="I29" s="18" t="n">
        <v>279.070395742892</v>
      </c>
      <c r="J29" s="18" t="n">
        <v>27.0983592830956</v>
      </c>
      <c r="K29" s="18" t="n">
        <v>26.6856247330009</v>
      </c>
      <c r="L29" s="18" t="n">
        <v>8.36818850689624</v>
      </c>
      <c r="M29" s="18" t="n">
        <v>150.206229248756</v>
      </c>
      <c r="N29" s="18" t="n">
        <v>16.1382352871512</v>
      </c>
      <c r="O29" s="18" t="n">
        <v>16.0580020907103</v>
      </c>
      <c r="P29" s="18" t="n">
        <v>99</v>
      </c>
      <c r="Q29" s="18" t="n">
        <v>7494</v>
      </c>
      <c r="R29" s="18" t="n">
        <v>14842</v>
      </c>
      <c r="S29" s="18" t="n">
        <v>7565</v>
      </c>
      <c r="T29" s="0" t="n">
        <v>24.0707527582358</v>
      </c>
      <c r="U29" s="0" t="n">
        <v>152.878010237947</v>
      </c>
      <c r="V29" s="0" t="n">
        <v>88.4743814980912</v>
      </c>
      <c r="W29" s="0" t="n">
        <v>0.96229896123294</v>
      </c>
      <c r="X29" s="0" t="n">
        <v>0.760553404851877</v>
      </c>
    </row>
    <row r="30" customFormat="false" ht="12" hidden="false" customHeight="false" outlineLevel="0" collapsed="false">
      <c r="A30" s="0" t="n">
        <v>0.67</v>
      </c>
      <c r="B30" s="0" t="n">
        <v>8</v>
      </c>
      <c r="C30" s="0" t="n">
        <v>2</v>
      </c>
      <c r="D30" s="0" t="n">
        <v>0.5</v>
      </c>
      <c r="E30" s="0" t="n">
        <v>-0.15</v>
      </c>
      <c r="F30" s="0" t="n">
        <v>0</v>
      </c>
      <c r="G30" s="0" t="n">
        <v>0.33</v>
      </c>
      <c r="H30" s="18" t="n">
        <v>22.9228721798673</v>
      </c>
      <c r="I30" s="18" t="n">
        <v>634.132125875356</v>
      </c>
      <c r="J30" s="18" t="n">
        <v>9.50422588236353</v>
      </c>
      <c r="K30" s="18" t="n">
        <v>9.56063652286468</v>
      </c>
      <c r="L30" s="18"/>
      <c r="M30" s="18" t="n">
        <v>354.044365626201</v>
      </c>
      <c r="N30" s="18" t="n">
        <v>6.67781529979759</v>
      </c>
      <c r="O30" s="18" t="n">
        <v>6.8782155260353</v>
      </c>
      <c r="P30" s="18" t="n">
        <v>52</v>
      </c>
      <c r="Q30" s="18" t="n">
        <v>10125</v>
      </c>
      <c r="R30" s="18" t="n">
        <v>9881</v>
      </c>
      <c r="S30" s="18" t="n">
        <v>9942</v>
      </c>
      <c r="T30" s="0" t="n">
        <v>16.2135490311154</v>
      </c>
      <c r="U30" s="0" t="n">
        <v>321.84638119911</v>
      </c>
      <c r="V30" s="0" t="n">
        <v>169.029965115113</v>
      </c>
      <c r="W30" s="0" t="n">
        <v>0.974605379120744</v>
      </c>
      <c r="X30" s="0" t="n">
        <v>0.495905133649213</v>
      </c>
    </row>
    <row r="31" customFormat="false" ht="12" hidden="false" customHeight="false" outlineLevel="0" collapsed="false">
      <c r="A31" s="0" t="n">
        <v>0.67</v>
      </c>
      <c r="B31" s="0" t="n">
        <v>8</v>
      </c>
      <c r="C31" s="0" t="n">
        <v>2</v>
      </c>
      <c r="D31" s="0" t="n">
        <v>0.5</v>
      </c>
      <c r="E31" s="0" t="n">
        <v>-0.15</v>
      </c>
      <c r="F31" s="0" t="n">
        <v>0</v>
      </c>
      <c r="G31" s="0" t="n">
        <v>0.17</v>
      </c>
      <c r="H31" s="18" t="n">
        <v>24.1154127831613</v>
      </c>
      <c r="I31" s="18" t="n">
        <v>918.34029821401</v>
      </c>
      <c r="J31" s="18" t="n">
        <v>5.68328454005876</v>
      </c>
      <c r="K31" s="18" t="n">
        <v>5.67193005063693</v>
      </c>
      <c r="L31" s="18"/>
      <c r="M31" s="18" t="n">
        <v>525.421052082199</v>
      </c>
      <c r="N31" s="18" t="n">
        <v>4.03128928597322</v>
      </c>
      <c r="O31" s="18" t="n">
        <v>4.04029226257019</v>
      </c>
      <c r="P31" s="18" t="n">
        <v>26</v>
      </c>
      <c r="Q31" s="18" t="n">
        <v>12379</v>
      </c>
      <c r="R31" s="18" t="n">
        <v>5158</v>
      </c>
      <c r="S31" s="18" t="n">
        <v>12437</v>
      </c>
      <c r="T31" s="0" t="n">
        <v>14.89934866161</v>
      </c>
      <c r="U31" s="0" t="n">
        <v>462.006114132324</v>
      </c>
      <c r="V31" s="0" t="n">
        <v>238.452731396967</v>
      </c>
      <c r="W31" s="0" t="n">
        <v>0.976663757584269</v>
      </c>
      <c r="X31" s="0" t="n">
        <v>0.276378657764992</v>
      </c>
    </row>
    <row r="32" customFormat="false" ht="12" hidden="false" customHeight="false" outlineLevel="0" collapsed="false">
      <c r="A32" s="0" t="n">
        <v>0.67</v>
      </c>
      <c r="B32" s="0" t="n">
        <v>8</v>
      </c>
      <c r="C32" s="0" t="n">
        <v>2</v>
      </c>
      <c r="D32" s="0" t="n">
        <v>0.5</v>
      </c>
      <c r="E32" s="0" t="n">
        <v>-0.15</v>
      </c>
      <c r="F32" s="0" t="n">
        <v>0</v>
      </c>
      <c r="G32" s="0" t="n">
        <v>0</v>
      </c>
      <c r="H32" s="18"/>
      <c r="I32" s="18" t="n">
        <v>1273.04777869826</v>
      </c>
      <c r="J32" s="18"/>
      <c r="K32" s="18" t="n">
        <v>3.88004851411141</v>
      </c>
      <c r="L32" s="18"/>
      <c r="M32" s="18" t="n">
        <v>734.012775204431</v>
      </c>
      <c r="N32" s="18"/>
      <c r="O32" s="18" t="n">
        <v>2.33886725950359</v>
      </c>
      <c r="P32" s="18" t="n">
        <v>0</v>
      </c>
      <c r="Q32" s="18" t="n">
        <v>15117</v>
      </c>
      <c r="R32" s="18" t="n">
        <v>0</v>
      </c>
      <c r="S32" s="18" t="n">
        <v>14883</v>
      </c>
      <c r="U32" s="0" t="n">
        <v>638.463913606185</v>
      </c>
      <c r="X32" s="0" t="n">
        <v>0</v>
      </c>
    </row>
    <row r="33" customFormat="false" ht="12" hidden="false" customHeight="false" outlineLevel="0" collapsed="false">
      <c r="A33" s="0" t="n">
        <v>0.67</v>
      </c>
      <c r="B33" s="0" t="n">
        <v>6</v>
      </c>
      <c r="C33" s="0" t="n">
        <v>2</v>
      </c>
      <c r="D33" s="0" t="n">
        <v>0.5</v>
      </c>
      <c r="E33" s="0" t="n">
        <v>-0.15</v>
      </c>
      <c r="F33" s="0" t="n">
        <v>0</v>
      </c>
      <c r="G33" s="0" t="n">
        <v>1</v>
      </c>
      <c r="H33" s="18" t="n">
        <v>32.1320732593991</v>
      </c>
      <c r="I33" s="18"/>
      <c r="J33" s="18" t="n">
        <v>32.615914771375</v>
      </c>
      <c r="K33" s="18"/>
      <c r="L33" s="18" t="n">
        <v>16.4251586162617</v>
      </c>
      <c r="M33" s="18"/>
      <c r="N33" s="18" t="n">
        <v>17.079357320812</v>
      </c>
      <c r="O33" s="18"/>
      <c r="P33" s="18" t="n">
        <v>7339</v>
      </c>
      <c r="Q33" s="18" t="n">
        <v>0</v>
      </c>
      <c r="R33" s="18" t="n">
        <v>22661</v>
      </c>
      <c r="S33" s="18" t="n">
        <v>0</v>
      </c>
      <c r="T33" s="0" t="n">
        <v>32.3739940153871</v>
      </c>
      <c r="W33" s="0" t="n">
        <v>0.915976722993267</v>
      </c>
    </row>
    <row r="34" customFormat="false" ht="12" hidden="false" customHeight="false" outlineLevel="0" collapsed="false">
      <c r="A34" s="0" t="n">
        <v>0.67</v>
      </c>
      <c r="B34" s="0" t="n">
        <v>6</v>
      </c>
      <c r="C34" s="0" t="n">
        <v>2</v>
      </c>
      <c r="D34" s="0" t="n">
        <v>0.5</v>
      </c>
      <c r="E34" s="0" t="n">
        <v>-0.15</v>
      </c>
      <c r="F34" s="0" t="n">
        <v>0</v>
      </c>
      <c r="G34" s="0" t="n">
        <v>0.83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customFormat="false" ht="12" hidden="false" customHeight="false" outlineLevel="0" collapsed="false">
      <c r="A35" s="0" t="n">
        <v>0.67</v>
      </c>
      <c r="B35" s="0" t="n">
        <v>6</v>
      </c>
      <c r="C35" s="0" t="n">
        <v>2</v>
      </c>
      <c r="D35" s="0" t="n">
        <v>0.5</v>
      </c>
      <c r="E35" s="0" t="n">
        <v>-0.15</v>
      </c>
      <c r="F35" s="0" t="n">
        <v>0</v>
      </c>
      <c r="G35" s="0" t="n">
        <v>0.67</v>
      </c>
      <c r="H35" s="18" t="n">
        <v>27.8518515038991</v>
      </c>
      <c r="I35" s="18" t="n">
        <v>32.3774330256356</v>
      </c>
      <c r="J35" s="18" t="n">
        <v>26.4250845199272</v>
      </c>
      <c r="K35" s="18" t="n">
        <v>26.5907700191171</v>
      </c>
      <c r="L35" s="18" t="n">
        <v>14.8761002793728</v>
      </c>
      <c r="M35" s="18" t="n">
        <v>16.0617034852579</v>
      </c>
      <c r="N35" s="18" t="n">
        <v>15.4809928456343</v>
      </c>
      <c r="O35" s="18" t="n">
        <v>15.5133814863934</v>
      </c>
      <c r="P35" s="18" t="n">
        <v>2520</v>
      </c>
      <c r="Q35" s="18" t="n">
        <v>4931</v>
      </c>
      <c r="R35" s="18" t="n">
        <v>17649</v>
      </c>
      <c r="S35" s="18" t="n">
        <v>4900</v>
      </c>
      <c r="T35" s="0" t="n">
        <v>27.1384680119132</v>
      </c>
      <c r="U35" s="0" t="n">
        <v>29.4841015223764</v>
      </c>
      <c r="V35" s="0" t="n">
        <v>28.3112847671448</v>
      </c>
      <c r="W35" s="0" t="n">
        <v>0.929564976931189</v>
      </c>
      <c r="X35" s="0" t="n">
        <v>0.923477133271483</v>
      </c>
    </row>
    <row r="36" customFormat="false" ht="12" hidden="false" customHeight="false" outlineLevel="0" collapsed="false">
      <c r="A36" s="0" t="n">
        <v>0.67</v>
      </c>
      <c r="B36" s="0" t="n">
        <v>6</v>
      </c>
      <c r="C36" s="0" t="n">
        <v>2</v>
      </c>
      <c r="D36" s="0" t="n">
        <v>0.5</v>
      </c>
      <c r="E36" s="0" t="n">
        <v>-0.15</v>
      </c>
      <c r="F36" s="0" t="n">
        <v>0</v>
      </c>
      <c r="G36" s="0" t="n">
        <v>0.5</v>
      </c>
      <c r="H36" s="18" t="n">
        <v>21.7581595066336</v>
      </c>
      <c r="I36" s="18" t="n">
        <v>68.2501468336923</v>
      </c>
      <c r="J36" s="18" t="n">
        <v>22.8900359181311</v>
      </c>
      <c r="K36" s="18" t="n">
        <v>23.0568513811268</v>
      </c>
      <c r="L36" s="18" t="n">
        <v>12.301300803113</v>
      </c>
      <c r="M36" s="18" t="n">
        <v>31.8423258764905</v>
      </c>
      <c r="N36" s="18" t="n">
        <v>14.6671247531151</v>
      </c>
      <c r="O36" s="18" t="n">
        <v>14.7788342615914</v>
      </c>
      <c r="P36" s="18" t="n">
        <v>399</v>
      </c>
      <c r="Q36" s="18" t="n">
        <v>7477</v>
      </c>
      <c r="R36" s="18" t="n">
        <v>14539</v>
      </c>
      <c r="S36" s="18" t="n">
        <v>7585</v>
      </c>
      <c r="T36" s="0" t="n">
        <v>22.3240977123823</v>
      </c>
      <c r="U36" s="0" t="n">
        <v>45.6534991074096</v>
      </c>
      <c r="V36" s="0" t="n">
        <v>33.988798409896</v>
      </c>
      <c r="W36" s="0" t="n">
        <v>0.942060165788585</v>
      </c>
      <c r="X36" s="0" t="n">
        <v>0.881511172207997</v>
      </c>
    </row>
    <row r="37" customFormat="false" ht="12" hidden="false" customHeight="false" outlineLevel="0" collapsed="false">
      <c r="A37" s="0" t="n">
        <v>0.67</v>
      </c>
      <c r="B37" s="0" t="n">
        <v>6</v>
      </c>
      <c r="C37" s="0" t="n">
        <v>2</v>
      </c>
      <c r="D37" s="0" t="n">
        <v>0.5</v>
      </c>
      <c r="E37" s="0" t="n">
        <v>-0.15</v>
      </c>
      <c r="F37" s="0" t="n">
        <v>0</v>
      </c>
      <c r="G37" s="0" t="n">
        <v>0.33</v>
      </c>
      <c r="H37" s="18" t="n">
        <v>12.5619009271812</v>
      </c>
      <c r="I37" s="18" t="n">
        <v>272.974184144233</v>
      </c>
      <c r="J37" s="18" t="n">
        <v>10.9295652635533</v>
      </c>
      <c r="K37" s="18" t="n">
        <v>11.1076702294184</v>
      </c>
      <c r="L37" s="18"/>
      <c r="M37" s="18" t="n">
        <v>150.103717083293</v>
      </c>
      <c r="N37" s="18" t="n">
        <v>8.00084135231487</v>
      </c>
      <c r="O37" s="18" t="n">
        <v>8.04918875830299</v>
      </c>
      <c r="P37" s="18" t="n">
        <v>58</v>
      </c>
      <c r="Q37" s="18" t="n">
        <v>9946</v>
      </c>
      <c r="R37" s="18" t="n">
        <v>9833</v>
      </c>
      <c r="S37" s="18" t="n">
        <v>10163</v>
      </c>
      <c r="T37" s="0" t="n">
        <v>11.7457330953673</v>
      </c>
      <c r="U37" s="0" t="n">
        <v>142.040927186825</v>
      </c>
      <c r="V37" s="0" t="n">
        <v>76.8933301410964</v>
      </c>
      <c r="W37" s="0" t="n">
        <v>0.969515192192532</v>
      </c>
      <c r="X37" s="0" t="n">
        <v>0.631347798308748</v>
      </c>
    </row>
    <row r="38" customFormat="false" ht="12" hidden="false" customHeight="false" outlineLevel="0" collapsed="false">
      <c r="A38" s="0" t="n">
        <v>0.67</v>
      </c>
      <c r="B38" s="0" t="n">
        <v>6</v>
      </c>
      <c r="C38" s="0" t="n">
        <v>2</v>
      </c>
      <c r="D38" s="0" t="n">
        <v>0.5</v>
      </c>
      <c r="E38" s="0" t="n">
        <v>-0.15</v>
      </c>
      <c r="F38" s="0" t="n">
        <v>0</v>
      </c>
      <c r="G38" s="0" t="n">
        <v>0.17</v>
      </c>
      <c r="H38" s="18" t="n">
        <v>13.4870845614211</v>
      </c>
      <c r="I38" s="18" t="n">
        <v>510.819187631025</v>
      </c>
      <c r="J38" s="18" t="n">
        <v>5.73489911694352</v>
      </c>
      <c r="K38" s="18" t="n">
        <v>5.81335598779429</v>
      </c>
      <c r="L38" s="18"/>
      <c r="M38" s="18" t="n">
        <v>286.79615150423</v>
      </c>
      <c r="N38" s="18" t="n">
        <v>3.96348811067906</v>
      </c>
      <c r="O38" s="18" t="n">
        <v>4.10453692963894</v>
      </c>
      <c r="P38" s="18" t="n">
        <v>30</v>
      </c>
      <c r="Q38" s="18" t="n">
        <v>12450</v>
      </c>
      <c r="R38" s="18" t="n">
        <v>5098</v>
      </c>
      <c r="S38" s="18" t="n">
        <v>12422</v>
      </c>
      <c r="T38" s="0" t="n">
        <v>9.61099183918233</v>
      </c>
      <c r="U38" s="0" t="n">
        <v>258.31627180941</v>
      </c>
      <c r="V38" s="0" t="n">
        <v>133.963631824296</v>
      </c>
      <c r="W38" s="0" t="n">
        <v>0.975055687314045</v>
      </c>
      <c r="X38" s="0" t="n">
        <v>0.329567440728116</v>
      </c>
    </row>
    <row r="39" customFormat="false" ht="12" hidden="false" customHeight="false" outlineLevel="0" collapsed="false">
      <c r="A39" s="0" t="n">
        <v>0.67</v>
      </c>
      <c r="B39" s="0" t="n">
        <v>6</v>
      </c>
      <c r="C39" s="0" t="n">
        <v>2</v>
      </c>
      <c r="D39" s="0" t="n">
        <v>0.5</v>
      </c>
      <c r="E39" s="0" t="n">
        <v>-0.15</v>
      </c>
      <c r="F39" s="0" t="n">
        <v>0</v>
      </c>
      <c r="G39" s="0" t="n">
        <v>0</v>
      </c>
      <c r="H39" s="18"/>
      <c r="I39" s="18" t="n">
        <v>766.532966492562</v>
      </c>
      <c r="J39" s="18"/>
      <c r="K39" s="18" t="n">
        <v>4.06287715187925</v>
      </c>
      <c r="L39" s="18"/>
      <c r="M39" s="18" t="n">
        <v>438.922155081972</v>
      </c>
      <c r="N39" s="18"/>
      <c r="O39" s="18" t="n">
        <v>2.54079056702508</v>
      </c>
      <c r="P39" s="18" t="n">
        <v>0</v>
      </c>
      <c r="Q39" s="18" t="n">
        <v>14984</v>
      </c>
      <c r="R39" s="18" t="n">
        <v>0</v>
      </c>
      <c r="S39" s="18" t="n">
        <v>15016</v>
      </c>
      <c r="U39" s="0" t="n">
        <v>385.29792182222</v>
      </c>
      <c r="X39" s="0" t="n">
        <v>0</v>
      </c>
    </row>
    <row r="40" customFormat="false" ht="12" hidden="false" customHeight="false" outlineLevel="0" collapsed="false">
      <c r="A40" s="0" t="n">
        <v>0.67</v>
      </c>
      <c r="B40" s="0" t="n">
        <v>4</v>
      </c>
      <c r="C40" s="0" t="n">
        <v>2</v>
      </c>
      <c r="D40" s="0" t="n">
        <v>0.5</v>
      </c>
      <c r="E40" s="0" t="n">
        <v>-0.15</v>
      </c>
      <c r="F40" s="0" t="n">
        <v>0</v>
      </c>
      <c r="G40" s="0" t="n">
        <v>1</v>
      </c>
      <c r="H40" s="18" t="n">
        <v>8.03910095381008</v>
      </c>
      <c r="I40" s="18"/>
      <c r="J40" s="18" t="n">
        <v>7.65584204635351</v>
      </c>
      <c r="K40" s="18"/>
      <c r="L40" s="18" t="n">
        <v>4.36972903993878</v>
      </c>
      <c r="M40" s="18"/>
      <c r="N40" s="18" t="n">
        <v>4.73794274982456</v>
      </c>
      <c r="O40" s="18"/>
      <c r="P40" s="18" t="n">
        <v>9148</v>
      </c>
      <c r="Q40" s="18" t="n">
        <v>0</v>
      </c>
      <c r="R40" s="18" t="n">
        <v>20852</v>
      </c>
      <c r="S40" s="18" t="n">
        <v>0</v>
      </c>
      <c r="T40" s="0" t="n">
        <v>7.84747150008179</v>
      </c>
      <c r="W40" s="0" t="n">
        <v>0.939622469732187</v>
      </c>
    </row>
    <row r="41" customFormat="false" ht="12" hidden="false" customHeight="false" outlineLevel="0" collapsed="false">
      <c r="A41" s="0" t="n">
        <v>0.67</v>
      </c>
      <c r="B41" s="0" t="n">
        <v>4</v>
      </c>
      <c r="C41" s="0" t="n">
        <v>2</v>
      </c>
      <c r="D41" s="0" t="n">
        <v>0.5</v>
      </c>
      <c r="E41" s="0" t="n">
        <v>-0.15</v>
      </c>
      <c r="F41" s="0" t="n">
        <v>0</v>
      </c>
      <c r="G41" s="0" t="n">
        <v>0.83</v>
      </c>
      <c r="H41" s="18" t="n">
        <v>8.88568620803915</v>
      </c>
      <c r="I41" s="18" t="n">
        <v>9.74609010843953</v>
      </c>
      <c r="J41" s="18" t="n">
        <v>8.24214842786943</v>
      </c>
      <c r="K41" s="18" t="n">
        <v>8.81172064387163</v>
      </c>
      <c r="L41" s="18" t="n">
        <v>5.23044530207488</v>
      </c>
      <c r="M41" s="18" t="n">
        <v>5.37692158236399</v>
      </c>
      <c r="N41" s="18" t="n">
        <v>5.53756916358653</v>
      </c>
      <c r="O41" s="18" t="n">
        <v>5.8300096747092</v>
      </c>
      <c r="P41" s="18" t="n">
        <v>6848</v>
      </c>
      <c r="Q41" s="18" t="n">
        <v>2503</v>
      </c>
      <c r="R41" s="18" t="n">
        <v>18110</v>
      </c>
      <c r="S41" s="18" t="n">
        <v>2539</v>
      </c>
      <c r="T41" s="0" t="n">
        <v>8.56391731795429</v>
      </c>
      <c r="U41" s="0" t="n">
        <v>9.27890537615558</v>
      </c>
      <c r="V41" s="0" t="n">
        <v>8.92141134705494</v>
      </c>
      <c r="W41" s="0" t="n">
        <v>0.934110219187105</v>
      </c>
      <c r="X41" s="0" t="n">
        <v>0.928609184474876</v>
      </c>
    </row>
    <row r="42" customFormat="false" ht="12" hidden="false" customHeight="false" outlineLevel="0" collapsed="false">
      <c r="A42" s="0" t="n">
        <v>0.67</v>
      </c>
      <c r="B42" s="0" t="n">
        <v>4</v>
      </c>
      <c r="C42" s="0" t="n">
        <v>2</v>
      </c>
      <c r="D42" s="0" t="n">
        <v>0.5</v>
      </c>
      <c r="E42" s="0" t="n">
        <v>-0.15</v>
      </c>
      <c r="F42" s="0" t="n">
        <v>0</v>
      </c>
      <c r="G42" s="0" t="n">
        <v>0.67</v>
      </c>
      <c r="H42" s="18" t="n">
        <v>8.41760616167692</v>
      </c>
      <c r="I42" s="18" t="n">
        <v>10.1977295437689</v>
      </c>
      <c r="J42" s="18" t="n">
        <v>7.7198766190557</v>
      </c>
      <c r="K42" s="18" t="n">
        <v>8.3740392160276</v>
      </c>
      <c r="L42" s="18" t="n">
        <v>4.88729432346832</v>
      </c>
      <c r="M42" s="18" t="n">
        <v>5.41496630013623</v>
      </c>
      <c r="N42" s="18" t="n">
        <v>5.09027238512581</v>
      </c>
      <c r="O42" s="18" t="n">
        <v>5.3159740852665</v>
      </c>
      <c r="P42" s="18" t="n">
        <v>4753</v>
      </c>
      <c r="Q42" s="18" t="n">
        <v>4871</v>
      </c>
      <c r="R42" s="18" t="n">
        <v>15351</v>
      </c>
      <c r="S42" s="18" t="n">
        <v>5025</v>
      </c>
      <c r="T42" s="0" t="n">
        <v>8.06874139036631</v>
      </c>
      <c r="U42" s="0" t="n">
        <v>9.28588437989827</v>
      </c>
      <c r="V42" s="0" t="n">
        <v>8.67731288513229</v>
      </c>
      <c r="W42" s="0" t="n">
        <v>0.937920045008775</v>
      </c>
      <c r="X42" s="0" t="n">
        <v>0.928555488834222</v>
      </c>
    </row>
    <row r="43" customFormat="false" ht="12" hidden="false" customHeight="false" outlineLevel="0" collapsed="false">
      <c r="A43" s="0" t="n">
        <v>0.67</v>
      </c>
      <c r="B43" s="0" t="n">
        <v>4</v>
      </c>
      <c r="C43" s="0" t="n">
        <v>2</v>
      </c>
      <c r="D43" s="0" t="n">
        <v>0.5</v>
      </c>
      <c r="E43" s="0" t="n">
        <v>-0.15</v>
      </c>
      <c r="F43" s="0" t="n">
        <v>0</v>
      </c>
      <c r="G43" s="0" t="n">
        <v>0.5</v>
      </c>
      <c r="H43" s="18" t="n">
        <v>8.43164270762831</v>
      </c>
      <c r="I43" s="18" t="n">
        <v>11.9810975576397</v>
      </c>
      <c r="J43" s="18" t="n">
        <v>7.48300656521308</v>
      </c>
      <c r="K43" s="18" t="n">
        <v>7.88013967300917</v>
      </c>
      <c r="L43" s="18" t="n">
        <v>4.65057468189539</v>
      </c>
      <c r="M43" s="18" t="n">
        <v>6.6255057835377</v>
      </c>
      <c r="N43" s="18" t="n">
        <v>4.99438993753322</v>
      </c>
      <c r="O43" s="18" t="n">
        <v>5.14295946168701</v>
      </c>
      <c r="P43" s="18" t="n">
        <v>2585</v>
      </c>
      <c r="Q43" s="18" t="n">
        <v>7442</v>
      </c>
      <c r="R43" s="18" t="n">
        <v>12330</v>
      </c>
      <c r="S43" s="18" t="n">
        <v>7643</v>
      </c>
      <c r="T43" s="0" t="n">
        <v>7.9573246364207</v>
      </c>
      <c r="U43" s="0" t="n">
        <v>9.93061861532445</v>
      </c>
      <c r="V43" s="0" t="n">
        <v>8.94397162587257</v>
      </c>
      <c r="W43" s="0" t="n">
        <v>0.938777272516212</v>
      </c>
      <c r="X43" s="0" t="n">
        <v>0.923594978838903</v>
      </c>
    </row>
    <row r="44" customFormat="false" ht="12" hidden="false" customHeight="false" outlineLevel="0" collapsed="false">
      <c r="A44" s="0" t="n">
        <v>0.67</v>
      </c>
      <c r="B44" s="0" t="n">
        <v>4</v>
      </c>
      <c r="C44" s="0" t="n">
        <v>2</v>
      </c>
      <c r="D44" s="0" t="n">
        <v>0.5</v>
      </c>
      <c r="E44" s="0" t="n">
        <v>-0.15</v>
      </c>
      <c r="F44" s="0" t="n">
        <v>0</v>
      </c>
      <c r="G44" s="0" t="n">
        <v>0.33</v>
      </c>
      <c r="H44" s="18" t="n">
        <v>8.03852265425813</v>
      </c>
      <c r="I44" s="18" t="n">
        <v>25.0029091726925</v>
      </c>
      <c r="J44" s="18" t="n">
        <v>7.47137898543508</v>
      </c>
      <c r="K44" s="18" t="n">
        <v>7.60260505282038</v>
      </c>
      <c r="L44" s="18" t="n">
        <v>4.4520790547309</v>
      </c>
      <c r="M44" s="18" t="n">
        <v>15.2103516625166</v>
      </c>
      <c r="N44" s="18" t="n">
        <v>5.09804357975817</v>
      </c>
      <c r="O44" s="18" t="n">
        <v>5.19620841805914</v>
      </c>
      <c r="P44" s="18" t="n">
        <v>671</v>
      </c>
      <c r="Q44" s="18" t="n">
        <v>10140</v>
      </c>
      <c r="R44" s="18" t="n">
        <v>9137</v>
      </c>
      <c r="S44" s="18" t="n">
        <v>10052</v>
      </c>
      <c r="T44" s="0" t="n">
        <v>7.75495081984661</v>
      </c>
      <c r="U44" s="0" t="n">
        <v>16.3027571127564</v>
      </c>
      <c r="V44" s="0" t="n">
        <v>12.0288539663015</v>
      </c>
      <c r="W44" s="0" t="n">
        <v>0.940334313052834</v>
      </c>
      <c r="X44" s="0" t="n">
        <v>0.874568488587185</v>
      </c>
    </row>
    <row r="45" customFormat="false" ht="12" hidden="false" customHeight="false" outlineLevel="0" collapsed="false">
      <c r="A45" s="0" t="n">
        <v>0.67</v>
      </c>
      <c r="B45" s="0" t="n">
        <v>4</v>
      </c>
      <c r="C45" s="0" t="n">
        <v>2</v>
      </c>
      <c r="D45" s="0" t="n">
        <v>0.5</v>
      </c>
      <c r="E45" s="0" t="n">
        <v>-0.15</v>
      </c>
      <c r="F45" s="0" t="n">
        <v>0</v>
      </c>
      <c r="G45" s="0" t="n">
        <v>0.17</v>
      </c>
      <c r="H45" s="18" t="n">
        <v>8.18602342773436</v>
      </c>
      <c r="I45" s="18" t="n">
        <v>105.138794458791</v>
      </c>
      <c r="J45" s="18" t="n">
        <v>5.57309830716084</v>
      </c>
      <c r="K45" s="18" t="n">
        <v>5.61279694913705</v>
      </c>
      <c r="L45" s="18"/>
      <c r="M45" s="18" t="n">
        <v>54.5608648766399</v>
      </c>
      <c r="N45" s="18" t="n">
        <v>3.8868791405199</v>
      </c>
      <c r="O45" s="18" t="n">
        <v>3.9434986671769</v>
      </c>
      <c r="P45" s="18" t="n">
        <v>54</v>
      </c>
      <c r="Q45" s="18" t="n">
        <v>12471</v>
      </c>
      <c r="R45" s="18" t="n">
        <v>4989</v>
      </c>
      <c r="S45" s="18" t="n">
        <v>12486</v>
      </c>
      <c r="T45" s="0" t="n">
        <v>6.8795608674476</v>
      </c>
      <c r="U45" s="0" t="n">
        <v>55.3757957039639</v>
      </c>
      <c r="V45" s="0" t="n">
        <v>31.1276782857057</v>
      </c>
      <c r="W45" s="0" t="n">
        <v>0.947069461227193</v>
      </c>
      <c r="X45" s="0" t="n">
        <v>0.573945087766748</v>
      </c>
    </row>
    <row r="46" customFormat="false" ht="12" hidden="false" customHeight="false" outlineLevel="0" collapsed="false">
      <c r="A46" s="0" t="n">
        <v>0.67</v>
      </c>
      <c r="B46" s="0" t="n">
        <v>4</v>
      </c>
      <c r="C46" s="0" t="n">
        <v>2</v>
      </c>
      <c r="D46" s="0" t="n">
        <v>0.5</v>
      </c>
      <c r="E46" s="0" t="n">
        <v>-0.15</v>
      </c>
      <c r="F46" s="0" t="n">
        <v>0</v>
      </c>
      <c r="G46" s="0" t="n">
        <v>0</v>
      </c>
      <c r="H46" s="18"/>
      <c r="I46" s="18" t="n">
        <v>255.903843014761</v>
      </c>
      <c r="J46" s="18"/>
      <c r="K46" s="18" t="n">
        <v>4.04291086116788</v>
      </c>
      <c r="L46" s="18"/>
      <c r="M46" s="18" t="n">
        <v>147.651355335252</v>
      </c>
      <c r="N46" s="18"/>
      <c r="O46" s="18" t="n">
        <v>2.49730967140752</v>
      </c>
      <c r="P46" s="18" t="n">
        <v>0</v>
      </c>
      <c r="Q46" s="18" t="n">
        <v>14918</v>
      </c>
      <c r="R46" s="18" t="n">
        <v>0</v>
      </c>
      <c r="S46" s="18" t="n">
        <v>15082</v>
      </c>
      <c r="U46" s="0" t="n">
        <v>129.973376937965</v>
      </c>
      <c r="X46" s="0" t="n">
        <v>0</v>
      </c>
    </row>
    <row r="47" customFormat="false" ht="12" hidden="false" customHeight="false" outlineLevel="0" collapsed="false">
      <c r="A47" s="0" t="n">
        <v>0.67</v>
      </c>
      <c r="B47" s="0" t="n">
        <v>3</v>
      </c>
      <c r="C47" s="0" t="n">
        <v>2</v>
      </c>
      <c r="D47" s="0" t="n">
        <v>0.5</v>
      </c>
      <c r="E47" s="0" t="n">
        <v>-0.15</v>
      </c>
      <c r="F47" s="0" t="n">
        <v>0</v>
      </c>
      <c r="G47" s="0" t="n">
        <v>1</v>
      </c>
      <c r="H47" s="18" t="n">
        <v>4.82627787595386</v>
      </c>
      <c r="I47" s="18"/>
      <c r="J47" s="18" t="n">
        <v>4.51638561931556</v>
      </c>
      <c r="K47" s="18"/>
      <c r="L47" s="18" t="n">
        <v>2.43144206212981</v>
      </c>
      <c r="M47" s="18"/>
      <c r="N47" s="18" t="n">
        <v>2.67625721006101</v>
      </c>
      <c r="O47" s="18"/>
      <c r="P47" s="18" t="n">
        <v>11123</v>
      </c>
      <c r="Q47" s="18" t="n">
        <v>0</v>
      </c>
      <c r="R47" s="18" t="n">
        <v>18877</v>
      </c>
      <c r="S47" s="18" t="n">
        <v>0</v>
      </c>
      <c r="T47" s="0" t="n">
        <v>4.67133174763471</v>
      </c>
      <c r="W47" s="0" t="n">
        <v>0.781432904861775</v>
      </c>
    </row>
    <row r="48" customFormat="false" ht="12" hidden="false" customHeight="false" outlineLevel="0" collapsed="false">
      <c r="A48" s="0" t="n">
        <v>0.67</v>
      </c>
      <c r="B48" s="0" t="n">
        <v>3</v>
      </c>
      <c r="C48" s="0" t="n">
        <v>2</v>
      </c>
      <c r="D48" s="0" t="n">
        <v>0.5</v>
      </c>
      <c r="E48" s="0" t="n">
        <v>-0.15</v>
      </c>
      <c r="F48" s="0" t="n">
        <v>0</v>
      </c>
      <c r="G48" s="0" t="n">
        <v>0.83</v>
      </c>
      <c r="H48" s="18" t="n">
        <v>4.89779347289</v>
      </c>
      <c r="I48" s="18" t="n">
        <v>5.77391861121389</v>
      </c>
      <c r="J48" s="18" t="n">
        <v>4.60938137371735</v>
      </c>
      <c r="K48" s="18" t="n">
        <v>5.06820520181758</v>
      </c>
      <c r="L48" s="18" t="n">
        <v>2.53025094124135</v>
      </c>
      <c r="M48" s="18" t="n">
        <v>2.85601671977382</v>
      </c>
      <c r="N48" s="18" t="n">
        <v>2.79731024711764</v>
      </c>
      <c r="O48" s="18" t="n">
        <v>2.80074425046873</v>
      </c>
      <c r="P48" s="18" t="n">
        <v>8757</v>
      </c>
      <c r="Q48" s="18" t="n">
        <v>2568</v>
      </c>
      <c r="R48" s="18" t="n">
        <v>16102</v>
      </c>
      <c r="S48" s="18" t="n">
        <v>2573</v>
      </c>
      <c r="T48" s="0" t="n">
        <v>4.75358742330367</v>
      </c>
      <c r="U48" s="0" t="n">
        <v>5.42106190651573</v>
      </c>
      <c r="V48" s="0" t="n">
        <v>5.0873246649097</v>
      </c>
      <c r="W48" s="0" t="n">
        <v>0.777584241341206</v>
      </c>
      <c r="X48" s="0" t="n">
        <v>0.746353755741801</v>
      </c>
    </row>
    <row r="49" customFormat="false" ht="12" hidden="false" customHeight="false" outlineLevel="0" collapsed="false">
      <c r="A49" s="0" t="n">
        <v>0.67</v>
      </c>
      <c r="B49" s="0" t="n">
        <v>3</v>
      </c>
      <c r="C49" s="0" t="n">
        <v>2</v>
      </c>
      <c r="D49" s="0" t="n">
        <v>0.5</v>
      </c>
      <c r="E49" s="0" t="n">
        <v>-0.15</v>
      </c>
      <c r="F49" s="0" t="n">
        <v>0</v>
      </c>
      <c r="G49" s="0" t="n">
        <v>0.67</v>
      </c>
      <c r="H49" s="18" t="n">
        <v>5.07620428022018</v>
      </c>
      <c r="I49" s="18" t="n">
        <v>6.17160766031833</v>
      </c>
      <c r="J49" s="18" t="n">
        <v>4.69039690332827</v>
      </c>
      <c r="K49" s="18" t="n">
        <v>5.19874573857982</v>
      </c>
      <c r="L49" s="18" t="n">
        <v>2.78718950028916</v>
      </c>
      <c r="M49" s="18" t="n">
        <v>3.25762880298122</v>
      </c>
      <c r="N49" s="18" t="n">
        <v>3.02119395516673</v>
      </c>
      <c r="O49" s="18" t="n">
        <v>3.19592138439153</v>
      </c>
      <c r="P49" s="18" t="n">
        <v>6677</v>
      </c>
      <c r="Q49" s="18" t="n">
        <v>4867</v>
      </c>
      <c r="R49" s="18" t="n">
        <v>13477</v>
      </c>
      <c r="S49" s="18" t="n">
        <v>4979</v>
      </c>
      <c r="T49" s="0" t="n">
        <v>4.88330059177422</v>
      </c>
      <c r="U49" s="0" t="n">
        <v>5.68517669944908</v>
      </c>
      <c r="V49" s="0" t="n">
        <v>5.28423864561165</v>
      </c>
      <c r="W49" s="0" t="n">
        <v>0.771515087625429</v>
      </c>
      <c r="X49" s="0" t="n">
        <v>0.733996079988264</v>
      </c>
    </row>
    <row r="50" customFormat="false" ht="12" hidden="false" customHeight="false" outlineLevel="0" collapsed="false">
      <c r="A50" s="0" t="n">
        <v>0.67</v>
      </c>
      <c r="B50" s="0" t="n">
        <v>3</v>
      </c>
      <c r="C50" s="0" t="n">
        <v>2</v>
      </c>
      <c r="D50" s="0" t="n">
        <v>0.5</v>
      </c>
      <c r="E50" s="0" t="n">
        <v>-0.15</v>
      </c>
      <c r="F50" s="0" t="n">
        <v>0</v>
      </c>
      <c r="G50" s="0" t="n">
        <v>0.5</v>
      </c>
      <c r="H50" s="18" t="n">
        <v>5.04934458655387</v>
      </c>
      <c r="I50" s="18" t="n">
        <v>6.59454701264513</v>
      </c>
      <c r="J50" s="18" t="n">
        <v>4.54671923314385</v>
      </c>
      <c r="K50" s="18" t="n">
        <v>5.07368244780865</v>
      </c>
      <c r="L50" s="18" t="n">
        <v>2.67811596938685</v>
      </c>
      <c r="M50" s="18" t="n">
        <v>3.41741257951589</v>
      </c>
      <c r="N50" s="18" t="n">
        <v>2.80314509886782</v>
      </c>
      <c r="O50" s="18" t="n">
        <v>3.01969584188274</v>
      </c>
      <c r="P50" s="18" t="n">
        <v>4386</v>
      </c>
      <c r="Q50" s="18" t="n">
        <v>7563</v>
      </c>
      <c r="R50" s="18" t="n">
        <v>10666</v>
      </c>
      <c r="S50" s="18" t="n">
        <v>7385</v>
      </c>
      <c r="T50" s="0" t="n">
        <v>4.79803190984886</v>
      </c>
      <c r="U50" s="0" t="n">
        <v>5.83411473022689</v>
      </c>
      <c r="V50" s="0" t="n">
        <v>5.31607332003788</v>
      </c>
      <c r="W50" s="0" t="n">
        <v>0.775504726795058</v>
      </c>
      <c r="X50" s="0" t="n">
        <v>0.727027413556213</v>
      </c>
    </row>
    <row r="51" customFormat="false" ht="12" hidden="false" customHeight="false" outlineLevel="0" collapsed="false">
      <c r="A51" s="0" t="n">
        <v>0.67</v>
      </c>
      <c r="B51" s="0" t="n">
        <v>3</v>
      </c>
      <c r="C51" s="0" t="n">
        <v>2</v>
      </c>
      <c r="D51" s="0" t="n">
        <v>0.5</v>
      </c>
      <c r="E51" s="0" t="n">
        <v>-0.15</v>
      </c>
      <c r="F51" s="0" t="n">
        <v>0</v>
      </c>
      <c r="G51" s="0" t="n">
        <v>0.33</v>
      </c>
      <c r="H51" s="18" t="n">
        <v>4.92662808062309</v>
      </c>
      <c r="I51" s="18" t="n">
        <v>7.58159212892619</v>
      </c>
      <c r="J51" s="18" t="n">
        <v>4.46145051712952</v>
      </c>
      <c r="K51" s="18" t="n">
        <v>4.93922341547519</v>
      </c>
      <c r="L51" s="18" t="n">
        <v>2.69969560458511</v>
      </c>
      <c r="M51" s="18" t="n">
        <v>4.37325975007663</v>
      </c>
      <c r="N51" s="18" t="n">
        <v>2.87433087263934</v>
      </c>
      <c r="O51" s="18" t="n">
        <v>3.12419539674202</v>
      </c>
      <c r="P51" s="18" t="n">
        <v>2567</v>
      </c>
      <c r="Q51" s="18" t="n">
        <v>9863</v>
      </c>
      <c r="R51" s="18" t="n">
        <v>7461</v>
      </c>
      <c r="S51" s="18" t="n">
        <v>10109</v>
      </c>
      <c r="T51" s="0" t="n">
        <v>4.6940392988763</v>
      </c>
      <c r="U51" s="0" t="n">
        <v>6.26040777220069</v>
      </c>
      <c r="V51" s="0" t="n">
        <v>5.4772235355385</v>
      </c>
      <c r="W51" s="0" t="n">
        <v>0.78037044049814</v>
      </c>
      <c r="X51" s="0" t="n">
        <v>0.707081574361849</v>
      </c>
    </row>
    <row r="52" customFormat="false" ht="12" hidden="false" customHeight="false" outlineLevel="0" collapsed="false">
      <c r="A52" s="0" t="n">
        <v>0.67</v>
      </c>
      <c r="B52" s="0" t="n">
        <v>3</v>
      </c>
      <c r="C52" s="0" t="n">
        <v>2</v>
      </c>
      <c r="D52" s="0" t="n">
        <v>0.5</v>
      </c>
      <c r="E52" s="0" t="n">
        <v>-0.15</v>
      </c>
      <c r="F52" s="0" t="n">
        <v>0</v>
      </c>
      <c r="G52" s="0" t="n">
        <v>0.17</v>
      </c>
      <c r="H52" s="18" t="n">
        <v>4.9454349701698</v>
      </c>
      <c r="I52" s="18" t="n">
        <v>11.527205668446</v>
      </c>
      <c r="J52" s="18" t="n">
        <v>4.32286466922973</v>
      </c>
      <c r="K52" s="18" t="n">
        <v>4.68945655230434</v>
      </c>
      <c r="L52" s="18" t="n">
        <v>2.56404343411676</v>
      </c>
      <c r="M52" s="18" t="n">
        <v>7.77501444110654</v>
      </c>
      <c r="N52" s="18" t="n">
        <v>2.73249865303608</v>
      </c>
      <c r="O52" s="18" t="n">
        <v>3.00775764634949</v>
      </c>
      <c r="P52" s="18" t="n">
        <v>878</v>
      </c>
      <c r="Q52" s="18" t="n">
        <v>12354</v>
      </c>
      <c r="R52" s="18" t="n">
        <v>4296</v>
      </c>
      <c r="S52" s="18" t="n">
        <v>12472</v>
      </c>
      <c r="T52" s="0" t="n">
        <v>4.63414981969976</v>
      </c>
      <c r="U52" s="0" t="n">
        <v>8.10833111037516</v>
      </c>
      <c r="V52" s="0" t="n">
        <v>6.37124046503746</v>
      </c>
      <c r="W52" s="0" t="n">
        <v>0.783172611313687</v>
      </c>
      <c r="X52" s="0" t="n">
        <v>0.620619028372167</v>
      </c>
    </row>
    <row r="53" customFormat="false" ht="12" hidden="false" customHeight="false" outlineLevel="0" collapsed="false">
      <c r="A53" s="0" t="n">
        <v>0.67</v>
      </c>
      <c r="B53" s="0" t="n">
        <v>3</v>
      </c>
      <c r="C53" s="0" t="n">
        <v>2</v>
      </c>
      <c r="D53" s="0" t="n">
        <v>0.5</v>
      </c>
      <c r="E53" s="0" t="n">
        <v>-0.15</v>
      </c>
      <c r="F53" s="0" t="n">
        <v>0</v>
      </c>
      <c r="G53" s="0" t="n">
        <v>0</v>
      </c>
      <c r="H53" s="18"/>
      <c r="I53" s="18" t="n">
        <v>38.7008595410846</v>
      </c>
      <c r="J53" s="18"/>
      <c r="K53" s="18" t="n">
        <v>4.04419999937817</v>
      </c>
      <c r="L53" s="18"/>
      <c r="M53" s="18" t="n">
        <v>21.698282453438</v>
      </c>
      <c r="N53" s="18"/>
      <c r="O53" s="18" t="n">
        <v>2.5669700958552</v>
      </c>
      <c r="P53" s="18" t="n">
        <v>0</v>
      </c>
      <c r="Q53" s="18" t="n">
        <v>15013</v>
      </c>
      <c r="R53" s="18" t="n">
        <v>0</v>
      </c>
      <c r="S53" s="18" t="n">
        <v>14987</v>
      </c>
      <c r="U53" s="0" t="n">
        <v>21.3725297702314</v>
      </c>
      <c r="X53" s="0" t="n">
        <v>0</v>
      </c>
    </row>
    <row r="54" customFormat="false" ht="12" hidden="false" customHeight="false" outlineLevel="0" collapsed="false">
      <c r="A54" s="0" t="n">
        <v>0.67</v>
      </c>
      <c r="B54" s="0" t="n">
        <v>2.8</v>
      </c>
      <c r="C54" s="0" t="n">
        <v>2</v>
      </c>
      <c r="D54" s="0" t="n">
        <v>0.5</v>
      </c>
      <c r="E54" s="0" t="n">
        <v>-0.15</v>
      </c>
      <c r="F54" s="0" t="n">
        <v>0</v>
      </c>
      <c r="G54" s="0" t="n">
        <v>1</v>
      </c>
      <c r="H54" s="18" t="n">
        <v>4.52011005481076</v>
      </c>
      <c r="I54" s="18"/>
      <c r="J54" s="18" t="n">
        <v>4.16731680714323</v>
      </c>
      <c r="K54" s="18"/>
      <c r="L54" s="18" t="n">
        <v>2.20873293598992</v>
      </c>
      <c r="M54" s="18"/>
      <c r="N54" s="18" t="n">
        <v>2.50825568122895</v>
      </c>
      <c r="O54" s="18"/>
      <c r="P54" s="18" t="n">
        <v>11658</v>
      </c>
      <c r="Q54" s="18" t="n">
        <v>0</v>
      </c>
      <c r="R54" s="18" t="n">
        <v>18342</v>
      </c>
      <c r="S54" s="18" t="n">
        <v>0</v>
      </c>
      <c r="T54" s="0" t="n">
        <v>4.34371343097699</v>
      </c>
      <c r="W54" s="0" t="n">
        <v>0.701495426785868</v>
      </c>
    </row>
    <row r="55" customFormat="false" ht="12" hidden="false" customHeight="false" outlineLevel="0" collapsed="false">
      <c r="A55" s="0" t="n">
        <v>0.67</v>
      </c>
      <c r="B55" s="0" t="n">
        <v>2.8</v>
      </c>
      <c r="C55" s="0" t="n">
        <v>2</v>
      </c>
      <c r="D55" s="0" t="n">
        <v>0.5</v>
      </c>
      <c r="E55" s="0" t="n">
        <v>-0.15</v>
      </c>
      <c r="F55" s="0" t="n">
        <v>0</v>
      </c>
      <c r="G55" s="0" t="n">
        <v>0.83</v>
      </c>
      <c r="H55" s="18" t="n">
        <v>4.43716934597334</v>
      </c>
      <c r="I55" s="18" t="n">
        <v>5.08906729610097</v>
      </c>
      <c r="J55" s="18" t="n">
        <v>4.09601171552576</v>
      </c>
      <c r="K55" s="18" t="n">
        <v>4.51146736605715</v>
      </c>
      <c r="L55" s="18" t="n">
        <v>2.17818377951191</v>
      </c>
      <c r="M55" s="18" t="n">
        <v>2.35253013495711</v>
      </c>
      <c r="N55" s="18" t="n">
        <v>2.4789140550474</v>
      </c>
      <c r="O55" s="18" t="n">
        <v>2.55614404767912</v>
      </c>
      <c r="P55" s="18" t="n">
        <v>9328</v>
      </c>
      <c r="Q55" s="18" t="n">
        <v>2518</v>
      </c>
      <c r="R55" s="18" t="n">
        <v>15612</v>
      </c>
      <c r="S55" s="18" t="n">
        <v>2542</v>
      </c>
      <c r="T55" s="0" t="n">
        <v>4.26659053074955</v>
      </c>
      <c r="U55" s="0" t="n">
        <v>4.80026733107906</v>
      </c>
      <c r="V55" s="0" t="n">
        <v>4.5334289309143</v>
      </c>
      <c r="W55" s="0" t="n">
        <v>0.706795393918426</v>
      </c>
      <c r="X55" s="0" t="n">
        <v>0.670120560726032</v>
      </c>
    </row>
    <row r="56" customFormat="false" ht="12" hidden="false" customHeight="false" outlineLevel="0" collapsed="false">
      <c r="A56" s="0" t="n">
        <v>0.67</v>
      </c>
      <c r="B56" s="0" t="n">
        <v>2.8</v>
      </c>
      <c r="C56" s="0" t="n">
        <v>2</v>
      </c>
      <c r="D56" s="0" t="n">
        <v>0.5</v>
      </c>
      <c r="E56" s="0" t="n">
        <v>-0.15</v>
      </c>
      <c r="F56" s="0" t="n">
        <v>0</v>
      </c>
      <c r="G56" s="0" t="n">
        <v>0.67</v>
      </c>
      <c r="H56" s="18" t="n">
        <v>4.4037355419081</v>
      </c>
      <c r="I56" s="18" t="n">
        <v>5.35879928828711</v>
      </c>
      <c r="J56" s="18" t="n">
        <v>4.04771242997019</v>
      </c>
      <c r="K56" s="18" t="n">
        <v>4.50193489631758</v>
      </c>
      <c r="L56" s="18" t="n">
        <v>2.0745192555021</v>
      </c>
      <c r="M56" s="18" t="n">
        <v>2.51629250943811</v>
      </c>
      <c r="N56" s="18" t="n">
        <v>2.37167548312837</v>
      </c>
      <c r="O56" s="18" t="n">
        <v>2.47971698361811</v>
      </c>
      <c r="P56" s="18" t="n">
        <v>7094</v>
      </c>
      <c r="Q56" s="18" t="n">
        <v>5028</v>
      </c>
      <c r="R56" s="18" t="n">
        <v>12963</v>
      </c>
      <c r="S56" s="18" t="n">
        <v>4915</v>
      </c>
      <c r="T56" s="0" t="n">
        <v>4.22572398593914</v>
      </c>
      <c r="U56" s="0" t="n">
        <v>4.93036709230235</v>
      </c>
      <c r="V56" s="0" t="n">
        <v>4.57804553912075</v>
      </c>
      <c r="W56" s="0" t="n">
        <v>0.709603786026057</v>
      </c>
      <c r="X56" s="0" t="n">
        <v>0.661179967771104</v>
      </c>
    </row>
    <row r="57" customFormat="false" ht="12" hidden="false" customHeight="false" outlineLevel="0" collapsed="false">
      <c r="A57" s="0" t="n">
        <v>0.67</v>
      </c>
      <c r="B57" s="0" t="n">
        <v>2.8</v>
      </c>
      <c r="C57" s="0" t="n">
        <v>2</v>
      </c>
      <c r="D57" s="0" t="n">
        <v>0.5</v>
      </c>
      <c r="E57" s="0" t="n">
        <v>-0.15</v>
      </c>
      <c r="F57" s="0" t="n">
        <v>0</v>
      </c>
      <c r="G57" s="0" t="n">
        <v>0.5</v>
      </c>
      <c r="H57" s="18" t="n">
        <v>4.45140979778052</v>
      </c>
      <c r="I57" s="18" t="n">
        <v>5.78885639344427</v>
      </c>
      <c r="J57" s="18" t="n">
        <v>4.0357254573973</v>
      </c>
      <c r="K57" s="18" t="n">
        <v>4.53933654788913</v>
      </c>
      <c r="L57" s="18" t="n">
        <v>2.21283188090949</v>
      </c>
      <c r="M57" s="18" t="n">
        <v>3.02136823173335</v>
      </c>
      <c r="N57" s="18" t="n">
        <v>2.47367567537015</v>
      </c>
      <c r="O57" s="18" t="n">
        <v>2.67183409974323</v>
      </c>
      <c r="P57" s="18" t="n">
        <v>4976</v>
      </c>
      <c r="Q57" s="18" t="n">
        <v>7432</v>
      </c>
      <c r="R57" s="18" t="n">
        <v>10148</v>
      </c>
      <c r="S57" s="18" t="n">
        <v>7444</v>
      </c>
      <c r="T57" s="0" t="n">
        <v>4.24356762758891</v>
      </c>
      <c r="U57" s="0" t="n">
        <v>5.1640964706667</v>
      </c>
      <c r="V57" s="0" t="n">
        <v>4.70383204912781</v>
      </c>
      <c r="W57" s="0" t="n">
        <v>0.708377552131974</v>
      </c>
      <c r="X57" s="0" t="n">
        <v>0.645117838110639</v>
      </c>
    </row>
    <row r="58" customFormat="false" ht="12" hidden="false" customHeight="false" outlineLevel="0" collapsed="false">
      <c r="A58" s="0" t="n">
        <v>0.67</v>
      </c>
      <c r="B58" s="0" t="n">
        <v>2.8</v>
      </c>
      <c r="C58" s="0" t="n">
        <v>2</v>
      </c>
      <c r="D58" s="0" t="n">
        <v>0.5</v>
      </c>
      <c r="E58" s="0" t="n">
        <v>-0.15</v>
      </c>
      <c r="F58" s="0" t="n">
        <v>0</v>
      </c>
      <c r="G58" s="0" t="n">
        <v>0.33</v>
      </c>
      <c r="H58" s="18" t="n">
        <v>4.30976434688235</v>
      </c>
      <c r="I58" s="18" t="n">
        <v>6.26200261790136</v>
      </c>
      <c r="J58" s="18" t="n">
        <v>3.8672843011008</v>
      </c>
      <c r="K58" s="18" t="n">
        <v>4.34121192113552</v>
      </c>
      <c r="L58" s="18" t="n">
        <v>2.02784234395112</v>
      </c>
      <c r="M58" s="18" t="n">
        <v>3.4124427099001</v>
      </c>
      <c r="N58" s="18" t="n">
        <v>2.24019160777165</v>
      </c>
      <c r="O58" s="18" t="n">
        <v>2.46155743172862</v>
      </c>
      <c r="P58" s="18" t="n">
        <v>2916</v>
      </c>
      <c r="Q58" s="18" t="n">
        <v>10006</v>
      </c>
      <c r="R58" s="18" t="n">
        <v>7048</v>
      </c>
      <c r="S58" s="18" t="n">
        <v>10030</v>
      </c>
      <c r="T58" s="0" t="n">
        <v>4.08852432399158</v>
      </c>
      <c r="U58" s="0" t="n">
        <v>5.30160726951844</v>
      </c>
      <c r="V58" s="0" t="n">
        <v>4.69506579675501</v>
      </c>
      <c r="W58" s="0" t="n">
        <v>0.719032291655069</v>
      </c>
      <c r="X58" s="0" t="n">
        <v>0.635667950825064</v>
      </c>
    </row>
    <row r="59" customFormat="false" ht="12" hidden="false" customHeight="false" outlineLevel="0" collapsed="false">
      <c r="A59" s="0" t="n">
        <v>0.67</v>
      </c>
      <c r="B59" s="0" t="n">
        <v>2.8</v>
      </c>
      <c r="C59" s="0" t="n">
        <v>2</v>
      </c>
      <c r="D59" s="0" t="n">
        <v>0.5</v>
      </c>
      <c r="E59" s="0" t="n">
        <v>-0.15</v>
      </c>
      <c r="F59" s="0" t="n">
        <v>0</v>
      </c>
      <c r="G59" s="0" t="n">
        <v>0.17</v>
      </c>
      <c r="H59" s="18" t="n">
        <v>4.39283990050127</v>
      </c>
      <c r="I59" s="18" t="n">
        <v>8.5750478214969</v>
      </c>
      <c r="J59" s="18" t="n">
        <v>4.01251403772369</v>
      </c>
      <c r="K59" s="18" t="n">
        <v>4.42687048850842</v>
      </c>
      <c r="L59" s="18" t="n">
        <v>2.14679997800425</v>
      </c>
      <c r="M59" s="18" t="n">
        <v>5.5235374853379</v>
      </c>
      <c r="N59" s="18" t="n">
        <v>2.45145187113291</v>
      </c>
      <c r="O59" s="18" t="n">
        <v>2.6703741915967</v>
      </c>
      <c r="P59" s="18" t="n">
        <v>1113</v>
      </c>
      <c r="Q59" s="18" t="n">
        <v>12439</v>
      </c>
      <c r="R59" s="18" t="n">
        <v>3962</v>
      </c>
      <c r="S59" s="18" t="n">
        <v>12486</v>
      </c>
      <c r="T59" s="0" t="n">
        <v>4.20267696911248</v>
      </c>
      <c r="U59" s="0" t="n">
        <v>6.50095915500266</v>
      </c>
      <c r="V59" s="0" t="n">
        <v>5.35181806205757</v>
      </c>
      <c r="W59" s="0" t="n">
        <v>0.711187601356194</v>
      </c>
      <c r="X59" s="0" t="n">
        <v>0.553247222938899</v>
      </c>
    </row>
    <row r="60" customFormat="false" ht="12" hidden="false" customHeight="false" outlineLevel="0" collapsed="false">
      <c r="A60" s="0" t="n">
        <v>0.67</v>
      </c>
      <c r="B60" s="0" t="n">
        <v>2.8</v>
      </c>
      <c r="C60" s="0" t="n">
        <v>2</v>
      </c>
      <c r="D60" s="0" t="n">
        <v>0.5</v>
      </c>
      <c r="E60" s="0" t="n">
        <v>-0.15</v>
      </c>
      <c r="F60" s="0" t="n">
        <v>0</v>
      </c>
      <c r="G60" s="0" t="n">
        <v>0</v>
      </c>
      <c r="H60" s="18"/>
      <c r="I60" s="18" t="n">
        <v>25.1828507444635</v>
      </c>
      <c r="J60" s="18"/>
      <c r="K60" s="18" t="n">
        <v>3.92031095390715</v>
      </c>
      <c r="L60" s="18"/>
      <c r="M60" s="18" t="n">
        <v>15.5052340392267</v>
      </c>
      <c r="N60" s="18"/>
      <c r="O60" s="18" t="n">
        <v>2.34015404827612</v>
      </c>
      <c r="P60" s="18" t="n">
        <v>0</v>
      </c>
      <c r="Q60" s="18" t="n">
        <v>15250</v>
      </c>
      <c r="R60" s="18" t="n">
        <v>0</v>
      </c>
      <c r="S60" s="18" t="n">
        <v>14750</v>
      </c>
      <c r="U60" s="0" t="n">
        <v>14.5515808491853</v>
      </c>
      <c r="X60" s="0" t="n">
        <v>0</v>
      </c>
    </row>
    <row r="61" customFormat="false" ht="12" hidden="false" customHeight="false" outlineLevel="0" collapsed="false">
      <c r="A61" s="0" t="n">
        <v>0.67</v>
      </c>
      <c r="B61" s="0" t="n">
        <v>2.6</v>
      </c>
      <c r="C61" s="0" t="n">
        <v>2</v>
      </c>
      <c r="D61" s="0" t="n">
        <v>0.5</v>
      </c>
      <c r="E61" s="0" t="n">
        <v>-0.15</v>
      </c>
      <c r="F61" s="0" t="n">
        <v>0</v>
      </c>
      <c r="G61" s="0" t="n">
        <v>1</v>
      </c>
      <c r="H61" s="18" t="n">
        <v>4.1008610973657</v>
      </c>
      <c r="I61" s="18"/>
      <c r="J61" s="18" t="n">
        <v>3.63591548727699</v>
      </c>
      <c r="K61" s="18"/>
      <c r="L61" s="18" t="n">
        <v>1.99473246929086</v>
      </c>
      <c r="M61" s="18"/>
      <c r="N61" s="18" t="n">
        <v>2.05565584766845</v>
      </c>
      <c r="O61" s="18"/>
      <c r="P61" s="18" t="n">
        <v>12059</v>
      </c>
      <c r="Q61" s="18" t="n">
        <v>0</v>
      </c>
      <c r="R61" s="18" t="n">
        <v>17941</v>
      </c>
      <c r="S61" s="18" t="n">
        <v>0</v>
      </c>
      <c r="T61" s="0" t="n">
        <v>3.86838829232134</v>
      </c>
      <c r="W61" s="0" t="n">
        <v>0.493736103026654</v>
      </c>
    </row>
    <row r="62" customFormat="false" ht="12" hidden="false" customHeight="false" outlineLevel="0" collapsed="false">
      <c r="A62" s="0" t="n">
        <v>0.67</v>
      </c>
      <c r="B62" s="0" t="n">
        <v>2.6</v>
      </c>
      <c r="C62" s="0" t="n">
        <v>2</v>
      </c>
      <c r="D62" s="0" t="n">
        <v>0.5</v>
      </c>
      <c r="E62" s="0" t="n">
        <v>-0.15</v>
      </c>
      <c r="F62" s="0" t="n">
        <v>0</v>
      </c>
      <c r="G62" s="0" t="n">
        <v>0.83</v>
      </c>
      <c r="H62" s="18" t="n">
        <v>4.02693462066874</v>
      </c>
      <c r="I62" s="18" t="n">
        <v>4.67669556018131</v>
      </c>
      <c r="J62" s="18" t="n">
        <v>3.53382684118256</v>
      </c>
      <c r="K62" s="18" t="n">
        <v>4.1131658655096</v>
      </c>
      <c r="L62" s="18" t="n">
        <v>1.8167543556821</v>
      </c>
      <c r="M62" s="18" t="n">
        <v>2.15809351251056</v>
      </c>
      <c r="N62" s="18" t="n">
        <v>1.87746649037043</v>
      </c>
      <c r="O62" s="18" t="n">
        <v>2.05643650599046</v>
      </c>
      <c r="P62" s="18" t="n">
        <v>9580</v>
      </c>
      <c r="Q62" s="18" t="n">
        <v>2640</v>
      </c>
      <c r="R62" s="18" t="n">
        <v>15289</v>
      </c>
      <c r="S62" s="18" t="n">
        <v>2491</v>
      </c>
      <c r="T62" s="0" t="n">
        <v>3.78038073092565</v>
      </c>
      <c r="U62" s="0" t="n">
        <v>4.39493071284546</v>
      </c>
      <c r="V62" s="0" t="n">
        <v>4.08765572188555</v>
      </c>
      <c r="W62" s="0" t="n">
        <v>0.505253832796373</v>
      </c>
      <c r="X62" s="0" t="n">
        <v>0.424826418271002</v>
      </c>
    </row>
    <row r="63" customFormat="false" ht="12" hidden="false" customHeight="false" outlineLevel="0" collapsed="false">
      <c r="A63" s="0" t="n">
        <v>0.67</v>
      </c>
      <c r="B63" s="0" t="n">
        <v>2.6</v>
      </c>
      <c r="C63" s="0" t="n">
        <v>2</v>
      </c>
      <c r="D63" s="0" t="n">
        <v>0.5</v>
      </c>
      <c r="E63" s="0" t="n">
        <v>-0.15</v>
      </c>
      <c r="F63" s="0" t="n">
        <v>0</v>
      </c>
      <c r="G63" s="0" t="n">
        <v>0.67</v>
      </c>
      <c r="H63" s="18" t="n">
        <v>4.11546136343838</v>
      </c>
      <c r="I63" s="18" t="n">
        <v>4.73789552412575</v>
      </c>
      <c r="J63" s="18" t="n">
        <v>3.61323793614894</v>
      </c>
      <c r="K63" s="18" t="n">
        <v>4.12706882221752</v>
      </c>
      <c r="L63" s="18" t="n">
        <v>1.92338260312389</v>
      </c>
      <c r="M63" s="18" t="n">
        <v>2.26694362197158</v>
      </c>
      <c r="N63" s="18" t="n">
        <v>2.03496929433993</v>
      </c>
      <c r="O63" s="18" t="n">
        <v>2.17865523342499</v>
      </c>
      <c r="P63" s="18" t="n">
        <v>7594</v>
      </c>
      <c r="Q63" s="18" t="n">
        <v>4898</v>
      </c>
      <c r="R63" s="18" t="n">
        <v>12613</v>
      </c>
      <c r="S63" s="18" t="n">
        <v>4895</v>
      </c>
      <c r="T63" s="0" t="n">
        <v>3.86434964979366</v>
      </c>
      <c r="U63" s="0" t="n">
        <v>4.43248217317164</v>
      </c>
      <c r="V63" s="0" t="n">
        <v>4.14841591148265</v>
      </c>
      <c r="W63" s="0" t="n">
        <v>0.494264648444031</v>
      </c>
      <c r="X63" s="0" t="n">
        <v>0.419911981765363</v>
      </c>
    </row>
    <row r="64" customFormat="false" ht="12" hidden="false" customHeight="false" outlineLevel="0" collapsed="false">
      <c r="A64" s="0" t="n">
        <v>0.67</v>
      </c>
      <c r="B64" s="0" t="n">
        <v>2.6</v>
      </c>
      <c r="C64" s="0" t="n">
        <v>2</v>
      </c>
      <c r="D64" s="0" t="n">
        <v>0.5</v>
      </c>
      <c r="E64" s="0" t="n">
        <v>-0.15</v>
      </c>
      <c r="F64" s="0" t="n">
        <v>0</v>
      </c>
      <c r="G64" s="0" t="n">
        <v>0.5</v>
      </c>
      <c r="H64" s="18" t="n">
        <v>4.1663162761242</v>
      </c>
      <c r="I64" s="18" t="n">
        <v>5.20005986160324</v>
      </c>
      <c r="J64" s="18" t="n">
        <v>3.65049115590321</v>
      </c>
      <c r="K64" s="18" t="n">
        <v>4.25609267928386</v>
      </c>
      <c r="L64" s="18" t="n">
        <v>2.02091918521437</v>
      </c>
      <c r="M64" s="18" t="n">
        <v>2.6999638187093</v>
      </c>
      <c r="N64" s="18" t="n">
        <v>2.10892441522056</v>
      </c>
      <c r="O64" s="18" t="n">
        <v>2.39179804967181</v>
      </c>
      <c r="P64" s="18" t="n">
        <v>5292</v>
      </c>
      <c r="Q64" s="18" t="n">
        <v>7486</v>
      </c>
      <c r="R64" s="18" t="n">
        <v>9658</v>
      </c>
      <c r="S64" s="18" t="n">
        <v>7564</v>
      </c>
      <c r="T64" s="0" t="n">
        <v>3.9084037160137</v>
      </c>
      <c r="U64" s="0" t="n">
        <v>4.72807627044355</v>
      </c>
      <c r="V64" s="0" t="n">
        <v>4.31823999322863</v>
      </c>
      <c r="W64" s="0" t="n">
        <v>0.488499202589914</v>
      </c>
      <c r="X64" s="0" t="n">
        <v>0.381226976978163</v>
      </c>
    </row>
    <row r="65" customFormat="false" ht="12" hidden="false" customHeight="false" outlineLevel="0" collapsed="false">
      <c r="A65" s="0" t="n">
        <v>0.67</v>
      </c>
      <c r="B65" s="0" t="n">
        <v>2.6</v>
      </c>
      <c r="C65" s="0" t="n">
        <v>2</v>
      </c>
      <c r="D65" s="0" t="n">
        <v>0.5</v>
      </c>
      <c r="E65" s="0" t="n">
        <v>-0.15</v>
      </c>
      <c r="F65" s="0" t="n">
        <v>0</v>
      </c>
      <c r="G65" s="0" t="n">
        <v>0.33</v>
      </c>
      <c r="H65" s="18" t="n">
        <v>4.02653967157746</v>
      </c>
      <c r="I65" s="18" t="n">
        <v>5.67679321810449</v>
      </c>
      <c r="J65" s="18" t="n">
        <v>3.55851317062702</v>
      </c>
      <c r="K65" s="18" t="n">
        <v>4.15465936578615</v>
      </c>
      <c r="L65" s="18" t="n">
        <v>1.94110129225596</v>
      </c>
      <c r="M65" s="18" t="n">
        <v>3.27321164918268</v>
      </c>
      <c r="N65" s="18" t="n">
        <v>2.01047460167214</v>
      </c>
      <c r="O65" s="18" t="n">
        <v>2.28037861098228</v>
      </c>
      <c r="P65" s="18" t="n">
        <v>3332</v>
      </c>
      <c r="Q65" s="18" t="n">
        <v>9866</v>
      </c>
      <c r="R65" s="18" t="n">
        <v>6643</v>
      </c>
      <c r="S65" s="18" t="n">
        <v>10159</v>
      </c>
      <c r="T65" s="0" t="n">
        <v>3.79252642110224</v>
      </c>
      <c r="U65" s="0" t="n">
        <v>4.91572629194532</v>
      </c>
      <c r="V65" s="0" t="n">
        <v>4.35412635652378</v>
      </c>
      <c r="W65" s="0" t="n">
        <v>0.503664301452677</v>
      </c>
      <c r="X65" s="0" t="n">
        <v>0.356668834420139</v>
      </c>
    </row>
    <row r="66" customFormat="false" ht="12" hidden="false" customHeight="false" outlineLevel="0" collapsed="false">
      <c r="A66" s="0" t="n">
        <v>0.67</v>
      </c>
      <c r="B66" s="0" t="n">
        <v>2.6</v>
      </c>
      <c r="C66" s="0" t="n">
        <v>2</v>
      </c>
      <c r="D66" s="0" t="n">
        <v>0.5</v>
      </c>
      <c r="E66" s="0" t="n">
        <v>-0.15</v>
      </c>
      <c r="F66" s="0" t="n">
        <v>0</v>
      </c>
      <c r="G66" s="0" t="n">
        <v>0.17</v>
      </c>
      <c r="H66" s="18" t="n">
        <v>4.08838814655103</v>
      </c>
      <c r="I66" s="18" t="n">
        <v>6.80062824197761</v>
      </c>
      <c r="J66" s="18" t="n">
        <v>3.52866732592204</v>
      </c>
      <c r="K66" s="18" t="n">
        <v>4.23314329973958</v>
      </c>
      <c r="L66" s="18" t="n">
        <v>1.9379705347123</v>
      </c>
      <c r="M66" s="18" t="n">
        <v>4.31947340183875</v>
      </c>
      <c r="N66" s="18" t="n">
        <v>2.03139304615867</v>
      </c>
      <c r="O66" s="18" t="n">
        <v>2.53988398915494</v>
      </c>
      <c r="P66" s="18" t="n">
        <v>1390</v>
      </c>
      <c r="Q66" s="18" t="n">
        <v>12553</v>
      </c>
      <c r="R66" s="18" t="n">
        <v>3566</v>
      </c>
      <c r="S66" s="18" t="n">
        <v>12491</v>
      </c>
      <c r="T66" s="0" t="n">
        <v>3.80852773623653</v>
      </c>
      <c r="U66" s="0" t="n">
        <v>5.51688577085859</v>
      </c>
      <c r="V66" s="0" t="n">
        <v>4.66270675354756</v>
      </c>
      <c r="W66" s="0" t="n">
        <v>0.501570176575745</v>
      </c>
      <c r="X66" s="0" t="n">
        <v>0.277993862442477</v>
      </c>
    </row>
    <row r="67" customFormat="false" ht="12" hidden="false" customHeight="false" outlineLevel="0" collapsed="false">
      <c r="A67" s="0" t="n">
        <v>0.67</v>
      </c>
      <c r="B67" s="0" t="n">
        <v>2.6</v>
      </c>
      <c r="C67" s="0" t="n">
        <v>2</v>
      </c>
      <c r="D67" s="0" t="n">
        <v>0.5</v>
      </c>
      <c r="E67" s="0" t="n">
        <v>-0.15</v>
      </c>
      <c r="F67" s="0" t="n">
        <v>0</v>
      </c>
      <c r="G67" s="0" t="n">
        <v>0</v>
      </c>
      <c r="H67" s="18"/>
      <c r="I67" s="18" t="n">
        <v>11.403839985922</v>
      </c>
      <c r="J67" s="18"/>
      <c r="K67" s="18" t="n">
        <v>3.87826215664897</v>
      </c>
      <c r="L67" s="18"/>
      <c r="M67" s="18" t="n">
        <v>8.09853378826149</v>
      </c>
      <c r="N67" s="18"/>
      <c r="O67" s="18" t="n">
        <v>2.30695035203334</v>
      </c>
      <c r="P67" s="18" t="n">
        <v>0</v>
      </c>
      <c r="Q67" s="18" t="n">
        <v>14990</v>
      </c>
      <c r="R67" s="18" t="n">
        <v>0</v>
      </c>
      <c r="S67" s="18" t="n">
        <v>15010</v>
      </c>
      <c r="U67" s="0" t="n">
        <v>7.64105107128546</v>
      </c>
      <c r="X67" s="0" t="n">
        <v>0</v>
      </c>
    </row>
    <row r="68" customFormat="false" ht="12" hidden="false" customHeight="false" outlineLevel="0" collapsed="false">
      <c r="A68" s="0" t="n">
        <v>0.67</v>
      </c>
      <c r="B68" s="0" t="n">
        <v>2.4</v>
      </c>
      <c r="C68" s="0" t="n">
        <v>2</v>
      </c>
      <c r="D68" s="0" t="n">
        <v>0.5</v>
      </c>
      <c r="E68" s="0" t="n">
        <v>-0.15</v>
      </c>
      <c r="F68" s="0" t="n">
        <v>0</v>
      </c>
      <c r="G68" s="0" t="n">
        <v>1</v>
      </c>
      <c r="H68" s="18" t="n">
        <v>3.63534118079887</v>
      </c>
      <c r="I68" s="18"/>
      <c r="J68" s="18" t="n">
        <v>3.38325935041194</v>
      </c>
      <c r="K68" s="18"/>
      <c r="L68" s="18" t="n">
        <v>1.72602570678709</v>
      </c>
      <c r="M68" s="18"/>
      <c r="N68" s="18" t="n">
        <v>1.6758006067026</v>
      </c>
      <c r="O68" s="18"/>
      <c r="P68" s="18" t="n">
        <v>12269</v>
      </c>
      <c r="Q68" s="18" t="n">
        <v>0</v>
      </c>
      <c r="R68" s="18" t="n">
        <v>17731</v>
      </c>
      <c r="S68" s="18" t="n">
        <v>0</v>
      </c>
      <c r="T68" s="0" t="n">
        <v>3.5093002656054</v>
      </c>
      <c r="W68" s="0" t="n">
        <v>0.383132960606647</v>
      </c>
    </row>
    <row r="69" customFormat="false" ht="12" hidden="false" customHeight="false" outlineLevel="0" collapsed="false">
      <c r="A69" s="0" t="n">
        <v>0.67</v>
      </c>
      <c r="B69" s="0" t="n">
        <v>2.4</v>
      </c>
      <c r="C69" s="0" t="n">
        <v>2</v>
      </c>
      <c r="D69" s="0" t="n">
        <v>0.5</v>
      </c>
      <c r="E69" s="0" t="n">
        <v>-0.15</v>
      </c>
      <c r="F69" s="0" t="n">
        <v>0</v>
      </c>
      <c r="G69" s="0" t="n">
        <v>0.83</v>
      </c>
      <c r="H69" s="18" t="n">
        <v>3.67683981845261</v>
      </c>
      <c r="I69" s="18" t="n">
        <v>4.11413839828148</v>
      </c>
      <c r="J69" s="18" t="n">
        <v>3.37508980144937</v>
      </c>
      <c r="K69" s="18" t="n">
        <v>3.93422797721789</v>
      </c>
      <c r="L69" s="18" t="n">
        <v>1.77519599403783</v>
      </c>
      <c r="M69" s="18" t="n">
        <v>1.9867851339394</v>
      </c>
      <c r="N69" s="18" t="n">
        <v>1.71850432751927</v>
      </c>
      <c r="O69" s="18" t="n">
        <v>1.95408229045648</v>
      </c>
      <c r="P69" s="18" t="n">
        <v>10082</v>
      </c>
      <c r="Q69" s="18" t="n">
        <v>2459</v>
      </c>
      <c r="R69" s="18" t="n">
        <v>14909</v>
      </c>
      <c r="S69" s="18" t="n">
        <v>2550</v>
      </c>
      <c r="T69" s="0" t="n">
        <v>3.52596480995099</v>
      </c>
      <c r="U69" s="0" t="n">
        <v>4.02418318774969</v>
      </c>
      <c r="V69" s="0" t="n">
        <v>3.77507399885034</v>
      </c>
      <c r="W69" s="0" t="n">
        <v>0.380203656370685</v>
      </c>
      <c r="X69" s="0" t="n">
        <v>0.292626512090322</v>
      </c>
    </row>
    <row r="70" customFormat="false" ht="12" hidden="false" customHeight="false" outlineLevel="0" collapsed="false">
      <c r="A70" s="0" t="n">
        <v>0.67</v>
      </c>
      <c r="B70" s="0" t="n">
        <v>2.4</v>
      </c>
      <c r="C70" s="0" t="n">
        <v>2</v>
      </c>
      <c r="D70" s="0" t="n">
        <v>0.5</v>
      </c>
      <c r="E70" s="0" t="n">
        <v>-0.15</v>
      </c>
      <c r="F70" s="0" t="n">
        <v>0</v>
      </c>
      <c r="G70" s="0" t="n">
        <v>0.67</v>
      </c>
      <c r="H70" s="18" t="n">
        <v>3.75249052331158</v>
      </c>
      <c r="I70" s="18" t="n">
        <v>4.26911819848454</v>
      </c>
      <c r="J70" s="18" t="n">
        <v>3.40035854154151</v>
      </c>
      <c r="K70" s="18" t="n">
        <v>3.94413860021586</v>
      </c>
      <c r="L70" s="18" t="n">
        <v>1.83843117475279</v>
      </c>
      <c r="M70" s="18" t="n">
        <v>2.10314178949302</v>
      </c>
      <c r="N70" s="18" t="n">
        <v>1.75118746249646</v>
      </c>
      <c r="O70" s="18" t="n">
        <v>1.98465909625487</v>
      </c>
      <c r="P70" s="18" t="n">
        <v>7838</v>
      </c>
      <c r="Q70" s="18" t="n">
        <v>5025</v>
      </c>
      <c r="R70" s="18" t="n">
        <v>12337</v>
      </c>
      <c r="S70" s="18" t="n">
        <v>4800</v>
      </c>
      <c r="T70" s="0" t="n">
        <v>3.57642453242654</v>
      </c>
      <c r="U70" s="0" t="n">
        <v>4.1066283993502</v>
      </c>
      <c r="V70" s="0" t="n">
        <v>3.84152646588837</v>
      </c>
      <c r="W70" s="0" t="n">
        <v>0.371333814163913</v>
      </c>
      <c r="X70" s="0" t="n">
        <v>0.278134240200504</v>
      </c>
    </row>
    <row r="71" customFormat="false" ht="12" hidden="false" customHeight="false" outlineLevel="0" collapsed="false">
      <c r="A71" s="0" t="n">
        <v>0.67</v>
      </c>
      <c r="B71" s="0" t="n">
        <v>2.4</v>
      </c>
      <c r="C71" s="0" t="n">
        <v>2</v>
      </c>
      <c r="D71" s="0" t="n">
        <v>0.5</v>
      </c>
      <c r="E71" s="0" t="n">
        <v>-0.15</v>
      </c>
      <c r="F71" s="0" t="n">
        <v>0</v>
      </c>
      <c r="G71" s="0" t="n">
        <v>0.5</v>
      </c>
      <c r="H71" s="18" t="n">
        <v>3.74852338720614</v>
      </c>
      <c r="I71" s="18" t="n">
        <v>4.48160368511568</v>
      </c>
      <c r="J71" s="18" t="n">
        <v>3.36970443246231</v>
      </c>
      <c r="K71" s="18" t="n">
        <v>4.04467427952974</v>
      </c>
      <c r="L71" s="18" t="n">
        <v>1.8746899377511</v>
      </c>
      <c r="M71" s="18" t="n">
        <v>2.29150600809731</v>
      </c>
      <c r="N71" s="18" t="n">
        <v>1.77248045849356</v>
      </c>
      <c r="O71" s="18" t="n">
        <v>2.14571211990238</v>
      </c>
      <c r="P71" s="18" t="n">
        <v>5554</v>
      </c>
      <c r="Q71" s="18" t="n">
        <v>7532</v>
      </c>
      <c r="R71" s="18" t="n">
        <v>9359</v>
      </c>
      <c r="S71" s="18" t="n">
        <v>7555</v>
      </c>
      <c r="T71" s="0" t="n">
        <v>3.55911390983423</v>
      </c>
      <c r="U71" s="0" t="n">
        <v>4.26313898232271</v>
      </c>
      <c r="V71" s="0" t="n">
        <v>3.91112644607847</v>
      </c>
      <c r="W71" s="0" t="n">
        <v>0.374376686446241</v>
      </c>
      <c r="X71" s="0" t="n">
        <v>0.250622710082027</v>
      </c>
    </row>
    <row r="72" customFormat="false" ht="12" hidden="false" customHeight="false" outlineLevel="0" collapsed="false">
      <c r="A72" s="0" t="n">
        <v>0.67</v>
      </c>
      <c r="B72" s="0" t="n">
        <v>2.4</v>
      </c>
      <c r="C72" s="0" t="n">
        <v>2</v>
      </c>
      <c r="D72" s="0" t="n">
        <v>0.5</v>
      </c>
      <c r="E72" s="0" t="n">
        <v>-0.15</v>
      </c>
      <c r="F72" s="0" t="n">
        <v>0</v>
      </c>
      <c r="G72" s="0" t="n">
        <v>0.33</v>
      </c>
      <c r="H72" s="18" t="n">
        <v>3.71592929658451</v>
      </c>
      <c r="I72" s="18" t="n">
        <v>4.73735027344995</v>
      </c>
      <c r="J72" s="18" t="n">
        <v>3.29446317690176</v>
      </c>
      <c r="K72" s="18" t="n">
        <v>4.03339094278075</v>
      </c>
      <c r="L72" s="18" t="n">
        <v>1.87549089054891</v>
      </c>
      <c r="M72" s="18" t="n">
        <v>2.55641396091661</v>
      </c>
      <c r="N72" s="18" t="n">
        <v>1.75556103662638</v>
      </c>
      <c r="O72" s="18" t="n">
        <v>2.20589320776849</v>
      </c>
      <c r="P72" s="18" t="n">
        <v>3588</v>
      </c>
      <c r="Q72" s="18" t="n">
        <v>9985</v>
      </c>
      <c r="R72" s="18" t="n">
        <v>6402</v>
      </c>
      <c r="S72" s="18" t="n">
        <v>10025</v>
      </c>
      <c r="T72" s="0" t="n">
        <v>3.50519623674313</v>
      </c>
      <c r="U72" s="0" t="n">
        <v>4.38537060811535</v>
      </c>
      <c r="V72" s="0" t="n">
        <v>3.94528342242924</v>
      </c>
      <c r="W72" s="0" t="n">
        <v>0.383854369418161</v>
      </c>
      <c r="X72" s="0" t="n">
        <v>0.229136756924372</v>
      </c>
    </row>
    <row r="73" customFormat="false" ht="12" hidden="false" customHeight="false" outlineLevel="0" collapsed="false">
      <c r="A73" s="0" t="n">
        <v>0.67</v>
      </c>
      <c r="B73" s="0" t="n">
        <v>2.4</v>
      </c>
      <c r="C73" s="0" t="n">
        <v>2</v>
      </c>
      <c r="D73" s="0" t="n">
        <v>0.5</v>
      </c>
      <c r="E73" s="0" t="n">
        <v>-0.15</v>
      </c>
      <c r="F73" s="0" t="n">
        <v>0</v>
      </c>
      <c r="G73" s="0" t="n">
        <v>0.17</v>
      </c>
      <c r="H73" s="18" t="n">
        <v>3.71310455071109</v>
      </c>
      <c r="I73" s="18" t="n">
        <v>5.46476150734387</v>
      </c>
      <c r="J73" s="18" t="n">
        <v>3.18760865333564</v>
      </c>
      <c r="K73" s="18" t="n">
        <v>4.01859476393225</v>
      </c>
      <c r="L73" s="18" t="n">
        <v>1.83606159640181</v>
      </c>
      <c r="M73" s="18" t="n">
        <v>3.42336064563289</v>
      </c>
      <c r="N73" s="18" t="n">
        <v>1.57707477566058</v>
      </c>
      <c r="O73" s="18" t="n">
        <v>2.27349450863027</v>
      </c>
      <c r="P73" s="18" t="n">
        <v>1681</v>
      </c>
      <c r="Q73" s="18" t="n">
        <v>12435</v>
      </c>
      <c r="R73" s="18" t="n">
        <v>3570</v>
      </c>
      <c r="S73" s="18" t="n">
        <v>12314</v>
      </c>
      <c r="T73" s="0" t="n">
        <v>3.45035660202336</v>
      </c>
      <c r="U73" s="0" t="n">
        <v>4.74167813563806</v>
      </c>
      <c r="V73" s="0" t="n">
        <v>4.09601736883071</v>
      </c>
      <c r="W73" s="0" t="n">
        <v>0.393494115393321</v>
      </c>
      <c r="X73" s="0" t="n">
        <v>0.166504792435411</v>
      </c>
    </row>
    <row r="74" customFormat="false" ht="12" hidden="false" customHeight="false" outlineLevel="0" collapsed="false">
      <c r="A74" s="0" t="n">
        <v>0.67</v>
      </c>
      <c r="B74" s="0" t="n">
        <v>2.4</v>
      </c>
      <c r="C74" s="0" t="n">
        <v>2</v>
      </c>
      <c r="D74" s="0" t="n">
        <v>0.5</v>
      </c>
      <c r="E74" s="0" t="n">
        <v>-0.15</v>
      </c>
      <c r="F74" s="0" t="n">
        <v>0</v>
      </c>
      <c r="G74" s="0" t="n">
        <v>0</v>
      </c>
      <c r="H74" s="18"/>
      <c r="I74" s="18" t="n">
        <v>7.46203393215522</v>
      </c>
      <c r="J74" s="18"/>
      <c r="K74" s="18" t="n">
        <v>3.91578346284311</v>
      </c>
      <c r="L74" s="18"/>
      <c r="M74" s="18" t="n">
        <v>5.23546186696258</v>
      </c>
      <c r="N74" s="18"/>
      <c r="O74" s="18" t="n">
        <v>2.3417409406617</v>
      </c>
      <c r="P74" s="18" t="n">
        <v>0</v>
      </c>
      <c r="Q74" s="18" t="n">
        <v>15100</v>
      </c>
      <c r="R74" s="18" t="n">
        <v>0</v>
      </c>
      <c r="S74" s="18" t="n">
        <v>14900</v>
      </c>
      <c r="U74" s="0" t="n">
        <v>5.68890869749916</v>
      </c>
      <c r="X74" s="0" t="n">
        <v>0</v>
      </c>
    </row>
    <row r="75" customFormat="false" ht="12" hidden="false" customHeight="false" outlineLevel="0" collapsed="false">
      <c r="A75" s="0" t="n">
        <v>0.67</v>
      </c>
      <c r="B75" s="0" t="n">
        <v>2.2</v>
      </c>
      <c r="C75" s="0" t="n">
        <v>2</v>
      </c>
      <c r="D75" s="0" t="n">
        <v>0.5</v>
      </c>
      <c r="E75" s="0" t="n">
        <v>-0.15</v>
      </c>
      <c r="F75" s="0" t="n">
        <v>0</v>
      </c>
      <c r="G75" s="0" t="n">
        <v>1</v>
      </c>
      <c r="H75" s="18" t="n">
        <v>3.25492533481245</v>
      </c>
      <c r="I75" s="18"/>
      <c r="J75" s="18" t="n">
        <v>3.29214747854484</v>
      </c>
      <c r="K75" s="18"/>
      <c r="L75" s="18" t="n">
        <v>1.55860457025862</v>
      </c>
      <c r="M75" s="18"/>
      <c r="N75" s="18" t="n">
        <v>1.59091173610621</v>
      </c>
      <c r="O75" s="18"/>
      <c r="P75" s="18" t="n">
        <v>12683</v>
      </c>
      <c r="Q75" s="18" t="n">
        <v>0</v>
      </c>
      <c r="R75" s="18" t="n">
        <v>17317</v>
      </c>
      <c r="S75" s="18" t="n">
        <v>0</v>
      </c>
      <c r="T75" s="0" t="n">
        <v>3.27353640667865</v>
      </c>
      <c r="W75" s="0" t="n">
        <v>0.283934369862783</v>
      </c>
    </row>
    <row r="76" customFormat="false" ht="12" hidden="false" customHeight="false" outlineLevel="0" collapsed="false">
      <c r="A76" s="0" t="n">
        <v>0.67</v>
      </c>
      <c r="B76" s="0" t="n">
        <v>2.2</v>
      </c>
      <c r="C76" s="0" t="n">
        <v>2</v>
      </c>
      <c r="D76" s="0" t="n">
        <v>0.5</v>
      </c>
      <c r="E76" s="0" t="n">
        <v>-0.15</v>
      </c>
      <c r="F76" s="0" t="n">
        <v>0</v>
      </c>
      <c r="G76" s="0" t="n">
        <v>0.83</v>
      </c>
      <c r="H76" s="18" t="n">
        <v>3.20734289657892</v>
      </c>
      <c r="I76" s="18" t="n">
        <v>3.57771178914745</v>
      </c>
      <c r="J76" s="18" t="n">
        <v>3.20769822024905</v>
      </c>
      <c r="K76" s="18" t="n">
        <v>3.76098833914633</v>
      </c>
      <c r="L76" s="18" t="n">
        <v>1.55585768306818</v>
      </c>
      <c r="M76" s="18" t="n">
        <v>1.69875540570397</v>
      </c>
      <c r="N76" s="18" t="n">
        <v>1.58415158211511</v>
      </c>
      <c r="O76" s="18" t="n">
        <v>1.7882965790297</v>
      </c>
      <c r="P76" s="18" t="n">
        <v>10302</v>
      </c>
      <c r="Q76" s="18" t="n">
        <v>2570</v>
      </c>
      <c r="R76" s="18" t="n">
        <v>14663</v>
      </c>
      <c r="S76" s="18" t="n">
        <v>2465</v>
      </c>
      <c r="T76" s="0" t="n">
        <v>3.20752055841398</v>
      </c>
      <c r="U76" s="0" t="n">
        <v>3.66935006414689</v>
      </c>
      <c r="V76" s="0" t="n">
        <v>3.43843531128044</v>
      </c>
      <c r="W76" s="0" t="n">
        <v>0.298374924087333</v>
      </c>
      <c r="X76" s="0" t="n">
        <v>0.197352606032796</v>
      </c>
    </row>
    <row r="77" customFormat="false" ht="12" hidden="false" customHeight="false" outlineLevel="0" collapsed="false">
      <c r="A77" s="0" t="n">
        <v>0.67</v>
      </c>
      <c r="B77" s="0" t="n">
        <v>2.2</v>
      </c>
      <c r="C77" s="0" t="n">
        <v>2</v>
      </c>
      <c r="D77" s="0" t="n">
        <v>0.5</v>
      </c>
      <c r="E77" s="0" t="n">
        <v>-0.15</v>
      </c>
      <c r="F77" s="0" t="n">
        <v>0</v>
      </c>
      <c r="G77" s="0" t="n">
        <v>0.67</v>
      </c>
      <c r="H77" s="18" t="n">
        <v>3.24213422901651</v>
      </c>
      <c r="I77" s="18" t="n">
        <v>3.69942779997534</v>
      </c>
      <c r="J77" s="18" t="n">
        <v>3.21998004905799</v>
      </c>
      <c r="K77" s="18" t="n">
        <v>3.79230403246524</v>
      </c>
      <c r="L77" s="18" t="n">
        <v>1.56322189983466</v>
      </c>
      <c r="M77" s="18" t="n">
        <v>1.80071275721852</v>
      </c>
      <c r="N77" s="18" t="n">
        <v>1.57620858231232</v>
      </c>
      <c r="O77" s="18" t="n">
        <v>1.82287725214745</v>
      </c>
      <c r="P77" s="18" t="n">
        <v>8190</v>
      </c>
      <c r="Q77" s="18" t="n">
        <v>4894</v>
      </c>
      <c r="R77" s="18" t="n">
        <v>11871</v>
      </c>
      <c r="S77" s="18" t="n">
        <v>5045</v>
      </c>
      <c r="T77" s="0" t="n">
        <v>3.23105713903725</v>
      </c>
      <c r="U77" s="0" t="n">
        <v>3.74586591622029</v>
      </c>
      <c r="V77" s="0" t="n">
        <v>3.48846152762877</v>
      </c>
      <c r="W77" s="0" t="n">
        <v>0.293226444174022</v>
      </c>
      <c r="X77" s="0" t="n">
        <v>0.180615241597612</v>
      </c>
    </row>
    <row r="78" customFormat="false" ht="12" hidden="false" customHeight="false" outlineLevel="0" collapsed="false">
      <c r="A78" s="0" t="n">
        <v>0.67</v>
      </c>
      <c r="B78" s="0" t="n">
        <v>2.2</v>
      </c>
      <c r="C78" s="0" t="n">
        <v>2</v>
      </c>
      <c r="D78" s="0" t="n">
        <v>0.5</v>
      </c>
      <c r="E78" s="0" t="n">
        <v>-0.15</v>
      </c>
      <c r="F78" s="0" t="n">
        <v>0</v>
      </c>
      <c r="G78" s="0" t="n">
        <v>0.5</v>
      </c>
      <c r="H78" s="18" t="n">
        <v>3.15657905729624</v>
      </c>
      <c r="I78" s="18" t="n">
        <v>3.77349891193951</v>
      </c>
      <c r="J78" s="18" t="n">
        <v>3.12328675994478</v>
      </c>
      <c r="K78" s="18" t="n">
        <v>3.80365336224606</v>
      </c>
      <c r="L78" s="18" t="n">
        <v>1.44611306765114</v>
      </c>
      <c r="M78" s="18" t="n">
        <v>1.84187114228879</v>
      </c>
      <c r="N78" s="18" t="n">
        <v>1.48004434712827</v>
      </c>
      <c r="O78" s="18" t="n">
        <v>1.85919282351663</v>
      </c>
      <c r="P78" s="18" t="n">
        <v>5950</v>
      </c>
      <c r="Q78" s="18" t="n">
        <v>7454</v>
      </c>
      <c r="R78" s="18" t="n">
        <v>9089</v>
      </c>
      <c r="S78" s="18" t="n">
        <v>7507</v>
      </c>
      <c r="T78" s="0" t="n">
        <v>3.13993290862051</v>
      </c>
      <c r="U78" s="0" t="n">
        <v>3.78857613709279</v>
      </c>
      <c r="V78" s="0" t="n">
        <v>3.46425452285665</v>
      </c>
      <c r="W78" s="0" t="n">
        <v>0.313159300072924</v>
      </c>
      <c r="X78" s="0" t="n">
        <v>0.171272647710473</v>
      </c>
    </row>
    <row r="79" customFormat="false" ht="12" hidden="false" customHeight="false" outlineLevel="0" collapsed="false">
      <c r="A79" s="0" t="n">
        <v>0.67</v>
      </c>
      <c r="B79" s="0" t="n">
        <v>2.2</v>
      </c>
      <c r="C79" s="0" t="n">
        <v>2</v>
      </c>
      <c r="D79" s="0" t="n">
        <v>0.5</v>
      </c>
      <c r="E79" s="0" t="n">
        <v>-0.15</v>
      </c>
      <c r="F79" s="0" t="n">
        <v>0</v>
      </c>
      <c r="G79" s="0" t="n">
        <v>0.33</v>
      </c>
      <c r="H79" s="18" t="n">
        <v>3.16612157324345</v>
      </c>
      <c r="I79" s="18" t="n">
        <v>4.0492263700135</v>
      </c>
      <c r="J79" s="18" t="n">
        <v>3.14841437967123</v>
      </c>
      <c r="K79" s="18" t="n">
        <v>3.89009357804811</v>
      </c>
      <c r="L79" s="18" t="n">
        <v>1.46216972546841</v>
      </c>
      <c r="M79" s="18" t="n">
        <v>2.18664119683528</v>
      </c>
      <c r="N79" s="18" t="n">
        <v>1.54615908059414</v>
      </c>
      <c r="O79" s="18" t="n">
        <v>2.03331418669241</v>
      </c>
      <c r="P79" s="18" t="n">
        <v>3805</v>
      </c>
      <c r="Q79" s="18" t="n">
        <v>9956</v>
      </c>
      <c r="R79" s="18" t="n">
        <v>6145</v>
      </c>
      <c r="S79" s="18" t="n">
        <v>10094</v>
      </c>
      <c r="T79" s="0" t="n">
        <v>3.15726797645734</v>
      </c>
      <c r="U79" s="0" t="n">
        <v>3.96965997403081</v>
      </c>
      <c r="V79" s="0" t="n">
        <v>3.56346397524408</v>
      </c>
      <c r="W79" s="0" t="n">
        <v>0.309367362323666</v>
      </c>
      <c r="X79" s="0" t="n">
        <v>0.13166169011118</v>
      </c>
    </row>
    <row r="80" customFormat="false" ht="12" hidden="false" customHeight="false" outlineLevel="0" collapsed="false">
      <c r="A80" s="0" t="n">
        <v>0.67</v>
      </c>
      <c r="B80" s="0" t="n">
        <v>2.2</v>
      </c>
      <c r="C80" s="0" t="n">
        <v>2</v>
      </c>
      <c r="D80" s="0" t="n">
        <v>0.5</v>
      </c>
      <c r="E80" s="0" t="n">
        <v>-0.15</v>
      </c>
      <c r="F80" s="0" t="n">
        <v>0</v>
      </c>
      <c r="G80" s="0" t="n">
        <v>0.17</v>
      </c>
      <c r="H80" s="18" t="n">
        <v>3.18144420781889</v>
      </c>
      <c r="I80" s="18" t="n">
        <v>4.41377398940081</v>
      </c>
      <c r="J80" s="18" t="n">
        <v>3.1100687807659</v>
      </c>
      <c r="K80" s="18" t="n">
        <v>3.83471086335775</v>
      </c>
      <c r="L80" s="18" t="n">
        <v>1.47018934264755</v>
      </c>
      <c r="M80" s="18" t="n">
        <v>2.63684499250904</v>
      </c>
      <c r="N80" s="18" t="n">
        <v>1.53753735379853</v>
      </c>
      <c r="O80" s="18" t="n">
        <v>2.0703705258729</v>
      </c>
      <c r="P80" s="18" t="n">
        <v>1739</v>
      </c>
      <c r="Q80" s="18" t="n">
        <v>12668</v>
      </c>
      <c r="R80" s="18" t="n">
        <v>3267</v>
      </c>
      <c r="S80" s="18" t="n">
        <v>12326</v>
      </c>
      <c r="T80" s="0" t="n">
        <v>3.14575649429239</v>
      </c>
      <c r="U80" s="0" t="n">
        <v>4.12424242637928</v>
      </c>
      <c r="V80" s="0" t="n">
        <v>3.63499946033583</v>
      </c>
      <c r="W80" s="0" t="n">
        <v>0.311885427103224</v>
      </c>
      <c r="X80" s="0" t="n">
        <v>0.0978477447635027</v>
      </c>
    </row>
    <row r="81" customFormat="false" ht="12" hidden="false" customHeight="false" outlineLevel="0" collapsed="false">
      <c r="A81" s="0" t="n">
        <v>0.67</v>
      </c>
      <c r="B81" s="0" t="n">
        <v>2.2</v>
      </c>
      <c r="C81" s="0" t="n">
        <v>2</v>
      </c>
      <c r="D81" s="0" t="n">
        <v>0.5</v>
      </c>
      <c r="E81" s="0" t="n">
        <v>-0.15</v>
      </c>
      <c r="F81" s="0" t="n">
        <v>0</v>
      </c>
      <c r="G81" s="0" t="n">
        <v>0</v>
      </c>
      <c r="H81" s="18"/>
      <c r="I81" s="18" t="n">
        <v>5.24666428688937</v>
      </c>
      <c r="J81" s="18"/>
      <c r="K81" s="18" t="n">
        <v>3.89645407797713</v>
      </c>
      <c r="L81" s="18"/>
      <c r="M81" s="18" t="n">
        <v>3.45414838057836</v>
      </c>
      <c r="N81" s="18"/>
      <c r="O81" s="18" t="n">
        <v>2.31066131985703</v>
      </c>
      <c r="P81" s="18" t="n">
        <v>0</v>
      </c>
      <c r="Q81" s="18" t="n">
        <v>14998</v>
      </c>
      <c r="R81" s="18" t="n">
        <v>0</v>
      </c>
      <c r="S81" s="18" t="n">
        <v>15002</v>
      </c>
      <c r="U81" s="0" t="n">
        <v>4.57155918243325</v>
      </c>
      <c r="X81" s="0" t="n">
        <v>0</v>
      </c>
    </row>
    <row r="82" customFormat="false" ht="12" hidden="false" customHeight="false" outlineLevel="0" collapsed="false">
      <c r="A82" s="0" t="n">
        <v>0.67</v>
      </c>
      <c r="B82" s="0" t="n">
        <v>2</v>
      </c>
      <c r="C82" s="0" t="n">
        <v>2</v>
      </c>
      <c r="D82" s="0" t="n">
        <v>0.5</v>
      </c>
      <c r="E82" s="0" t="n">
        <v>-0.15</v>
      </c>
      <c r="F82" s="0" t="n">
        <v>0</v>
      </c>
      <c r="G82" s="0" t="n">
        <v>1</v>
      </c>
      <c r="H82" s="18" t="n">
        <v>2.92430030789869</v>
      </c>
      <c r="I82" s="18"/>
      <c r="J82" s="18" t="n">
        <v>2.92317959339349</v>
      </c>
      <c r="K82" s="18"/>
      <c r="L82" s="18" t="n">
        <v>1.30881209230649</v>
      </c>
      <c r="M82" s="18"/>
      <c r="N82" s="18" t="n">
        <v>1.30572060359779</v>
      </c>
      <c r="O82" s="18"/>
      <c r="P82" s="18" t="n">
        <v>14996</v>
      </c>
      <c r="Q82" s="18" t="n">
        <v>0</v>
      </c>
      <c r="R82" s="18" t="n">
        <v>15004</v>
      </c>
      <c r="S82" s="18" t="n">
        <v>0</v>
      </c>
      <c r="T82" s="0" t="n">
        <v>2.92373995064609</v>
      </c>
      <c r="W82" s="0" t="n">
        <v>0.260956970707138</v>
      </c>
    </row>
    <row r="83" customFormat="false" ht="12" hidden="false" customHeight="false" outlineLevel="0" collapsed="false">
      <c r="A83" s="0" t="n">
        <v>0.67</v>
      </c>
      <c r="B83" s="0" t="n">
        <v>2</v>
      </c>
      <c r="C83" s="0" t="n">
        <v>2</v>
      </c>
      <c r="D83" s="0" t="n">
        <v>0.5</v>
      </c>
      <c r="E83" s="0" t="n">
        <v>-0.15</v>
      </c>
      <c r="F83" s="0" t="n">
        <v>0</v>
      </c>
      <c r="G83" s="0" t="n">
        <v>0.83</v>
      </c>
      <c r="H83" s="18" t="n">
        <v>2.91987240202347</v>
      </c>
      <c r="I83" s="18" t="n">
        <v>3.34242613232741</v>
      </c>
      <c r="J83" s="18" t="n">
        <v>2.92013585188399</v>
      </c>
      <c r="K83" s="18" t="n">
        <v>3.32500044019721</v>
      </c>
      <c r="L83" s="18" t="n">
        <v>1.32586309612108</v>
      </c>
      <c r="M83" s="18" t="n">
        <v>1.51854197644907</v>
      </c>
      <c r="N83" s="18" t="n">
        <v>1.33544239829419</v>
      </c>
      <c r="O83" s="18" t="n">
        <v>1.53661750261684</v>
      </c>
      <c r="P83" s="18" t="n">
        <v>12437</v>
      </c>
      <c r="Q83" s="18" t="n">
        <v>2527</v>
      </c>
      <c r="R83" s="18" t="n">
        <v>12524</v>
      </c>
      <c r="S83" s="18" t="n">
        <v>2512</v>
      </c>
      <c r="T83" s="0" t="n">
        <v>2.92000412695373</v>
      </c>
      <c r="U83" s="0" t="n">
        <v>3.33371328626231</v>
      </c>
      <c r="V83" s="0" t="n">
        <v>3.12685870660802</v>
      </c>
      <c r="W83" s="0" t="n">
        <v>0.261901286721939</v>
      </c>
      <c r="X83" s="0" t="n">
        <v>0.15732670912517</v>
      </c>
    </row>
    <row r="84" customFormat="false" ht="12" hidden="false" customHeight="false" outlineLevel="0" collapsed="false">
      <c r="A84" s="0" t="n">
        <v>0.67</v>
      </c>
      <c r="B84" s="0" t="n">
        <v>2</v>
      </c>
      <c r="C84" s="0" t="n">
        <v>2</v>
      </c>
      <c r="D84" s="0" t="n">
        <v>0.5</v>
      </c>
      <c r="E84" s="0" t="n">
        <v>-0.15</v>
      </c>
      <c r="F84" s="0" t="n">
        <v>0</v>
      </c>
      <c r="G84" s="0" t="n">
        <v>0.67</v>
      </c>
      <c r="H84" s="18" t="n">
        <v>2.92765325132666</v>
      </c>
      <c r="I84" s="18" t="n">
        <v>3.41614962221893</v>
      </c>
      <c r="J84" s="18" t="n">
        <v>2.91349061179824</v>
      </c>
      <c r="K84" s="18" t="n">
        <v>3.4047738845256</v>
      </c>
      <c r="L84" s="18" t="n">
        <v>1.31505091923803</v>
      </c>
      <c r="M84" s="18" t="n">
        <v>1.5902882256377</v>
      </c>
      <c r="N84" s="18" t="n">
        <v>1.29067254762706</v>
      </c>
      <c r="O84" s="18" t="n">
        <v>1.55975359806007</v>
      </c>
      <c r="P84" s="18" t="n">
        <v>9980</v>
      </c>
      <c r="Q84" s="18" t="n">
        <v>5017</v>
      </c>
      <c r="R84" s="18" t="n">
        <v>10133</v>
      </c>
      <c r="S84" s="18" t="n">
        <v>4870</v>
      </c>
      <c r="T84" s="0" t="n">
        <v>2.92057193156245</v>
      </c>
      <c r="U84" s="0" t="n">
        <v>3.41046175337227</v>
      </c>
      <c r="V84" s="0" t="n">
        <v>3.16551684246736</v>
      </c>
      <c r="W84" s="0" t="n">
        <v>0.26175776094839</v>
      </c>
      <c r="X84" s="0" t="n">
        <v>0.137926755441192</v>
      </c>
    </row>
    <row r="85" customFormat="false" ht="12" hidden="false" customHeight="false" outlineLevel="0" collapsed="false">
      <c r="A85" s="0" t="n">
        <v>0.67</v>
      </c>
      <c r="B85" s="0" t="n">
        <v>2</v>
      </c>
      <c r="C85" s="0" t="n">
        <v>2</v>
      </c>
      <c r="D85" s="0" t="n">
        <v>0.5</v>
      </c>
      <c r="E85" s="0" t="n">
        <v>-0.15</v>
      </c>
      <c r="F85" s="0" t="n">
        <v>0</v>
      </c>
      <c r="G85" s="0" t="n">
        <v>0.5</v>
      </c>
      <c r="H85" s="18" t="n">
        <v>2.93113848532877</v>
      </c>
      <c r="I85" s="18" t="n">
        <v>3.4386761348556</v>
      </c>
      <c r="J85" s="18" t="n">
        <v>2.90367491471724</v>
      </c>
      <c r="K85" s="18" t="n">
        <v>3.45809783816818</v>
      </c>
      <c r="L85" s="18" t="n">
        <v>1.36086926624757</v>
      </c>
      <c r="M85" s="18" t="n">
        <v>1.63705576569104</v>
      </c>
      <c r="N85" s="18" t="n">
        <v>1.31927539447721</v>
      </c>
      <c r="O85" s="18" t="n">
        <v>1.67905745063369</v>
      </c>
      <c r="P85" s="18" t="n">
        <v>7487</v>
      </c>
      <c r="Q85" s="18" t="n">
        <v>7618</v>
      </c>
      <c r="R85" s="18" t="n">
        <v>7416</v>
      </c>
      <c r="S85" s="18" t="n">
        <v>7479</v>
      </c>
      <c r="T85" s="0" t="n">
        <v>2.91740670002301</v>
      </c>
      <c r="U85" s="0" t="n">
        <v>3.44838698651189</v>
      </c>
      <c r="V85" s="0" t="n">
        <v>3.18289684326745</v>
      </c>
      <c r="W85" s="0" t="n">
        <v>0.262557846573243</v>
      </c>
      <c r="X85" s="0" t="n">
        <v>0.12834027385963</v>
      </c>
    </row>
    <row r="86" customFormat="false" ht="12" hidden="false" customHeight="false" outlineLevel="0" collapsed="false">
      <c r="A86" s="0" t="n">
        <v>0.67</v>
      </c>
      <c r="B86" s="0" t="n">
        <v>2</v>
      </c>
      <c r="C86" s="0" t="n">
        <v>2</v>
      </c>
      <c r="D86" s="0" t="n">
        <v>0.5</v>
      </c>
      <c r="E86" s="0" t="n">
        <v>-0.15</v>
      </c>
      <c r="F86" s="0" t="n">
        <v>0</v>
      </c>
      <c r="G86" s="0" t="n">
        <v>0.33</v>
      </c>
      <c r="H86" s="18" t="n">
        <v>2.84037847206971</v>
      </c>
      <c r="I86" s="18" t="n">
        <v>3.6068764140794</v>
      </c>
      <c r="J86" s="18" t="n">
        <v>2.84466507019332</v>
      </c>
      <c r="K86" s="18" t="n">
        <v>3.57984419588899</v>
      </c>
      <c r="L86" s="18" t="n">
        <v>1.24173577380423</v>
      </c>
      <c r="M86" s="18" t="n">
        <v>1.85036889312503</v>
      </c>
      <c r="N86" s="18" t="n">
        <v>1.25734867525685</v>
      </c>
      <c r="O86" s="18" t="n">
        <v>1.85314104427385</v>
      </c>
      <c r="P86" s="18" t="n">
        <v>5049</v>
      </c>
      <c r="Q86" s="18" t="n">
        <v>9943</v>
      </c>
      <c r="R86" s="18" t="n">
        <v>4904</v>
      </c>
      <c r="S86" s="18" t="n">
        <v>10104</v>
      </c>
      <c r="T86" s="0" t="n">
        <v>2.84252177113151</v>
      </c>
      <c r="U86" s="0" t="n">
        <v>3.5933603049842</v>
      </c>
      <c r="V86" s="0" t="n">
        <v>3.21794103805785</v>
      </c>
      <c r="W86" s="0" t="n">
        <v>0.281486747785583</v>
      </c>
      <c r="X86" s="0" t="n">
        <v>0.091694907904038</v>
      </c>
    </row>
    <row r="87" customFormat="false" ht="12" hidden="false" customHeight="false" outlineLevel="0" collapsed="false">
      <c r="A87" s="0" t="n">
        <v>0.67</v>
      </c>
      <c r="B87" s="0" t="n">
        <v>2</v>
      </c>
      <c r="C87" s="0" t="n">
        <v>2</v>
      </c>
      <c r="D87" s="0" t="n">
        <v>0.5</v>
      </c>
      <c r="E87" s="0" t="n">
        <v>-0.15</v>
      </c>
      <c r="F87" s="0" t="n">
        <v>0</v>
      </c>
      <c r="G87" s="0" t="n">
        <v>0.17</v>
      </c>
      <c r="H87" s="18" t="n">
        <v>2.80729613159357</v>
      </c>
      <c r="I87" s="18" t="n">
        <v>3.68731450576339</v>
      </c>
      <c r="J87" s="18" t="n">
        <v>2.77927557462701</v>
      </c>
      <c r="K87" s="18" t="n">
        <v>3.61508673674988</v>
      </c>
      <c r="L87" s="18" t="n">
        <v>1.22793992045723</v>
      </c>
      <c r="M87" s="18" t="n">
        <v>2.04073102570719</v>
      </c>
      <c r="N87" s="18" t="n">
        <v>1.18791824620512</v>
      </c>
      <c r="O87" s="18" t="n">
        <v>1.93572171560077</v>
      </c>
      <c r="P87" s="18" t="n">
        <v>2411</v>
      </c>
      <c r="Q87" s="18" t="n">
        <v>12647</v>
      </c>
      <c r="R87" s="18" t="n">
        <v>2546</v>
      </c>
      <c r="S87" s="18" t="n">
        <v>12396</v>
      </c>
      <c r="T87" s="0" t="n">
        <v>2.79328585311029</v>
      </c>
      <c r="U87" s="0" t="n">
        <v>3.65120062125664</v>
      </c>
      <c r="V87" s="0" t="n">
        <v>3.22224323718346</v>
      </c>
      <c r="W87" s="0" t="n">
        <v>0.293932267092585</v>
      </c>
      <c r="X87" s="0" t="n">
        <v>0.0770744275347777</v>
      </c>
    </row>
    <row r="88" customFormat="false" ht="12" hidden="false" customHeight="false" outlineLevel="0" collapsed="false">
      <c r="A88" s="0" t="n">
        <v>0.67</v>
      </c>
      <c r="B88" s="0" t="n">
        <v>2</v>
      </c>
      <c r="C88" s="0" t="n">
        <v>2</v>
      </c>
      <c r="D88" s="0" t="n">
        <v>0.5</v>
      </c>
      <c r="E88" s="0" t="n">
        <v>-0.15</v>
      </c>
      <c r="F88" s="0" t="n">
        <v>0</v>
      </c>
      <c r="G88" s="0" t="n">
        <v>0</v>
      </c>
      <c r="H88" s="18"/>
      <c r="I88" s="18" t="n">
        <v>4.01945557400013</v>
      </c>
      <c r="J88" s="18"/>
      <c r="K88" s="18" t="n">
        <v>3.89277641997081</v>
      </c>
      <c r="L88" s="18"/>
      <c r="M88" s="18" t="n">
        <v>2.54585921317425</v>
      </c>
      <c r="N88" s="18"/>
      <c r="O88" s="18" t="n">
        <v>2.43692263981116</v>
      </c>
      <c r="P88" s="18" t="n">
        <v>0</v>
      </c>
      <c r="Q88" s="18" t="n">
        <v>15112</v>
      </c>
      <c r="R88" s="18" t="n">
        <v>0</v>
      </c>
      <c r="S88" s="18" t="n">
        <v>14888</v>
      </c>
      <c r="U88" s="0" t="n">
        <v>3.95611599698547</v>
      </c>
      <c r="X88" s="0" t="n">
        <v>0</v>
      </c>
    </row>
    <row r="89" customFormat="false" ht="12" hidden="false" customHeight="false" outlineLevel="0" collapsed="false"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9"/>
      <c r="U89" s="19"/>
      <c r="V89" s="19"/>
      <c r="W89" s="20"/>
      <c r="X89" s="20"/>
    </row>
    <row r="90" customFormat="false" ht="12" hidden="false" customHeight="false" outlineLevel="0" collapsed="false"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9"/>
      <c r="U90" s="19"/>
      <c r="V90" s="19"/>
      <c r="W90" s="20"/>
      <c r="X90" s="20"/>
    </row>
    <row r="91" customFormat="false" ht="12" hidden="false" customHeight="false" outlineLevel="0" collapsed="false"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9"/>
      <c r="U91" s="19"/>
      <c r="V91" s="19"/>
      <c r="W91" s="20"/>
      <c r="X91" s="20"/>
    </row>
    <row r="92" customFormat="false" ht="12" hidden="false" customHeight="false" outlineLevel="0" collapsed="false"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9"/>
      <c r="U92" s="19"/>
      <c r="V92" s="19"/>
      <c r="W92" s="20"/>
      <c r="X92" s="20"/>
    </row>
    <row r="93" customFormat="false" ht="12" hidden="false" customHeight="false" outlineLevel="0" collapsed="false"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9"/>
      <c r="U93" s="19"/>
      <c r="V93" s="19"/>
      <c r="W93" s="20"/>
      <c r="X93" s="20"/>
    </row>
    <row r="94" customFormat="false" ht="12" hidden="false" customHeight="false" outlineLevel="0" collapsed="false"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9"/>
      <c r="U94" s="19"/>
      <c r="V94" s="19"/>
      <c r="W94" s="20"/>
      <c r="X94" s="20"/>
    </row>
    <row r="95" customFormat="false" ht="12" hidden="false" customHeight="false" outlineLevel="0" collapsed="false"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9"/>
      <c r="U95" s="19"/>
      <c r="V95" s="19"/>
      <c r="W95" s="20"/>
      <c r="X95" s="20"/>
    </row>
    <row r="96" customFormat="false" ht="12" hidden="false" customHeight="false" outlineLevel="0" collapsed="false"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9"/>
      <c r="U96" s="19"/>
      <c r="V96" s="19"/>
      <c r="W96" s="20"/>
      <c r="X96" s="20"/>
    </row>
    <row r="97" customFormat="false" ht="12" hidden="false" customHeight="false" outlineLevel="0" collapsed="false"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9"/>
      <c r="U97" s="19"/>
      <c r="V97" s="19"/>
      <c r="W97" s="20"/>
      <c r="X97" s="20"/>
    </row>
    <row r="98" customFormat="false" ht="12" hidden="false" customHeight="false" outlineLevel="0" collapsed="false"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9"/>
      <c r="U98" s="19"/>
      <c r="V98" s="19"/>
      <c r="W98" s="20"/>
      <c r="X98" s="20"/>
    </row>
    <row r="99" customFormat="false" ht="12" hidden="false" customHeight="false" outlineLevel="0" collapsed="false"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9"/>
      <c r="U99" s="19"/>
      <c r="V99" s="19"/>
      <c r="W99" s="20"/>
      <c r="X99" s="20"/>
    </row>
    <row r="100" customFormat="false" ht="12" hidden="false" customHeight="false" outlineLevel="0" collapsed="false"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9"/>
      <c r="U100" s="19"/>
      <c r="V100" s="19"/>
      <c r="W100" s="20"/>
      <c r="X100" s="20"/>
    </row>
    <row r="101" customFormat="false" ht="12" hidden="false" customHeight="false" outlineLevel="0" collapsed="false"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9"/>
      <c r="U101" s="19"/>
      <c r="V101" s="19"/>
      <c r="W101" s="20"/>
      <c r="X101" s="20"/>
    </row>
    <row r="102" customFormat="false" ht="12" hidden="false" customHeight="false" outlineLevel="0" collapsed="false"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9"/>
      <c r="U102" s="19"/>
      <c r="V102" s="19"/>
      <c r="W102" s="20"/>
      <c r="X102" s="20"/>
    </row>
    <row r="103" customFormat="false" ht="12" hidden="false" customHeight="false" outlineLevel="0" collapsed="false"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9"/>
      <c r="U103" s="19"/>
      <c r="V103" s="19"/>
      <c r="W103" s="20"/>
      <c r="X103" s="20"/>
    </row>
    <row r="104" customFormat="false" ht="12" hidden="false" customHeight="false" outlineLevel="0" collapsed="false"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9"/>
      <c r="U104" s="19"/>
      <c r="V104" s="19"/>
      <c r="W104" s="20"/>
      <c r="X104" s="20"/>
    </row>
    <row r="105" customFormat="false" ht="12" hidden="false" customHeight="false" outlineLevel="0" collapsed="false"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9"/>
      <c r="U105" s="19"/>
      <c r="V105" s="19"/>
      <c r="W105" s="20"/>
      <c r="X105" s="20"/>
    </row>
    <row r="106" customFormat="false" ht="12" hidden="false" customHeight="false" outlineLevel="0" collapsed="false"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9"/>
      <c r="U106" s="19"/>
      <c r="V106" s="19"/>
      <c r="W106" s="20"/>
      <c r="X106" s="20"/>
    </row>
    <row r="107" customFormat="false" ht="12" hidden="false" customHeight="false" outlineLevel="0" collapsed="false"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9"/>
      <c r="U107" s="19"/>
      <c r="V107" s="19"/>
      <c r="W107" s="20"/>
      <c r="X107" s="20"/>
    </row>
    <row r="108" customFormat="false" ht="12" hidden="false" customHeight="false" outlineLevel="0" collapsed="false"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9"/>
      <c r="U108" s="19"/>
      <c r="V108" s="19"/>
      <c r="W108" s="20"/>
      <c r="X108" s="20"/>
    </row>
    <row r="109" customFormat="false" ht="12" hidden="false" customHeight="false" outlineLevel="0" collapsed="false"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9"/>
      <c r="U109" s="19"/>
      <c r="V109" s="19"/>
      <c r="W109" s="20"/>
      <c r="X109" s="20"/>
    </row>
    <row r="110" customFormat="false" ht="12" hidden="false" customHeight="false" outlineLevel="0" collapsed="false"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9"/>
      <c r="U110" s="19"/>
      <c r="V110" s="19"/>
      <c r="W110" s="20"/>
      <c r="X110" s="20"/>
    </row>
    <row r="111" customFormat="false" ht="12" hidden="false" customHeight="false" outlineLevel="0" collapsed="false"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9"/>
      <c r="U111" s="19"/>
      <c r="V111" s="19"/>
      <c r="W111" s="20"/>
      <c r="X111" s="20"/>
    </row>
    <row r="112" customFormat="false" ht="12" hidden="false" customHeight="false" outlineLevel="0" collapsed="false"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9"/>
      <c r="U112" s="19"/>
      <c r="V112" s="19"/>
      <c r="W112" s="20"/>
      <c r="X112" s="20"/>
    </row>
    <row r="113" customFormat="false" ht="12" hidden="false" customHeight="false" outlineLevel="0" collapsed="false"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9"/>
      <c r="U113" s="19"/>
      <c r="V113" s="19"/>
      <c r="W113" s="20"/>
      <c r="X113" s="20"/>
    </row>
    <row r="114" customFormat="false" ht="12" hidden="false" customHeight="false" outlineLevel="0" collapsed="false"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9"/>
      <c r="U114" s="19"/>
      <c r="V114" s="19"/>
      <c r="W114" s="20"/>
      <c r="X114" s="20"/>
    </row>
    <row r="115" customFormat="false" ht="12" hidden="false" customHeight="false" outlineLevel="0" collapsed="false"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9"/>
      <c r="U115" s="19"/>
      <c r="V115" s="19"/>
      <c r="W115" s="20"/>
      <c r="X115" s="20"/>
    </row>
    <row r="116" customFormat="false" ht="12" hidden="false" customHeight="false" outlineLevel="0" collapsed="false"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9"/>
      <c r="U116" s="19"/>
      <c r="V116" s="19"/>
      <c r="W116" s="20"/>
      <c r="X116" s="20"/>
    </row>
    <row r="117" customFormat="false" ht="12" hidden="false" customHeight="false" outlineLevel="0" collapsed="false"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9"/>
      <c r="U117" s="19"/>
      <c r="V117" s="19"/>
      <c r="W117" s="20"/>
      <c r="X117" s="20"/>
    </row>
    <row r="118" customFormat="false" ht="12" hidden="false" customHeight="false" outlineLevel="0" collapsed="false"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9"/>
      <c r="U118" s="19"/>
      <c r="V118" s="19"/>
      <c r="W118" s="20"/>
      <c r="X118" s="20"/>
    </row>
    <row r="119" customFormat="false" ht="12" hidden="false" customHeight="false" outlineLevel="0" collapsed="false"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9"/>
      <c r="U119" s="19"/>
      <c r="V119" s="19"/>
      <c r="W119" s="20"/>
      <c r="X119" s="20"/>
    </row>
    <row r="120" customFormat="false" ht="12" hidden="false" customHeight="false" outlineLevel="0" collapsed="false"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9"/>
      <c r="U120" s="19"/>
      <c r="V120" s="19"/>
      <c r="W120" s="20"/>
      <c r="X120" s="20"/>
    </row>
    <row r="121" customFormat="false" ht="12" hidden="false" customHeight="false" outlineLevel="0" collapsed="false"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9"/>
      <c r="U121" s="19"/>
      <c r="V121" s="19"/>
      <c r="W121" s="20"/>
      <c r="X121" s="20"/>
    </row>
    <row r="122" customFormat="false" ht="12" hidden="false" customHeight="false" outlineLevel="0" collapsed="false"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9"/>
      <c r="U122" s="19"/>
      <c r="V122" s="19"/>
      <c r="W122" s="20"/>
      <c r="X122" s="20"/>
    </row>
    <row r="123" customFormat="false" ht="12" hidden="false" customHeight="false" outlineLevel="0" collapsed="false"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9"/>
      <c r="U123" s="19"/>
      <c r="V123" s="19"/>
      <c r="W123" s="20"/>
      <c r="X123" s="20"/>
    </row>
    <row r="124" customFormat="false" ht="12" hidden="false" customHeight="false" outlineLevel="0" collapsed="false"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9"/>
      <c r="U124" s="19"/>
      <c r="V124" s="19"/>
      <c r="W124" s="20"/>
      <c r="X124" s="20"/>
    </row>
    <row r="125" customFormat="false" ht="12" hidden="false" customHeight="false" outlineLevel="0" collapsed="false"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9"/>
      <c r="U125" s="19"/>
      <c r="V125" s="19"/>
      <c r="W125" s="20"/>
      <c r="X125" s="20"/>
    </row>
    <row r="126" customFormat="false" ht="12" hidden="false" customHeight="false" outlineLevel="0" collapsed="false"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9"/>
      <c r="U126" s="19"/>
      <c r="V126" s="19"/>
      <c r="W126" s="20"/>
      <c r="X126" s="20"/>
    </row>
    <row r="127" customFormat="false" ht="12" hidden="false" customHeight="false" outlineLevel="0" collapsed="false"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9"/>
      <c r="U127" s="19"/>
      <c r="V127" s="19"/>
      <c r="W127" s="20"/>
      <c r="X127" s="20"/>
    </row>
    <row r="128" customFormat="false" ht="12" hidden="false" customHeight="false" outlineLevel="0" collapsed="false"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9"/>
      <c r="U128" s="19"/>
      <c r="V128" s="19"/>
      <c r="W128" s="20"/>
      <c r="X128" s="20"/>
    </row>
    <row r="129" customFormat="false" ht="12" hidden="false" customHeight="false" outlineLevel="0" collapsed="false"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9"/>
      <c r="U129" s="19"/>
      <c r="V129" s="19"/>
      <c r="W129" s="20"/>
      <c r="X129" s="20"/>
    </row>
    <row r="130" customFormat="false" ht="12" hidden="false" customHeight="false" outlineLevel="0" collapsed="false"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9"/>
      <c r="U130" s="19"/>
      <c r="V130" s="19"/>
      <c r="W130" s="20"/>
      <c r="X130" s="20"/>
    </row>
    <row r="131" customFormat="false" ht="12" hidden="false" customHeight="false" outlineLevel="0" collapsed="false"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9"/>
      <c r="U131" s="19"/>
      <c r="V131" s="19"/>
      <c r="W131" s="20"/>
      <c r="X131" s="20"/>
    </row>
    <row r="132" customFormat="false" ht="12" hidden="false" customHeight="false" outlineLevel="0" collapsed="false"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9"/>
      <c r="U132" s="19"/>
      <c r="V132" s="19"/>
      <c r="W132" s="20"/>
      <c r="X132" s="20"/>
    </row>
    <row r="133" customFormat="false" ht="12" hidden="false" customHeight="false" outlineLevel="0" collapsed="false"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9"/>
      <c r="U133" s="19"/>
      <c r="V133" s="19"/>
      <c r="W133" s="20"/>
      <c r="X133" s="20"/>
    </row>
    <row r="134" customFormat="false" ht="12" hidden="false" customHeight="false" outlineLevel="0" collapsed="false"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9"/>
      <c r="U134" s="19"/>
      <c r="V134" s="19"/>
      <c r="W134" s="20"/>
      <c r="X134" s="20"/>
    </row>
    <row r="135" customFormat="false" ht="12" hidden="false" customHeight="false" outlineLevel="0" collapsed="false"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9"/>
      <c r="U135" s="19"/>
      <c r="V135" s="19"/>
      <c r="W135" s="20"/>
      <c r="X135" s="20"/>
    </row>
    <row r="136" customFormat="false" ht="12" hidden="false" customHeight="false" outlineLevel="0" collapsed="false"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9"/>
      <c r="U136" s="19"/>
      <c r="V136" s="19"/>
      <c r="W136" s="20"/>
      <c r="X136" s="20"/>
    </row>
    <row r="137" customFormat="false" ht="12" hidden="false" customHeight="false" outlineLevel="0" collapsed="false"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9"/>
      <c r="U137" s="19"/>
      <c r="V137" s="19"/>
      <c r="W137" s="20"/>
      <c r="X137" s="20"/>
    </row>
    <row r="138" customFormat="false" ht="12" hidden="false" customHeight="false" outlineLevel="0" collapsed="false"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9"/>
      <c r="U138" s="19"/>
      <c r="V138" s="19"/>
      <c r="W138" s="20"/>
      <c r="X138" s="20"/>
    </row>
    <row r="139" customFormat="false" ht="12" hidden="false" customHeight="false" outlineLevel="0" collapsed="false"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9"/>
      <c r="U139" s="19"/>
      <c r="V139" s="19"/>
      <c r="W139" s="20"/>
      <c r="X139" s="20"/>
    </row>
    <row r="140" customFormat="false" ht="12" hidden="false" customHeight="false" outlineLevel="0" collapsed="false"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9"/>
      <c r="U140" s="19"/>
      <c r="V140" s="19"/>
      <c r="W140" s="20"/>
      <c r="X140" s="20"/>
    </row>
    <row r="141" customFormat="false" ht="12" hidden="false" customHeight="false" outlineLevel="0" collapsed="false"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9"/>
      <c r="U141" s="19"/>
      <c r="V141" s="19"/>
      <c r="W141" s="20"/>
      <c r="X141" s="20"/>
    </row>
    <row r="142" customFormat="false" ht="12" hidden="false" customHeight="false" outlineLevel="0" collapsed="false"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9"/>
      <c r="U142" s="19"/>
      <c r="V142" s="19"/>
      <c r="W142" s="20"/>
      <c r="X142" s="20"/>
    </row>
    <row r="143" customFormat="false" ht="12" hidden="false" customHeight="false" outlineLevel="0" collapsed="false"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9"/>
      <c r="U143" s="19"/>
      <c r="V143" s="19"/>
      <c r="W143" s="20"/>
      <c r="X143" s="20"/>
    </row>
    <row r="144" customFormat="false" ht="12" hidden="false" customHeight="false" outlineLevel="0" collapsed="false"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9"/>
      <c r="U144" s="19"/>
      <c r="V144" s="19"/>
      <c r="W144" s="20"/>
      <c r="X144" s="20"/>
    </row>
    <row r="145" customFormat="false" ht="12" hidden="false" customHeight="false" outlineLevel="0" collapsed="false"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9"/>
      <c r="U145" s="19"/>
      <c r="V145" s="19"/>
      <c r="W145" s="20"/>
    </row>
    <row r="146" customFormat="false" ht="12" hidden="false" customHeight="false" outlineLevel="0" collapsed="false"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9"/>
      <c r="U146" s="19"/>
      <c r="V146" s="19"/>
      <c r="W146" s="20"/>
      <c r="X146" s="20"/>
    </row>
    <row r="147" customFormat="false" ht="12" hidden="false" customHeight="false" outlineLevel="0" collapsed="false"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9"/>
      <c r="U147" s="19"/>
      <c r="V147" s="19"/>
      <c r="W147" s="20"/>
      <c r="X147" s="20"/>
    </row>
    <row r="148" customFormat="false" ht="12" hidden="false" customHeight="false" outlineLevel="0" collapsed="false"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9"/>
      <c r="U148" s="19"/>
      <c r="V148" s="19"/>
      <c r="W148" s="20"/>
      <c r="X148" s="20"/>
    </row>
    <row r="149" customFormat="false" ht="12" hidden="false" customHeight="false" outlineLevel="0" collapsed="false"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9"/>
      <c r="U149" s="19"/>
      <c r="V149" s="19"/>
      <c r="W149" s="20"/>
      <c r="X149" s="20"/>
    </row>
    <row r="150" customFormat="false" ht="12" hidden="false" customHeight="false" outlineLevel="0" collapsed="false"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9"/>
      <c r="U150" s="19"/>
      <c r="V150" s="19"/>
      <c r="W150" s="20"/>
      <c r="X150" s="20"/>
    </row>
    <row r="151" customFormat="false" ht="12" hidden="false" customHeight="false" outlineLevel="0" collapsed="false"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9"/>
      <c r="U151" s="19"/>
      <c r="V151" s="19"/>
      <c r="W151" s="20"/>
      <c r="X151" s="20"/>
    </row>
    <row r="152" customFormat="false" ht="12" hidden="false" customHeight="false" outlineLevel="0" collapsed="false"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9"/>
      <c r="U152" s="19"/>
      <c r="V152" s="19"/>
      <c r="W152" s="20"/>
      <c r="X152" s="20"/>
    </row>
    <row r="153" customFormat="false" ht="12" hidden="false" customHeight="false" outlineLevel="0" collapsed="false"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9"/>
      <c r="U153" s="19"/>
      <c r="V153" s="19"/>
      <c r="W153" s="20"/>
      <c r="X153" s="20"/>
    </row>
    <row r="154" customFormat="false" ht="12" hidden="false" customHeight="false" outlineLevel="0" collapsed="false"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9"/>
      <c r="U154" s="19"/>
      <c r="V154" s="19"/>
      <c r="W154" s="20"/>
      <c r="X154" s="20"/>
    </row>
    <row r="155" customFormat="false" ht="12" hidden="false" customHeight="false" outlineLevel="0" collapsed="false"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9"/>
      <c r="U155" s="19"/>
      <c r="V155" s="19"/>
      <c r="W155" s="20"/>
      <c r="X155" s="20"/>
    </row>
    <row r="156" customFormat="false" ht="12" hidden="false" customHeight="false" outlineLevel="0" collapsed="false"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9"/>
      <c r="U156" s="19"/>
      <c r="V156" s="19"/>
      <c r="W156" s="20"/>
      <c r="X156" s="20"/>
    </row>
    <row r="157" customFormat="false" ht="12" hidden="false" customHeight="false" outlineLevel="0" collapsed="false"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9"/>
      <c r="U157" s="19"/>
      <c r="V157" s="19"/>
      <c r="W157" s="20"/>
      <c r="X157" s="20"/>
    </row>
    <row r="158" customFormat="false" ht="12" hidden="false" customHeight="false" outlineLevel="0" collapsed="false"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9"/>
      <c r="U158" s="19"/>
      <c r="V158" s="19"/>
      <c r="W158" s="20"/>
      <c r="X158" s="20"/>
    </row>
    <row r="159" customFormat="false" ht="12" hidden="false" customHeight="false" outlineLevel="0" collapsed="false"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9"/>
      <c r="U159" s="19"/>
      <c r="V159" s="19"/>
      <c r="W159" s="20"/>
      <c r="X159" s="20"/>
    </row>
    <row r="160" customFormat="false" ht="12" hidden="false" customHeight="false" outlineLevel="0" collapsed="false"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9"/>
      <c r="U160" s="19"/>
      <c r="V160" s="19"/>
      <c r="W160" s="20"/>
      <c r="X160" s="20"/>
    </row>
    <row r="161" customFormat="false" ht="12" hidden="false" customHeight="false" outlineLevel="0" collapsed="false"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9"/>
      <c r="U161" s="19"/>
      <c r="V161" s="19"/>
      <c r="W161" s="20"/>
      <c r="X161" s="20"/>
    </row>
    <row r="162" customFormat="false" ht="12" hidden="false" customHeight="false" outlineLevel="0" collapsed="false"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9"/>
      <c r="U162" s="19"/>
      <c r="V162" s="19"/>
      <c r="W162" s="20"/>
      <c r="X162" s="20"/>
    </row>
    <row r="163" customFormat="false" ht="12" hidden="false" customHeight="false" outlineLevel="0" collapsed="false"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9"/>
      <c r="U163" s="19"/>
      <c r="V163" s="19"/>
      <c r="W163" s="20"/>
      <c r="X163" s="20"/>
    </row>
    <row r="164" customFormat="false" ht="12" hidden="false" customHeight="false" outlineLevel="0" collapsed="false"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9"/>
      <c r="U164" s="19"/>
      <c r="V164" s="19"/>
      <c r="W164" s="20"/>
      <c r="X164" s="20"/>
    </row>
    <row r="165" customFormat="false" ht="12" hidden="false" customHeight="false" outlineLevel="0" collapsed="false"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9"/>
      <c r="U165" s="19"/>
      <c r="V165" s="19"/>
      <c r="W165" s="20"/>
      <c r="X165" s="20"/>
    </row>
    <row r="166" customFormat="false" ht="12" hidden="false" customHeight="false" outlineLevel="0" collapsed="false"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9"/>
      <c r="U166" s="19"/>
      <c r="V166" s="19"/>
      <c r="W166" s="20"/>
      <c r="X166" s="20"/>
    </row>
    <row r="167" customFormat="false" ht="12" hidden="false" customHeight="false" outlineLevel="0" collapsed="false"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9"/>
      <c r="U167" s="19"/>
      <c r="V167" s="19"/>
      <c r="W167" s="20"/>
      <c r="X167" s="20"/>
    </row>
    <row r="168" customFormat="false" ht="12" hidden="false" customHeight="false" outlineLevel="0" collapsed="false"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9"/>
      <c r="U168" s="19"/>
      <c r="V168" s="19"/>
      <c r="W168" s="20"/>
      <c r="X168" s="20"/>
    </row>
    <row r="169" customFormat="false" ht="12" hidden="false" customHeight="false" outlineLevel="0" collapsed="false"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9"/>
      <c r="U169" s="19"/>
      <c r="V169" s="19"/>
      <c r="W169" s="20"/>
      <c r="X169" s="20"/>
    </row>
    <row r="170" customFormat="false" ht="12" hidden="false" customHeight="false" outlineLevel="0" collapsed="false"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9"/>
      <c r="U170" s="19"/>
      <c r="V170" s="19"/>
      <c r="W170" s="20"/>
      <c r="X170" s="20"/>
    </row>
    <row r="171" customFormat="false" ht="12" hidden="false" customHeight="false" outlineLevel="0" collapsed="false"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9"/>
      <c r="U171" s="19"/>
      <c r="V171" s="19"/>
      <c r="W171" s="20"/>
      <c r="X171" s="20"/>
    </row>
    <row r="172" customFormat="false" ht="12" hidden="false" customHeight="false" outlineLevel="0" collapsed="false"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9"/>
      <c r="U172" s="19"/>
      <c r="V172" s="19"/>
      <c r="W172" s="20"/>
      <c r="X172" s="20"/>
    </row>
    <row r="173" customFormat="false" ht="12" hidden="false" customHeight="false" outlineLevel="0" collapsed="false">
      <c r="H173" s="21"/>
      <c r="I173" s="21"/>
      <c r="J173" s="21"/>
      <c r="K173" s="21"/>
      <c r="L173" s="21"/>
      <c r="M173" s="21"/>
      <c r="N173" s="21"/>
      <c r="O173" s="21"/>
      <c r="P173" s="18"/>
      <c r="Q173" s="18"/>
      <c r="R173" s="18"/>
      <c r="S173" s="18"/>
      <c r="T173" s="19"/>
      <c r="U173" s="19"/>
      <c r="V173" s="19"/>
      <c r="W173" s="20"/>
      <c r="X173" s="20"/>
    </row>
    <row r="174" customFormat="false" ht="12" hidden="false" customHeight="false" outlineLevel="0" collapsed="false">
      <c r="H174" s="21"/>
      <c r="I174" s="21"/>
      <c r="J174" s="21"/>
      <c r="K174" s="21"/>
      <c r="L174" s="21"/>
      <c r="M174" s="21"/>
      <c r="N174" s="21"/>
      <c r="O174" s="21"/>
      <c r="P174" s="18"/>
      <c r="Q174" s="18"/>
      <c r="R174" s="18"/>
      <c r="S174" s="18"/>
      <c r="T174" s="19"/>
      <c r="U174" s="19"/>
      <c r="V174" s="19"/>
      <c r="W174" s="20"/>
      <c r="X174" s="20"/>
    </row>
    <row r="175" customFormat="false" ht="12" hidden="false" customHeight="false" outlineLevel="0" collapsed="false">
      <c r="H175" s="21"/>
      <c r="I175" s="21"/>
      <c r="J175" s="21"/>
      <c r="K175" s="21"/>
      <c r="L175" s="21"/>
      <c r="M175" s="21"/>
      <c r="N175" s="21"/>
      <c r="O175" s="21"/>
      <c r="P175" s="18"/>
      <c r="Q175" s="18"/>
      <c r="R175" s="18"/>
      <c r="S175" s="18"/>
      <c r="T175" s="19"/>
      <c r="U175" s="19"/>
      <c r="V175" s="19"/>
      <c r="W175" s="20"/>
      <c r="X175" s="20"/>
    </row>
    <row r="176" customFormat="false" ht="12" hidden="false" customHeight="false" outlineLevel="0" collapsed="false">
      <c r="H176" s="21"/>
      <c r="I176" s="21"/>
      <c r="J176" s="21"/>
      <c r="K176" s="21"/>
      <c r="L176" s="21"/>
      <c r="M176" s="21"/>
      <c r="N176" s="21"/>
      <c r="O176" s="21"/>
      <c r="P176" s="18"/>
      <c r="Q176" s="18"/>
      <c r="R176" s="18"/>
      <c r="S176" s="18"/>
      <c r="T176" s="19"/>
      <c r="U176" s="19"/>
      <c r="V176" s="19"/>
      <c r="W176" s="20"/>
      <c r="X176" s="20"/>
    </row>
    <row r="177" customFormat="false" ht="12" hidden="false" customHeight="false" outlineLevel="0" collapsed="false">
      <c r="H177" s="21"/>
      <c r="I177" s="21"/>
      <c r="J177" s="21"/>
      <c r="K177" s="21"/>
      <c r="L177" s="21"/>
      <c r="M177" s="21"/>
      <c r="N177" s="21"/>
      <c r="O177" s="21"/>
      <c r="P177" s="18"/>
      <c r="Q177" s="18"/>
      <c r="R177" s="18"/>
      <c r="S177" s="18"/>
      <c r="T177" s="19"/>
      <c r="U177" s="19"/>
      <c r="V177" s="19"/>
      <c r="W177" s="20"/>
      <c r="X177" s="20"/>
    </row>
    <row r="178" customFormat="false" ht="12" hidden="false" customHeight="false" outlineLevel="0" collapsed="false">
      <c r="H178" s="21"/>
      <c r="I178" s="21"/>
      <c r="J178" s="21"/>
      <c r="K178" s="21"/>
      <c r="L178" s="21"/>
      <c r="M178" s="21"/>
      <c r="N178" s="21"/>
      <c r="O178" s="21"/>
      <c r="P178" s="18"/>
      <c r="Q178" s="18"/>
      <c r="R178" s="18"/>
      <c r="S178" s="18"/>
      <c r="T178" s="19"/>
      <c r="U178" s="19"/>
      <c r="V178" s="19"/>
      <c r="W178" s="20"/>
      <c r="X178" s="20"/>
    </row>
    <row r="179" customFormat="false" ht="12" hidden="false" customHeight="false" outlineLevel="0" collapsed="false">
      <c r="H179" s="21"/>
      <c r="I179" s="21"/>
      <c r="J179" s="21"/>
      <c r="K179" s="21"/>
      <c r="L179" s="21"/>
      <c r="M179" s="21"/>
      <c r="N179" s="21"/>
      <c r="O179" s="21"/>
      <c r="P179" s="18"/>
      <c r="Q179" s="18"/>
      <c r="R179" s="18"/>
      <c r="S179" s="18"/>
      <c r="T179" s="19"/>
      <c r="U179" s="19"/>
      <c r="V179" s="19"/>
      <c r="W179" s="20"/>
      <c r="X179" s="20"/>
    </row>
    <row r="180" customFormat="false" ht="12" hidden="false" customHeight="false" outlineLevel="0" collapsed="false">
      <c r="H180" s="21"/>
      <c r="I180" s="21"/>
      <c r="J180" s="21"/>
      <c r="K180" s="21"/>
      <c r="L180" s="21"/>
      <c r="M180" s="21"/>
      <c r="N180" s="21"/>
      <c r="O180" s="21"/>
      <c r="P180" s="18"/>
      <c r="Q180" s="18"/>
      <c r="R180" s="18"/>
      <c r="S180" s="18"/>
      <c r="T180" s="19"/>
      <c r="U180" s="19"/>
      <c r="V180" s="19"/>
      <c r="W180" s="20"/>
    </row>
    <row r="181" customFormat="false" ht="12" hidden="false" customHeight="false" outlineLevel="0" collapsed="false">
      <c r="H181" s="21"/>
      <c r="I181" s="21"/>
      <c r="J181" s="21"/>
      <c r="K181" s="21"/>
      <c r="L181" s="21"/>
      <c r="M181" s="21"/>
      <c r="N181" s="21"/>
      <c r="O181" s="21"/>
      <c r="P181" s="18"/>
      <c r="Q181" s="18"/>
      <c r="R181" s="18"/>
      <c r="S181" s="18"/>
      <c r="T181" s="19"/>
      <c r="U181" s="19"/>
      <c r="V181" s="19"/>
      <c r="W181" s="20"/>
      <c r="X181" s="20"/>
    </row>
    <row r="182" customFormat="false" ht="12" hidden="false" customHeight="false" outlineLevel="0" collapsed="false">
      <c r="H182" s="21"/>
      <c r="I182" s="21"/>
      <c r="J182" s="21"/>
      <c r="K182" s="21"/>
      <c r="L182" s="21"/>
      <c r="M182" s="21"/>
      <c r="N182" s="21"/>
      <c r="O182" s="21"/>
      <c r="P182" s="18"/>
      <c r="Q182" s="18"/>
      <c r="R182" s="18"/>
      <c r="S182" s="18"/>
      <c r="T182" s="19"/>
      <c r="U182" s="19"/>
      <c r="V182" s="19"/>
      <c r="W182" s="20"/>
      <c r="X182" s="20"/>
    </row>
    <row r="183" customFormat="false" ht="12" hidden="false" customHeight="false" outlineLevel="0" collapsed="false">
      <c r="H183" s="21"/>
      <c r="I183" s="21"/>
      <c r="J183" s="21"/>
      <c r="K183" s="21"/>
      <c r="L183" s="21"/>
      <c r="M183" s="21"/>
      <c r="N183" s="21"/>
      <c r="O183" s="21"/>
      <c r="P183" s="18"/>
      <c r="Q183" s="18"/>
      <c r="R183" s="18"/>
      <c r="S183" s="18"/>
      <c r="T183" s="19"/>
      <c r="U183" s="19"/>
      <c r="V183" s="19"/>
      <c r="W183" s="20"/>
      <c r="X183" s="20"/>
    </row>
    <row r="184" customFormat="false" ht="12" hidden="false" customHeight="false" outlineLevel="0" collapsed="false">
      <c r="H184" s="21"/>
      <c r="I184" s="21"/>
      <c r="J184" s="21"/>
      <c r="K184" s="21"/>
      <c r="L184" s="21"/>
      <c r="M184" s="21"/>
      <c r="N184" s="21"/>
      <c r="O184" s="21"/>
      <c r="P184" s="18"/>
      <c r="Q184" s="18"/>
      <c r="R184" s="18"/>
      <c r="S184" s="18"/>
      <c r="T184" s="19"/>
      <c r="U184" s="19"/>
      <c r="V184" s="19"/>
      <c r="W184" s="20"/>
      <c r="X184" s="20"/>
    </row>
    <row r="185" customFormat="false" ht="12" hidden="false" customHeight="false" outlineLevel="0" collapsed="false">
      <c r="H185" s="21"/>
      <c r="I185" s="21"/>
      <c r="J185" s="21"/>
      <c r="K185" s="21"/>
      <c r="L185" s="21"/>
      <c r="M185" s="21"/>
      <c r="N185" s="21"/>
      <c r="O185" s="21"/>
      <c r="P185" s="18"/>
      <c r="Q185" s="18"/>
      <c r="R185" s="18"/>
      <c r="S185" s="18"/>
      <c r="T185" s="19"/>
      <c r="U185" s="19"/>
      <c r="V185" s="19"/>
      <c r="W185" s="20"/>
      <c r="X185" s="20"/>
    </row>
    <row r="186" customFormat="false" ht="12" hidden="false" customHeight="false" outlineLevel="0" collapsed="false">
      <c r="H186" s="21"/>
      <c r="I186" s="21"/>
      <c r="J186" s="21"/>
      <c r="K186" s="21"/>
      <c r="L186" s="21"/>
      <c r="M186" s="21"/>
      <c r="N186" s="21"/>
      <c r="O186" s="21"/>
      <c r="P186" s="18"/>
      <c r="Q186" s="18"/>
      <c r="R186" s="18"/>
      <c r="S186" s="18"/>
      <c r="T186" s="19"/>
      <c r="U186" s="19"/>
      <c r="V186" s="19"/>
      <c r="W186" s="20"/>
      <c r="X186" s="20"/>
    </row>
    <row r="187" customFormat="false" ht="12" hidden="false" customHeight="false" outlineLevel="0" collapsed="false">
      <c r="H187" s="21"/>
      <c r="I187" s="21"/>
      <c r="J187" s="21"/>
      <c r="K187" s="21"/>
      <c r="L187" s="21"/>
      <c r="M187" s="21"/>
      <c r="N187" s="21"/>
      <c r="O187" s="21"/>
      <c r="P187" s="18"/>
      <c r="Q187" s="18"/>
      <c r="R187" s="18"/>
      <c r="S187" s="18"/>
      <c r="T187" s="19"/>
      <c r="U187" s="19"/>
      <c r="V187" s="19"/>
      <c r="W187" s="20"/>
      <c r="X187" s="20"/>
    </row>
    <row r="188" customFormat="false" ht="12" hidden="false" customHeight="false" outlineLevel="0" collapsed="false">
      <c r="H188" s="21"/>
      <c r="I188" s="21"/>
      <c r="J188" s="21"/>
      <c r="K188" s="21"/>
      <c r="L188" s="21"/>
      <c r="M188" s="21"/>
      <c r="N188" s="21"/>
      <c r="O188" s="21"/>
      <c r="P188" s="18"/>
      <c r="Q188" s="18"/>
      <c r="R188" s="18"/>
      <c r="S188" s="18"/>
      <c r="T188" s="19"/>
      <c r="U188" s="19"/>
      <c r="V188" s="19"/>
      <c r="W188" s="20"/>
      <c r="X188" s="20"/>
    </row>
    <row r="189" customFormat="false" ht="12" hidden="false" customHeight="false" outlineLevel="0" collapsed="false">
      <c r="H189" s="21"/>
      <c r="I189" s="21"/>
      <c r="J189" s="21"/>
      <c r="K189" s="21"/>
      <c r="L189" s="21"/>
      <c r="M189" s="21"/>
      <c r="N189" s="21"/>
      <c r="O189" s="21"/>
      <c r="P189" s="18"/>
      <c r="Q189" s="18"/>
      <c r="R189" s="18"/>
      <c r="S189" s="18"/>
      <c r="T189" s="19"/>
      <c r="U189" s="19"/>
      <c r="V189" s="19"/>
      <c r="W189" s="20"/>
      <c r="X189" s="20"/>
    </row>
    <row r="190" customFormat="false" ht="12" hidden="false" customHeight="false" outlineLevel="0" collapsed="false">
      <c r="H190" s="21"/>
      <c r="I190" s="21"/>
      <c r="J190" s="21"/>
      <c r="K190" s="21"/>
      <c r="L190" s="21"/>
      <c r="M190" s="21"/>
      <c r="N190" s="21"/>
      <c r="O190" s="21"/>
      <c r="P190" s="18"/>
      <c r="Q190" s="18"/>
      <c r="R190" s="18"/>
      <c r="S190" s="18"/>
      <c r="T190" s="19"/>
      <c r="U190" s="19"/>
      <c r="V190" s="19"/>
      <c r="W190" s="20"/>
      <c r="X190" s="20"/>
    </row>
    <row r="191" customFormat="false" ht="12" hidden="false" customHeight="false" outlineLevel="0" collapsed="false">
      <c r="H191" s="21"/>
      <c r="I191" s="21"/>
      <c r="J191" s="21"/>
      <c r="K191" s="21"/>
      <c r="L191" s="21"/>
      <c r="M191" s="21"/>
      <c r="N191" s="21"/>
      <c r="O191" s="21"/>
      <c r="P191" s="18"/>
      <c r="Q191" s="18"/>
      <c r="R191" s="18"/>
      <c r="S191" s="18"/>
      <c r="T191" s="19"/>
      <c r="U191" s="19"/>
      <c r="V191" s="19"/>
      <c r="W191" s="20"/>
      <c r="X191" s="20"/>
    </row>
    <row r="192" customFormat="false" ht="12" hidden="false" customHeight="false" outlineLevel="0" collapsed="false">
      <c r="H192" s="21"/>
      <c r="I192" s="21"/>
      <c r="J192" s="21"/>
      <c r="K192" s="21"/>
      <c r="L192" s="21"/>
      <c r="M192" s="21"/>
      <c r="N192" s="21"/>
      <c r="O192" s="21"/>
      <c r="P192" s="18"/>
      <c r="Q192" s="18"/>
      <c r="R192" s="18"/>
      <c r="S192" s="18"/>
      <c r="T192" s="19"/>
      <c r="U192" s="19"/>
      <c r="V192" s="19"/>
      <c r="W192" s="20"/>
      <c r="X192" s="20"/>
    </row>
    <row r="193" customFormat="false" ht="12" hidden="false" customHeight="false" outlineLevel="0" collapsed="false">
      <c r="H193" s="21"/>
      <c r="I193" s="21"/>
      <c r="J193" s="21"/>
      <c r="K193" s="21"/>
      <c r="L193" s="21"/>
      <c r="M193" s="21"/>
      <c r="N193" s="21"/>
      <c r="O193" s="21"/>
      <c r="P193" s="18"/>
      <c r="Q193" s="18"/>
      <c r="R193" s="18"/>
      <c r="S193" s="18"/>
      <c r="T193" s="19"/>
      <c r="U193" s="19"/>
      <c r="V193" s="19"/>
      <c r="W193" s="20"/>
      <c r="X193" s="20"/>
    </row>
    <row r="194" customFormat="false" ht="12" hidden="false" customHeight="false" outlineLevel="0" collapsed="false">
      <c r="H194" s="21"/>
      <c r="I194" s="21"/>
      <c r="J194" s="21"/>
      <c r="K194" s="21"/>
      <c r="L194" s="21"/>
      <c r="M194" s="21"/>
      <c r="N194" s="21"/>
      <c r="O194" s="21"/>
      <c r="P194" s="18"/>
      <c r="Q194" s="18"/>
      <c r="R194" s="18"/>
      <c r="S194" s="18"/>
      <c r="T194" s="19"/>
      <c r="U194" s="19"/>
      <c r="V194" s="19"/>
      <c r="W194" s="20"/>
      <c r="X194" s="20"/>
    </row>
    <row r="195" customFormat="false" ht="12" hidden="false" customHeight="false" outlineLevel="0" collapsed="false">
      <c r="H195" s="21"/>
      <c r="I195" s="21"/>
      <c r="J195" s="21"/>
      <c r="K195" s="21"/>
      <c r="L195" s="21"/>
      <c r="M195" s="21"/>
      <c r="N195" s="21"/>
      <c r="O195" s="21"/>
      <c r="P195" s="18"/>
      <c r="Q195" s="18"/>
      <c r="R195" s="18"/>
      <c r="S195" s="18"/>
      <c r="T195" s="19"/>
      <c r="U195" s="19"/>
      <c r="V195" s="19"/>
      <c r="W195" s="20"/>
      <c r="X195" s="20"/>
    </row>
    <row r="196" customFormat="false" ht="12" hidden="false" customHeight="false" outlineLevel="0" collapsed="false">
      <c r="H196" s="21"/>
      <c r="I196" s="21"/>
      <c r="J196" s="21"/>
      <c r="K196" s="21"/>
      <c r="L196" s="21"/>
      <c r="M196" s="21"/>
      <c r="N196" s="21"/>
      <c r="O196" s="21"/>
      <c r="P196" s="18"/>
      <c r="Q196" s="18"/>
      <c r="R196" s="18"/>
      <c r="S196" s="18"/>
      <c r="T196" s="19"/>
      <c r="U196" s="19"/>
      <c r="V196" s="19"/>
      <c r="W196" s="20"/>
      <c r="X196" s="20"/>
    </row>
    <row r="197" customFormat="false" ht="12" hidden="false" customHeight="false" outlineLevel="0" collapsed="false">
      <c r="H197" s="21"/>
      <c r="I197" s="21"/>
      <c r="J197" s="21"/>
      <c r="K197" s="21"/>
      <c r="L197" s="21"/>
      <c r="M197" s="21"/>
      <c r="N197" s="21"/>
      <c r="O197" s="21"/>
      <c r="P197" s="18"/>
      <c r="Q197" s="18"/>
      <c r="R197" s="18"/>
      <c r="S197" s="18"/>
      <c r="T197" s="19"/>
      <c r="U197" s="19"/>
      <c r="V197" s="19"/>
      <c r="W197" s="20"/>
      <c r="X197" s="20"/>
    </row>
    <row r="198" customFormat="false" ht="12" hidden="false" customHeight="false" outlineLevel="0" collapsed="false">
      <c r="H198" s="21"/>
      <c r="I198" s="21"/>
      <c r="J198" s="21"/>
      <c r="K198" s="21"/>
      <c r="L198" s="21"/>
      <c r="M198" s="21"/>
      <c r="N198" s="21"/>
      <c r="O198" s="21"/>
      <c r="P198" s="18"/>
      <c r="Q198" s="18"/>
      <c r="R198" s="18"/>
      <c r="S198" s="18"/>
      <c r="T198" s="19"/>
      <c r="U198" s="19"/>
      <c r="V198" s="19"/>
      <c r="W198" s="20"/>
      <c r="X198" s="20"/>
    </row>
    <row r="199" customFormat="false" ht="12" hidden="false" customHeight="false" outlineLevel="0" collapsed="false">
      <c r="H199" s="21"/>
      <c r="I199" s="21"/>
      <c r="J199" s="21"/>
      <c r="K199" s="21"/>
      <c r="L199" s="21"/>
      <c r="M199" s="21"/>
      <c r="N199" s="21"/>
      <c r="O199" s="21"/>
      <c r="P199" s="18"/>
      <c r="Q199" s="18"/>
      <c r="R199" s="18"/>
      <c r="S199" s="18"/>
      <c r="T199" s="19"/>
      <c r="U199" s="19"/>
      <c r="V199" s="19"/>
      <c r="W199" s="20"/>
      <c r="X199" s="20"/>
    </row>
    <row r="200" customFormat="false" ht="12" hidden="false" customHeight="false" outlineLevel="0" collapsed="false">
      <c r="H200" s="21"/>
      <c r="I200" s="21"/>
      <c r="J200" s="21"/>
      <c r="K200" s="21"/>
      <c r="L200" s="21"/>
      <c r="M200" s="21"/>
      <c r="N200" s="21"/>
      <c r="O200" s="21"/>
      <c r="P200" s="18"/>
      <c r="Q200" s="18"/>
      <c r="R200" s="18"/>
      <c r="S200" s="18"/>
      <c r="T200" s="19"/>
      <c r="U200" s="19"/>
      <c r="V200" s="19"/>
      <c r="W200" s="20"/>
      <c r="X200" s="20"/>
    </row>
    <row r="201" customFormat="false" ht="12" hidden="false" customHeight="false" outlineLevel="0" collapsed="false">
      <c r="H201" s="21"/>
      <c r="I201" s="21"/>
      <c r="J201" s="21"/>
      <c r="K201" s="21"/>
      <c r="L201" s="21"/>
      <c r="M201" s="21"/>
      <c r="N201" s="21"/>
      <c r="O201" s="21"/>
      <c r="P201" s="18"/>
      <c r="Q201" s="18"/>
      <c r="R201" s="18"/>
      <c r="S201" s="18"/>
      <c r="T201" s="19"/>
      <c r="U201" s="19"/>
      <c r="V201" s="19"/>
      <c r="W201" s="20"/>
      <c r="X201" s="20"/>
    </row>
    <row r="202" customFormat="false" ht="12" hidden="false" customHeight="false" outlineLevel="0" collapsed="false">
      <c r="H202" s="21"/>
      <c r="I202" s="21"/>
      <c r="J202" s="21"/>
      <c r="K202" s="21"/>
      <c r="L202" s="21"/>
      <c r="M202" s="21"/>
      <c r="N202" s="21"/>
      <c r="O202" s="21"/>
      <c r="P202" s="18"/>
      <c r="Q202" s="18"/>
      <c r="R202" s="18"/>
      <c r="S202" s="18"/>
      <c r="T202" s="19"/>
      <c r="U202" s="19"/>
      <c r="V202" s="19"/>
      <c r="W202" s="20"/>
      <c r="X202" s="20"/>
    </row>
    <row r="203" customFormat="false" ht="12" hidden="false" customHeight="false" outlineLevel="0" collapsed="false">
      <c r="H203" s="21"/>
      <c r="I203" s="21"/>
      <c r="J203" s="21"/>
      <c r="K203" s="21"/>
      <c r="L203" s="21"/>
      <c r="M203" s="21"/>
      <c r="N203" s="21"/>
      <c r="O203" s="21"/>
      <c r="P203" s="18"/>
      <c r="Q203" s="18"/>
      <c r="R203" s="18"/>
      <c r="S203" s="18"/>
      <c r="T203" s="19"/>
      <c r="U203" s="19"/>
      <c r="V203" s="19"/>
      <c r="W203" s="20"/>
      <c r="X203" s="20"/>
    </row>
    <row r="204" customFormat="false" ht="12" hidden="false" customHeight="false" outlineLevel="0" collapsed="false">
      <c r="H204" s="21"/>
      <c r="I204" s="21"/>
      <c r="J204" s="21"/>
      <c r="K204" s="21"/>
      <c r="L204" s="21"/>
      <c r="M204" s="21"/>
      <c r="N204" s="21"/>
      <c r="O204" s="21"/>
      <c r="P204" s="18"/>
      <c r="Q204" s="18"/>
      <c r="R204" s="18"/>
      <c r="S204" s="18"/>
      <c r="T204" s="19"/>
      <c r="U204" s="19"/>
      <c r="V204" s="19"/>
      <c r="W204" s="20"/>
      <c r="X204" s="20"/>
    </row>
    <row r="205" customFormat="false" ht="12" hidden="false" customHeight="false" outlineLevel="0" collapsed="false">
      <c r="H205" s="21"/>
      <c r="I205" s="21"/>
      <c r="J205" s="21"/>
      <c r="K205" s="21"/>
      <c r="L205" s="21"/>
      <c r="M205" s="21"/>
      <c r="N205" s="21"/>
      <c r="O205" s="21"/>
      <c r="P205" s="18"/>
      <c r="Q205" s="18"/>
      <c r="R205" s="18"/>
      <c r="S205" s="18"/>
      <c r="T205" s="19"/>
      <c r="U205" s="19"/>
      <c r="V205" s="19"/>
      <c r="W205" s="20"/>
      <c r="X205" s="20"/>
    </row>
    <row r="206" customFormat="false" ht="12" hidden="false" customHeight="false" outlineLevel="0" collapsed="false">
      <c r="H206" s="21"/>
      <c r="I206" s="21"/>
      <c r="J206" s="21"/>
      <c r="K206" s="21"/>
      <c r="L206" s="21"/>
      <c r="M206" s="21"/>
      <c r="N206" s="21"/>
      <c r="O206" s="21"/>
      <c r="P206" s="18"/>
      <c r="Q206" s="18"/>
      <c r="R206" s="18"/>
      <c r="S206" s="18"/>
      <c r="T206" s="19"/>
      <c r="U206" s="19"/>
      <c r="V206" s="19"/>
      <c r="W206" s="20"/>
      <c r="X206" s="20"/>
    </row>
    <row r="207" customFormat="false" ht="12" hidden="false" customHeight="false" outlineLevel="0" collapsed="false">
      <c r="H207" s="21"/>
      <c r="I207" s="21"/>
      <c r="J207" s="21"/>
      <c r="K207" s="21"/>
      <c r="L207" s="21"/>
      <c r="M207" s="21"/>
      <c r="N207" s="21"/>
      <c r="O207" s="21"/>
      <c r="P207" s="18"/>
      <c r="Q207" s="18"/>
      <c r="R207" s="18"/>
      <c r="S207" s="18"/>
      <c r="T207" s="19"/>
      <c r="U207" s="19"/>
      <c r="V207" s="19"/>
      <c r="W207" s="20"/>
      <c r="X207" s="20"/>
    </row>
    <row r="208" customFormat="false" ht="12" hidden="false" customHeight="false" outlineLevel="0" collapsed="false">
      <c r="H208" s="19"/>
      <c r="I208" s="19"/>
      <c r="J208" s="19"/>
      <c r="K208" s="19"/>
      <c r="L208" s="19"/>
      <c r="M208" s="19"/>
      <c r="N208" s="19"/>
      <c r="O208" s="19"/>
    </row>
    <row r="218" customFormat="false" ht="12" hidden="false" customHeight="false" outlineLevel="0" collapsed="false">
      <c r="D218" s="19"/>
    </row>
    <row r="219" customFormat="false" ht="12" hidden="false" customHeight="false" outlineLevel="0" collapsed="false">
      <c r="D219" s="19"/>
    </row>
    <row r="220" customFormat="false" ht="12" hidden="false" customHeight="false" outlineLevel="0" collapsed="false">
      <c r="D220" s="19"/>
    </row>
    <row r="221" customFormat="false" ht="12" hidden="false" customHeight="false" outlineLevel="0" collapsed="false">
      <c r="D221" s="19"/>
    </row>
    <row r="222" customFormat="false" ht="12" hidden="false" customHeight="false" outlineLevel="0" collapsed="false">
      <c r="D222" s="19"/>
    </row>
    <row r="223" customFormat="false" ht="12" hidden="false" customHeight="false" outlineLevel="0" collapsed="false">
      <c r="D223" s="19"/>
    </row>
    <row r="224" customFormat="false" ht="12" hidden="false" customHeight="false" outlineLevel="0" collapsed="false">
      <c r="D224" s="19"/>
    </row>
    <row r="225" customFormat="false" ht="12" hidden="false" customHeight="false" outlineLevel="0" collapsed="false">
      <c r="D225" s="19"/>
    </row>
    <row r="226" customFormat="false" ht="12" hidden="false" customHeight="false" outlineLevel="0" collapsed="false">
      <c r="D226" s="19"/>
    </row>
    <row r="227" customFormat="false" ht="12" hidden="false" customHeight="false" outlineLevel="0" collapsed="false">
      <c r="D227" s="19"/>
    </row>
    <row r="228" customFormat="false" ht="12" hidden="false" customHeight="false" outlineLevel="0" collapsed="false">
      <c r="D228" s="19"/>
    </row>
    <row r="229" customFormat="false" ht="12" hidden="false" customHeight="false" outlineLevel="0" collapsed="false">
      <c r="D229" s="19"/>
    </row>
    <row r="230" customFormat="false" ht="12" hidden="false" customHeight="false" outlineLevel="0" collapsed="false">
      <c r="D230" s="19"/>
    </row>
    <row r="231" customFormat="false" ht="12" hidden="false" customHeight="false" outlineLevel="0" collapsed="false">
      <c r="D231" s="19"/>
    </row>
    <row r="232" customFormat="false" ht="12" hidden="false" customHeight="false" outlineLevel="0" collapsed="false">
      <c r="D232" s="19"/>
    </row>
    <row r="233" customFormat="false" ht="12" hidden="false" customHeight="false" outlineLevel="0" collapsed="false">
      <c r="D233" s="19"/>
    </row>
    <row r="234" customFormat="false" ht="12" hidden="false" customHeight="false" outlineLevel="0" collapsed="false">
      <c r="D234" s="19"/>
    </row>
    <row r="235" customFormat="false" ht="12" hidden="false" customHeight="false" outlineLevel="0" collapsed="false">
      <c r="D235" s="19"/>
    </row>
    <row r="236" customFormat="false" ht="12" hidden="false" customHeight="false" outlineLevel="0" collapsed="false">
      <c r="D236" s="19"/>
    </row>
    <row r="237" customFormat="false" ht="12" hidden="false" customHeight="false" outlineLevel="0" collapsed="false">
      <c r="D237" s="19"/>
    </row>
    <row r="238" customFormat="false" ht="12" hidden="false" customHeight="false" outlineLevel="0" collapsed="false">
      <c r="D238" s="19"/>
    </row>
    <row r="239" customFormat="false" ht="12" hidden="false" customHeight="false" outlineLevel="0" collapsed="false">
      <c r="D239" s="19"/>
    </row>
    <row r="240" customFormat="false" ht="12" hidden="false" customHeight="false" outlineLevel="0" collapsed="false">
      <c r="D240" s="19"/>
    </row>
    <row r="241" customFormat="false" ht="12" hidden="false" customHeight="false" outlineLevel="0" collapsed="false">
      <c r="D241" s="19"/>
    </row>
    <row r="242" customFormat="false" ht="12" hidden="false" customHeight="false" outlineLevel="0" collapsed="false">
      <c r="D242" s="19"/>
    </row>
    <row r="243" customFormat="false" ht="12" hidden="false" customHeight="false" outlineLevel="0" collapsed="false">
      <c r="D243" s="19"/>
    </row>
    <row r="244" customFormat="false" ht="12" hidden="false" customHeight="false" outlineLevel="0" collapsed="false">
      <c r="D244" s="19"/>
    </row>
    <row r="245" customFormat="false" ht="12" hidden="false" customHeight="false" outlineLevel="0" collapsed="false">
      <c r="D245" s="19"/>
    </row>
    <row r="246" customFormat="false" ht="12" hidden="false" customHeight="false" outlineLevel="0" collapsed="false">
      <c r="D246" s="19"/>
    </row>
    <row r="247" customFormat="false" ht="12" hidden="false" customHeight="false" outlineLevel="0" collapsed="false">
      <c r="D247" s="19"/>
    </row>
    <row r="248" customFormat="false" ht="12" hidden="false" customHeight="false" outlineLevel="0" collapsed="false">
      <c r="D248" s="19"/>
    </row>
    <row r="249" customFormat="false" ht="12" hidden="false" customHeight="false" outlineLevel="0" collapsed="false">
      <c r="D249" s="19"/>
    </row>
    <row r="250" customFormat="false" ht="12" hidden="false" customHeight="false" outlineLevel="0" collapsed="false">
      <c r="D250" s="19"/>
    </row>
    <row r="251" customFormat="false" ht="12" hidden="false" customHeight="false" outlineLevel="0" collapsed="false">
      <c r="D251" s="19"/>
    </row>
    <row r="252" customFormat="false" ht="12" hidden="false" customHeight="false" outlineLevel="0" collapsed="false">
      <c r="D252" s="19"/>
    </row>
    <row r="253" customFormat="false" ht="12" hidden="false" customHeight="false" outlineLevel="0" collapsed="false">
      <c r="D253" s="19"/>
    </row>
    <row r="254" customFormat="false" ht="12" hidden="false" customHeight="false" outlineLevel="0" collapsed="false">
      <c r="D254" s="19"/>
    </row>
    <row r="255" customFormat="false" ht="12" hidden="false" customHeight="false" outlineLevel="0" collapsed="false">
      <c r="D255" s="19"/>
    </row>
    <row r="256" customFormat="false" ht="12" hidden="false" customHeight="false" outlineLevel="0" collapsed="false">
      <c r="D256" s="19"/>
    </row>
    <row r="257" customFormat="false" ht="12" hidden="false" customHeight="false" outlineLevel="0" collapsed="false">
      <c r="D257" s="19"/>
    </row>
    <row r="258" customFormat="false" ht="12" hidden="false" customHeight="false" outlineLevel="0" collapsed="false">
      <c r="D258" s="19"/>
    </row>
    <row r="259" customFormat="false" ht="12" hidden="false" customHeight="false" outlineLevel="0" collapsed="false">
      <c r="D259" s="19"/>
    </row>
    <row r="260" customFormat="false" ht="12" hidden="false" customHeight="false" outlineLevel="0" collapsed="false">
      <c r="D260" s="19"/>
    </row>
    <row r="261" customFormat="false" ht="12" hidden="false" customHeight="false" outlineLevel="0" collapsed="false">
      <c r="D261" s="19"/>
    </row>
    <row r="262" customFormat="false" ht="12" hidden="false" customHeight="false" outlineLevel="0" collapsed="false">
      <c r="D262" s="19"/>
    </row>
    <row r="263" customFormat="false" ht="12" hidden="false" customHeight="false" outlineLevel="0" collapsed="false">
      <c r="D263" s="19"/>
    </row>
    <row r="264" customFormat="false" ht="12" hidden="false" customHeight="false" outlineLevel="0" collapsed="false">
      <c r="D264" s="19"/>
    </row>
    <row r="265" customFormat="false" ht="12" hidden="false" customHeight="false" outlineLevel="0" collapsed="false">
      <c r="D265" s="19"/>
    </row>
    <row r="266" customFormat="false" ht="12" hidden="false" customHeight="false" outlineLevel="0" collapsed="false">
      <c r="D266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2.6171875" defaultRowHeight="12" customHeight="false" zeroHeight="false" outlineLevelRow="0" outlineLevelCol="0"/>
  <cols>
    <col collapsed="false" customWidth="true" hidden="false" outlineLevel="0" max="1" min="1" style="0" width="14.12"/>
    <col collapsed="false" customWidth="true" hidden="false" outlineLevel="0" max="3" min="2" style="0" width="10.24"/>
    <col collapsed="false" customWidth="true" hidden="false" outlineLevel="0" max="4" min="4" style="0" width="13.62"/>
    <col collapsed="false" customWidth="true" hidden="false" outlineLevel="0" max="5" min="5" style="25" width="11.99"/>
    <col collapsed="false" customWidth="true" hidden="false" outlineLevel="0" max="6" min="6" style="25" width="12.12"/>
    <col collapsed="false" customWidth="true" hidden="false" outlineLevel="0" max="7" min="7" style="0" width="8.62"/>
    <col collapsed="false" customWidth="true" hidden="false" outlineLevel="0" max="8" min="8" style="0" width="10.99"/>
    <col collapsed="false" customWidth="true" hidden="false" outlineLevel="0" max="9" min="9" style="0" width="10.24"/>
    <col collapsed="false" customWidth="true" hidden="false" outlineLevel="0" max="10" min="10" style="0" width="10.87"/>
    <col collapsed="false" customWidth="true" hidden="false" outlineLevel="0" max="11" min="11" style="0" width="8.24"/>
    <col collapsed="false" customWidth="true" hidden="false" outlineLevel="0" max="12" min="12" style="0" width="10.37"/>
    <col collapsed="false" customWidth="true" hidden="false" outlineLevel="0" max="13" min="13" style="0" width="9.74"/>
    <col collapsed="false" customWidth="true" hidden="false" outlineLevel="0" max="14" min="14" style="0" width="10.11"/>
    <col collapsed="false" customWidth="true" hidden="false" outlineLevel="0" max="15" min="15" style="0" width="9.24"/>
    <col collapsed="false" customWidth="true" hidden="false" outlineLevel="0" max="17" min="16" style="0" width="8.99"/>
    <col collapsed="false" customWidth="true" hidden="false" outlineLevel="0" max="18" min="18" style="19" width="12.37"/>
    <col collapsed="false" customWidth="true" hidden="false" outlineLevel="0" max="19" min="19" style="19" width="12.86"/>
    <col collapsed="false" customWidth="true" hidden="false" outlineLevel="0" max="21" min="21" style="0" width="10.87"/>
    <col collapsed="false" customWidth="true" hidden="false" outlineLevel="0" max="23" min="22" style="19" width="13.87"/>
  </cols>
  <sheetData>
    <row r="1" customFormat="false" ht="12" hidden="false" customHeight="false" outlineLevel="0" collapsed="false">
      <c r="A1" s="26" t="s">
        <v>51</v>
      </c>
      <c r="B1" s="26"/>
      <c r="C1" s="26"/>
      <c r="D1" s="26"/>
      <c r="E1" s="27"/>
      <c r="F1" s="25" t="s">
        <v>52</v>
      </c>
      <c r="G1" s="0" t="n">
        <v>1</v>
      </c>
    </row>
    <row r="2" customFormat="false" ht="12" hidden="false" customHeight="false" outlineLevel="0" collapsed="false">
      <c r="A2" s="28" t="s">
        <v>53</v>
      </c>
      <c r="B2" s="28"/>
      <c r="C2" s="28"/>
      <c r="D2" s="29" t="n">
        <v>0.67</v>
      </c>
      <c r="F2" s="0" t="s">
        <v>54</v>
      </c>
      <c r="G2" s="0" t="n">
        <f aca="false">IF(RESET=1,0,G2+1)</f>
        <v>0</v>
      </c>
    </row>
    <row r="3" customFormat="false" ht="12" hidden="false" customHeight="false" outlineLevel="0" collapsed="false">
      <c r="A3" s="28" t="s">
        <v>55</v>
      </c>
      <c r="B3" s="28"/>
      <c r="C3" s="28"/>
      <c r="D3" s="29" t="n">
        <v>20</v>
      </c>
      <c r="G3" s="28"/>
    </row>
    <row r="4" customFormat="false" ht="12" hidden="false" customHeight="false" outlineLevel="0" collapsed="false">
      <c r="A4" s="28" t="s">
        <v>56</v>
      </c>
      <c r="B4" s="28"/>
      <c r="C4" s="28"/>
      <c r="D4" s="29" t="n">
        <v>2</v>
      </c>
      <c r="G4" s="28"/>
    </row>
    <row r="5" customFormat="false" ht="12" hidden="false" customHeight="false" outlineLevel="0" collapsed="false">
      <c r="A5" s="28" t="s">
        <v>57</v>
      </c>
      <c r="B5" s="28"/>
      <c r="C5" s="28"/>
      <c r="D5" s="29" t="n">
        <v>0.5</v>
      </c>
      <c r="G5" s="28"/>
    </row>
    <row r="6" customFormat="false" ht="12" hidden="false" customHeight="false" outlineLevel="0" collapsed="false">
      <c r="A6" s="28" t="s">
        <v>58</v>
      </c>
      <c r="B6" s="28"/>
      <c r="C6" s="28"/>
      <c r="D6" s="0" t="n">
        <v>-0.15</v>
      </c>
      <c r="G6" s="28"/>
    </row>
    <row r="7" customFormat="false" ht="12" hidden="false" customHeight="false" outlineLevel="0" collapsed="false">
      <c r="A7" s="28" t="s">
        <v>59</v>
      </c>
      <c r="B7" s="28"/>
      <c r="C7" s="28"/>
      <c r="D7" s="0" t="n">
        <v>0</v>
      </c>
      <c r="G7" s="28"/>
    </row>
    <row r="8" customFormat="false" ht="12" hidden="false" customHeight="false" outlineLevel="0" collapsed="false">
      <c r="A8" s="28" t="s">
        <v>18</v>
      </c>
      <c r="B8" s="28"/>
      <c r="C8" s="28"/>
      <c r="D8" s="30" t="n">
        <v>1</v>
      </c>
      <c r="G8" s="28"/>
    </row>
    <row r="9" customFormat="false" ht="12" hidden="false" customHeight="false" outlineLevel="0" collapsed="false">
      <c r="A9" s="28"/>
      <c r="B9" s="28"/>
      <c r="C9" s="28"/>
      <c r="D9" s="31"/>
      <c r="G9" s="28"/>
    </row>
    <row r="10" customFormat="false" ht="12" hidden="false" customHeight="false" outlineLevel="0" collapsed="false">
      <c r="A10" s="28" t="s">
        <v>60</v>
      </c>
      <c r="B10" s="28"/>
      <c r="C10" s="28"/>
      <c r="D10" s="32" t="e">
        <f aca="false">AVERAGE(H18:H1017)</f>
        <v>#N/A</v>
      </c>
      <c r="G10" s="28"/>
    </row>
    <row r="11" customFormat="false" ht="12" hidden="false" customHeight="false" outlineLevel="0" collapsed="false">
      <c r="A11" s="28" t="s">
        <v>61</v>
      </c>
      <c r="B11" s="28"/>
      <c r="C11" s="28"/>
      <c r="D11" s="33" t="n">
        <f aca="false">AVERAGE(B18:B1017)</f>
        <v>1</v>
      </c>
      <c r="G11" s="28"/>
    </row>
    <row r="13" customFormat="false" ht="11.25" hidden="false" customHeight="true" outlineLevel="0" collapsed="false">
      <c r="A13" s="28"/>
      <c r="B13" s="34"/>
      <c r="C13" s="34"/>
      <c r="D13" s="34"/>
      <c r="E13" s="34"/>
      <c r="F13" s="28"/>
    </row>
    <row r="14" customFormat="false" ht="16.5" hidden="false" customHeight="true" outlineLevel="0" collapsed="false">
      <c r="A14" s="23"/>
      <c r="B14" s="23"/>
      <c r="C14" s="24"/>
      <c r="D14" s="23"/>
      <c r="E14" s="23" t="s">
        <v>62</v>
      </c>
      <c r="F14" s="23" t="s">
        <v>62</v>
      </c>
      <c r="G14" s="35" t="s">
        <v>63</v>
      </c>
      <c r="H14" s="23"/>
      <c r="I14" s="23" t="s">
        <v>42</v>
      </c>
      <c r="J14" s="23" t="s">
        <v>42</v>
      </c>
      <c r="K14" s="23" t="s">
        <v>42</v>
      </c>
      <c r="L14" s="23" t="s">
        <v>43</v>
      </c>
      <c r="M14" s="23" t="s">
        <v>43</v>
      </c>
      <c r="N14" s="23" t="s">
        <v>43</v>
      </c>
      <c r="O14" s="23"/>
      <c r="P14" s="23"/>
      <c r="Q14" s="23"/>
      <c r="R14" s="36" t="s">
        <v>64</v>
      </c>
      <c r="S14" s="36" t="s">
        <v>64</v>
      </c>
      <c r="T14" s="23" t="s">
        <v>64</v>
      </c>
      <c r="U14" s="23" t="s">
        <v>64</v>
      </c>
      <c r="V14" s="36" t="s">
        <v>65</v>
      </c>
      <c r="W14" s="36" t="s">
        <v>66</v>
      </c>
      <c r="X14" s="23" t="s">
        <v>47</v>
      </c>
      <c r="Y14" s="23" t="s">
        <v>48</v>
      </c>
      <c r="Z14" s="23" t="s">
        <v>47</v>
      </c>
      <c r="AA14" s="23" t="s">
        <v>48</v>
      </c>
      <c r="AB14" s="23" t="s">
        <v>47</v>
      </c>
      <c r="AC14" s="23" t="s">
        <v>48</v>
      </c>
      <c r="AD14" s="23" t="s">
        <v>47</v>
      </c>
      <c r="AE14" s="23" t="s">
        <v>48</v>
      </c>
      <c r="AF14" s="23" t="s">
        <v>67</v>
      </c>
      <c r="AG14" s="23" t="s">
        <v>67</v>
      </c>
      <c r="AH14" s="23" t="s">
        <v>67</v>
      </c>
      <c r="AI14" s="23" t="s">
        <v>67</v>
      </c>
    </row>
    <row r="15" customFormat="false" ht="12" hidden="false" customHeight="false" outlineLevel="0" collapsed="false">
      <c r="A15" s="37" t="s">
        <v>68</v>
      </c>
      <c r="B15" s="37" t="s">
        <v>69</v>
      </c>
      <c r="C15" s="38" t="s">
        <v>70</v>
      </c>
      <c r="D15" s="37" t="s">
        <v>70</v>
      </c>
      <c r="E15" s="39" t="s">
        <v>42</v>
      </c>
      <c r="F15" s="39" t="s">
        <v>43</v>
      </c>
      <c r="G15" s="37" t="s">
        <v>71</v>
      </c>
      <c r="H15" s="37" t="s">
        <v>72</v>
      </c>
      <c r="I15" s="37" t="s">
        <v>73</v>
      </c>
      <c r="J15" s="37" t="s">
        <v>74</v>
      </c>
      <c r="K15" s="37" t="s">
        <v>75</v>
      </c>
      <c r="L15" s="37" t="s">
        <v>73</v>
      </c>
      <c r="M15" s="37" t="s">
        <v>74</v>
      </c>
      <c r="N15" s="37" t="s">
        <v>75</v>
      </c>
      <c r="O15" s="37" t="s">
        <v>68</v>
      </c>
      <c r="P15" s="18" t="s">
        <v>28</v>
      </c>
      <c r="Q15" s="18" t="s">
        <v>76</v>
      </c>
      <c r="R15" s="21" t="s">
        <v>77</v>
      </c>
      <c r="S15" s="21" t="s">
        <v>77</v>
      </c>
      <c r="T15" s="18" t="s">
        <v>77</v>
      </c>
      <c r="U15" s="18" t="s">
        <v>77</v>
      </c>
      <c r="V15" s="21" t="s">
        <v>42</v>
      </c>
      <c r="W15" s="21" t="s">
        <v>43</v>
      </c>
      <c r="X15" s="18" t="s">
        <v>42</v>
      </c>
      <c r="Y15" s="18" t="s">
        <v>42</v>
      </c>
      <c r="Z15" s="18" t="s">
        <v>43</v>
      </c>
      <c r="AA15" s="18" t="s">
        <v>43</v>
      </c>
      <c r="AB15" s="18" t="s">
        <v>42</v>
      </c>
      <c r="AC15" s="18" t="s">
        <v>42</v>
      </c>
      <c r="AD15" s="18" t="s">
        <v>43</v>
      </c>
      <c r="AE15" s="18" t="s">
        <v>43</v>
      </c>
      <c r="AF15" s="23" t="s">
        <v>42</v>
      </c>
      <c r="AG15" s="23" t="s">
        <v>42</v>
      </c>
      <c r="AH15" s="24" t="s">
        <v>43</v>
      </c>
      <c r="AI15" s="24" t="s">
        <v>43</v>
      </c>
    </row>
    <row r="16" customFormat="false" ht="12.75" hidden="false" customHeight="false" outlineLevel="0" collapsed="false">
      <c r="A16" s="40" t="s">
        <v>78</v>
      </c>
      <c r="B16" s="40"/>
      <c r="C16" s="41" t="s">
        <v>79</v>
      </c>
      <c r="D16" s="40" t="s">
        <v>80</v>
      </c>
      <c r="E16" s="42" t="s">
        <v>75</v>
      </c>
      <c r="F16" s="42" t="s">
        <v>75</v>
      </c>
      <c r="G16" s="40" t="s">
        <v>81</v>
      </c>
      <c r="H16" s="40" t="s">
        <v>82</v>
      </c>
      <c r="I16" s="40" t="s">
        <v>80</v>
      </c>
      <c r="J16" s="40" t="s">
        <v>80</v>
      </c>
      <c r="K16" s="40" t="s">
        <v>80</v>
      </c>
      <c r="L16" s="40" t="s">
        <v>80</v>
      </c>
      <c r="M16" s="40" t="s">
        <v>80</v>
      </c>
      <c r="N16" s="40" t="s">
        <v>80</v>
      </c>
      <c r="O16" s="40" t="s">
        <v>78</v>
      </c>
      <c r="P16" s="42" t="s">
        <v>78</v>
      </c>
      <c r="Q16" s="42" t="s">
        <v>78</v>
      </c>
      <c r="R16" s="43" t="s">
        <v>83</v>
      </c>
      <c r="S16" s="43" t="s">
        <v>84</v>
      </c>
      <c r="T16" s="42" t="s">
        <v>85</v>
      </c>
      <c r="U16" s="42" t="s">
        <v>86</v>
      </c>
      <c r="V16" s="43" t="s">
        <v>75</v>
      </c>
      <c r="W16" s="43" t="s">
        <v>75</v>
      </c>
      <c r="X16" s="42" t="s">
        <v>75</v>
      </c>
      <c r="Y16" s="42" t="s">
        <v>75</v>
      </c>
      <c r="Z16" s="42" t="s">
        <v>75</v>
      </c>
      <c r="AA16" s="42" t="s">
        <v>75</v>
      </c>
      <c r="AB16" s="42" t="s">
        <v>87</v>
      </c>
      <c r="AC16" s="42" t="s">
        <v>87</v>
      </c>
      <c r="AD16" s="42" t="s">
        <v>87</v>
      </c>
      <c r="AE16" s="42" t="s">
        <v>87</v>
      </c>
      <c r="AF16" s="22" t="s">
        <v>47</v>
      </c>
      <c r="AG16" s="22" t="s">
        <v>48</v>
      </c>
      <c r="AH16" s="22" t="s">
        <v>47</v>
      </c>
      <c r="AI16" s="22" t="s">
        <v>48</v>
      </c>
    </row>
    <row r="17" customFormat="false" ht="12" hidden="false" customHeight="true" outlineLevel="0" collapsed="false">
      <c r="A17" s="28"/>
      <c r="B17" s="23" t="s">
        <v>41</v>
      </c>
      <c r="C17" s="25"/>
      <c r="E17" s="0"/>
      <c r="F17" s="0"/>
      <c r="G17" s="28"/>
      <c r="H17" s="0" t="s">
        <v>76</v>
      </c>
      <c r="O17" s="28"/>
      <c r="AF17" s="44"/>
      <c r="AG17" s="44"/>
      <c r="AH17" s="44"/>
      <c r="AI17" s="44"/>
    </row>
    <row r="18" customFormat="false" ht="12" hidden="false" customHeight="true" outlineLevel="0" collapsed="false">
      <c r="A18" s="29" t="n">
        <v>1</v>
      </c>
      <c r="B18" s="45" t="n">
        <f aca="true">IF(RAND()&lt;$D$8,1,0)</f>
        <v>1</v>
      </c>
      <c r="C18" s="34" t="n">
        <v>0</v>
      </c>
      <c r="D18" s="46" t="n">
        <v>0</v>
      </c>
      <c r="E18" s="47" t="n">
        <v>0</v>
      </c>
      <c r="F18" s="47" t="n">
        <v>0</v>
      </c>
      <c r="G18" s="48" t="n">
        <v>0.5</v>
      </c>
      <c r="H18" s="46" t="n">
        <v>0</v>
      </c>
      <c r="I18" s="46" t="n">
        <f aca="true">IF((H18=1),0,$D$3+$D$5*(RAND()-0.5))</f>
        <v>20.0491926212504</v>
      </c>
      <c r="J18" s="46" t="n">
        <f aca="false">I18</f>
        <v>20.0491926212504</v>
      </c>
      <c r="K18" s="46" t="n">
        <f aca="false">IF((H18=0),J18-D18,0)</f>
        <v>20.0491926212504</v>
      </c>
      <c r="L18" s="46" t="n">
        <f aca="true">IF(($H18=0),0,$D$4+$D$5*(RAND()-0.5))</f>
        <v>0</v>
      </c>
      <c r="M18" s="46" t="n">
        <f aca="false">L18</f>
        <v>0</v>
      </c>
      <c r="N18" s="46" t="n">
        <f aca="false">IF((H18=1),M18-D18,0)</f>
        <v>0</v>
      </c>
      <c r="O18" s="29" t="n">
        <v>1</v>
      </c>
      <c r="P18" s="49" t="n">
        <f aca="false">IF((Arterial=0),P17+1,P17)</f>
        <v>1</v>
      </c>
      <c r="Q18" s="49" t="n">
        <f aca="false">IF((Arterial=1),Q17+1,Q17)</f>
        <v>0</v>
      </c>
      <c r="R18" s="50" t="n">
        <f aca="false">IF((RESET=1),0,R18+K18)</f>
        <v>0</v>
      </c>
      <c r="S18" s="19" t="n">
        <f aca="false">IF(RESET=1,0,S18+N18)</f>
        <v>0</v>
      </c>
      <c r="T18" s="0" t="n">
        <f aca="false">IF(RESET=1,0,T18+IF(H18=0,1,0))</f>
        <v>0</v>
      </c>
      <c r="U18" s="0" t="n">
        <f aca="false">IF(RESET=1,0,U18+H18)</f>
        <v>0</v>
      </c>
      <c r="V18" s="19" t="n">
        <f aca="false">R18/(T18+0.00001)</f>
        <v>0</v>
      </c>
      <c r="W18" s="19" t="n">
        <f aca="false">S18/(U18+0.0001)</f>
        <v>0</v>
      </c>
      <c r="X18" s="47" t="n">
        <f aca="false">IF(Informed=1,K18,0)</f>
        <v>20.0491926212504</v>
      </c>
      <c r="Y18" s="47" t="n">
        <f aca="false">IF(Informed=0,K18,0)</f>
        <v>0</v>
      </c>
      <c r="Z18" s="47" t="n">
        <f aca="false">IF(Informed=1,N18,0)</f>
        <v>0</v>
      </c>
      <c r="AA18" s="47" t="n">
        <f aca="false">IF(Informed=0,N18,0)</f>
        <v>0</v>
      </c>
      <c r="AB18" s="51" t="n">
        <f aca="false">IF(Arterial=0,IF(Informed=1,1,0),0)</f>
        <v>1</v>
      </c>
      <c r="AC18" s="51" t="n">
        <f aca="false">IF(Arterial=0,IF(Informed=0,1,0),0)</f>
        <v>0</v>
      </c>
      <c r="AD18" s="51" t="n">
        <f aca="false">IF(Arterial=1,IF(Informed=1,1,0),0)</f>
        <v>0</v>
      </c>
      <c r="AE18" s="51" t="n">
        <f aca="false">IF(Arterial=1,IF(Informed=0,1,0),0)</f>
        <v>0</v>
      </c>
      <c r="AF18" s="44" t="e">
        <f aca="false">IF(AB18=1,(X18-G$1030)^2,0)</f>
        <v>#N/A</v>
      </c>
      <c r="AG18" s="44" t="n">
        <f aca="false">IF(AC18=1,(Y18-H$1030)^2,0)</f>
        <v>0</v>
      </c>
      <c r="AH18" s="44" t="n">
        <f aca="false">IF(AD18=1,(Z18-I$1030)^2,0)</f>
        <v>0</v>
      </c>
      <c r="AI18" s="44" t="n">
        <f aca="false">IF(AE18=1,(AA18-J$1030)^2,0)</f>
        <v>0</v>
      </c>
    </row>
    <row r="19" customFormat="false" ht="12" hidden="false" customHeight="true" outlineLevel="0" collapsed="false">
      <c r="A19" s="29" t="n">
        <v>2</v>
      </c>
      <c r="B19" s="45" t="n">
        <f aca="true">IF(RAND()&lt;$D$8,1,0)</f>
        <v>1</v>
      </c>
      <c r="C19" s="34" t="n">
        <f aca="true">-LN(RAND())/$D$2</f>
        <v>1.71976579146892</v>
      </c>
      <c r="D19" s="46" t="n">
        <f aca="false">D18+C19</f>
        <v>1.71976579146892</v>
      </c>
      <c r="E19" s="47" t="n">
        <v>0</v>
      </c>
      <c r="F19" s="47" t="n">
        <v>0</v>
      </c>
      <c r="G19" s="48" t="n">
        <v>0.5</v>
      </c>
      <c r="H19" s="46" t="n">
        <f aca="true">IF((B19=1),(IF((F19&lt;E19),1,(IF((F19=E19),(IF(RAND()&lt;G19,1,0)),0)))),(IF((RAND()&lt;G19),1,0)))</f>
        <v>1</v>
      </c>
      <c r="I19" s="46" t="n">
        <f aca="true">IF((H19=1),0,$D$3+$D$5*(RAND()-0.5))</f>
        <v>0</v>
      </c>
      <c r="J19" s="46" t="n">
        <f aca="false">I19+MAX(D19,J18)</f>
        <v>20.0491926212504</v>
      </c>
      <c r="K19" s="46" t="n">
        <f aca="false">IF((H19=0),J19-D19,0)</f>
        <v>0</v>
      </c>
      <c r="L19" s="46" t="n">
        <f aca="true">IF(($H19=0),0,$D$4+$D$5*(RAND()-0.5))</f>
        <v>1.87439699393508</v>
      </c>
      <c r="M19" s="46" t="n">
        <f aca="false">L19+MAX(D19,M18)</f>
        <v>3.594162785404</v>
      </c>
      <c r="N19" s="46" t="n">
        <f aca="false">IF((H19=1),M19-D19,0)</f>
        <v>1.87439699393508</v>
      </c>
      <c r="O19" s="29" t="n">
        <v>2</v>
      </c>
      <c r="P19" s="49" t="n">
        <f aca="false">IF((Arterial=0),P18+1,P18)</f>
        <v>1</v>
      </c>
      <c r="Q19" s="49" t="n">
        <f aca="false">IF((Arterial=1),Q18+1,Q18)</f>
        <v>1</v>
      </c>
      <c r="R19" s="50" t="n">
        <f aca="false">IF((RESET=1),0,R19+K19)</f>
        <v>0</v>
      </c>
      <c r="S19" s="19" t="n">
        <f aca="false">IF(RESET=1,0,S19+N19)</f>
        <v>0</v>
      </c>
      <c r="T19" s="0" t="n">
        <f aca="false">IF(RESET=1,0,T19+IF(H19=0,1,0))</f>
        <v>0</v>
      </c>
      <c r="U19" s="0" t="n">
        <f aca="false">IF(RESET=1,0,U19+H19)</f>
        <v>0</v>
      </c>
      <c r="V19" s="19" t="n">
        <f aca="false">R19/(T19+0.00001)</f>
        <v>0</v>
      </c>
      <c r="W19" s="19" t="n">
        <f aca="false">S19/(U19+0.0001)</f>
        <v>0</v>
      </c>
      <c r="X19" s="47" t="n">
        <f aca="false">IF(Informed=1,K19,0)</f>
        <v>0</v>
      </c>
      <c r="Y19" s="47" t="n">
        <f aca="false">IF(Informed=0,K19,0)</f>
        <v>0</v>
      </c>
      <c r="Z19" s="47" t="n">
        <f aca="false">IF(Informed=1,N19,0)</f>
        <v>1.87439699393508</v>
      </c>
      <c r="AA19" s="47" t="n">
        <f aca="false">IF(Informed=0,N19,0)</f>
        <v>0</v>
      </c>
      <c r="AB19" s="51" t="n">
        <f aca="false">IF(Arterial=0,IF(Informed=1,1,0),0)</f>
        <v>0</v>
      </c>
      <c r="AC19" s="51" t="n">
        <f aca="false">IF(Arterial=0,IF(Informed=0,1,0),0)</f>
        <v>0</v>
      </c>
      <c r="AD19" s="51" t="n">
        <f aca="false">IF(Arterial=1,IF(Informed=1,1,0),0)</f>
        <v>1</v>
      </c>
      <c r="AE19" s="51" t="n">
        <f aca="false">IF(Arterial=1,IF(Informed=0,1,0),0)</f>
        <v>0</v>
      </c>
      <c r="AF19" s="44" t="n">
        <f aca="false">IF(AB19=1,(X19-G$1030)^2,0)</f>
        <v>0</v>
      </c>
      <c r="AG19" s="44" t="n">
        <f aca="false">IF(AC19=1,(Y19-H$1030)^2,0)</f>
        <v>0</v>
      </c>
      <c r="AH19" s="44" t="e">
        <f aca="false">IF(AD19=1,(Z19-I$1030)^2,0)</f>
        <v>#N/A</v>
      </c>
      <c r="AI19" s="44" t="n">
        <f aca="false">IF(AE19=1,(AA19-J$1030)^2,0)</f>
        <v>0</v>
      </c>
    </row>
    <row r="20" customFormat="false" ht="12" hidden="false" customHeight="true" outlineLevel="0" collapsed="false">
      <c r="A20" s="29" t="n">
        <v>3</v>
      </c>
      <c r="B20" s="45" t="n">
        <f aca="true">IF(RAND()&lt;$D$8,1,0)</f>
        <v>1</v>
      </c>
      <c r="C20" s="34" t="n">
        <f aca="true">-LN(RAND())/$D$2</f>
        <v>1.73367282739277</v>
      </c>
      <c r="D20" s="46" t="n">
        <f aca="false">D19+C20</f>
        <v>3.45343861886169</v>
      </c>
      <c r="E20" s="47" t="n">
        <v>0</v>
      </c>
      <c r="F20" s="47" t="n">
        <v>0</v>
      </c>
      <c r="G20" s="48" t="n">
        <v>0.5</v>
      </c>
      <c r="H20" s="46" t="n">
        <f aca="true">IF((B20=1),(IF((F20&lt;E20),1,(IF((F20=E20),(IF(RAND()&lt;G20,1,0)),0)))),(IF((RAND()&lt;G20),1,0)))</f>
        <v>1</v>
      </c>
      <c r="I20" s="46" t="n">
        <f aca="true">IF((H20=1),0,$D$3+$D$5*(RAND()-0.5))</f>
        <v>0</v>
      </c>
      <c r="J20" s="46" t="n">
        <f aca="false">I20+MAX(D20,J19)</f>
        <v>20.0491926212504</v>
      </c>
      <c r="K20" s="46" t="n">
        <f aca="false">IF((H20=0),J20-D20,0)</f>
        <v>0</v>
      </c>
      <c r="L20" s="46" t="n">
        <f aca="true">IF(($H20=0),0,$D$4+$D$5*(RAND()-0.5))</f>
        <v>2.01311900667884</v>
      </c>
      <c r="M20" s="46" t="n">
        <f aca="false">L20+MAX(D20,M19)</f>
        <v>5.60728179208283</v>
      </c>
      <c r="N20" s="46" t="n">
        <f aca="false">IF((H20=1),M20-D20,0)</f>
        <v>2.15384317322114</v>
      </c>
      <c r="O20" s="29" t="n">
        <v>3</v>
      </c>
      <c r="P20" s="49" t="n">
        <f aca="false">IF((Arterial=0),P19+1,P19)</f>
        <v>1</v>
      </c>
      <c r="Q20" s="49" t="n">
        <f aca="false">IF((Arterial=1),Q19+1,Q19)</f>
        <v>2</v>
      </c>
      <c r="R20" s="50" t="n">
        <f aca="false">IF((RESET=1),0,R20+K20)</f>
        <v>0</v>
      </c>
      <c r="S20" s="19" t="n">
        <f aca="false">IF(RESET=1,0,S20+N20)</f>
        <v>0</v>
      </c>
      <c r="T20" s="0" t="n">
        <f aca="false">IF(RESET=1,0,T20+IF(H20=0,1,0))</f>
        <v>0</v>
      </c>
      <c r="U20" s="0" t="n">
        <f aca="false">IF(RESET=1,0,U20+H20)</f>
        <v>0</v>
      </c>
      <c r="V20" s="19" t="n">
        <f aca="false">R20/(T20+0.00001)</f>
        <v>0</v>
      </c>
      <c r="W20" s="19" t="n">
        <f aca="false">S20/(U20+0.0001)</f>
        <v>0</v>
      </c>
      <c r="X20" s="47" t="n">
        <f aca="false">IF(Informed=1,K20,0)</f>
        <v>0</v>
      </c>
      <c r="Y20" s="47" t="n">
        <f aca="false">IF(Informed=0,K20,0)</f>
        <v>0</v>
      </c>
      <c r="Z20" s="47" t="n">
        <f aca="false">IF(Informed=1,N20,0)</f>
        <v>2.15384317322114</v>
      </c>
      <c r="AA20" s="47" t="n">
        <f aca="false">IF(Informed=0,N20,0)</f>
        <v>0</v>
      </c>
      <c r="AB20" s="51" t="n">
        <f aca="false">IF(Arterial=0,IF(Informed=1,1,0),0)</f>
        <v>0</v>
      </c>
      <c r="AC20" s="51" t="n">
        <f aca="false">IF(Arterial=0,IF(Informed=0,1,0),0)</f>
        <v>0</v>
      </c>
      <c r="AD20" s="51" t="n">
        <f aca="false">IF(Arterial=1,IF(Informed=1,1,0),0)</f>
        <v>1</v>
      </c>
      <c r="AE20" s="51" t="n">
        <f aca="false">IF(Arterial=1,IF(Informed=0,1,0),0)</f>
        <v>0</v>
      </c>
      <c r="AF20" s="44" t="n">
        <f aca="false">IF(AB20=1,(X20-G$1030)^2,0)</f>
        <v>0</v>
      </c>
      <c r="AG20" s="44" t="n">
        <f aca="false">IF(AC20=1,(Y20-H$1030)^2,0)</f>
        <v>0</v>
      </c>
      <c r="AH20" s="44" t="e">
        <f aca="false">IF(AD20=1,(Z20-I$1030)^2,0)</f>
        <v>#N/A</v>
      </c>
      <c r="AI20" s="44" t="n">
        <f aca="false">IF(AE20=1,(AA20-J$1030)^2,0)</f>
        <v>0</v>
      </c>
    </row>
    <row r="21" customFormat="false" ht="15" hidden="false" customHeight="true" outlineLevel="0" collapsed="false">
      <c r="A21" s="29" t="n">
        <v>4</v>
      </c>
      <c r="B21" s="45" t="n">
        <f aca="true">IF(RAND()&lt;$D$8,1,0)</f>
        <v>1</v>
      </c>
      <c r="C21" s="34" t="n">
        <f aca="true">-LN(RAND())/$D$2</f>
        <v>2.02438388105843</v>
      </c>
      <c r="D21" s="46" t="n">
        <f aca="false">D20+C21</f>
        <v>5.47782249992013</v>
      </c>
      <c r="E21" s="47" t="n">
        <v>0</v>
      </c>
      <c r="F21" s="47" t="n">
        <v>0</v>
      </c>
      <c r="G21" s="48" t="n">
        <v>0.5</v>
      </c>
      <c r="H21" s="46" t="n">
        <f aca="true">IF((B21=1),(IF((F21&lt;E21),1,(IF((F21=E21),(IF(RAND()&lt;G21,1,0)),0)))),(IF((RAND()&lt;G21),1,0)))</f>
        <v>1</v>
      </c>
      <c r="I21" s="46" t="n">
        <f aca="true">IF((H21=1),0,$D$3+$D$5*(RAND()-0.5))</f>
        <v>0</v>
      </c>
      <c r="J21" s="46" t="n">
        <f aca="false">I21+MAX(D21,J20)</f>
        <v>20.0491926212504</v>
      </c>
      <c r="K21" s="46" t="n">
        <f aca="false">IF((H21=0),J21-D21,0)</f>
        <v>0</v>
      </c>
      <c r="L21" s="46" t="n">
        <f aca="true">IF(($H21=0),0,$D$4+$D$5*(RAND()-0.5))</f>
        <v>1.75171406401294</v>
      </c>
      <c r="M21" s="46" t="n">
        <f aca="false">L21+MAX(D21,M20)</f>
        <v>7.35899585609577</v>
      </c>
      <c r="N21" s="46" t="n">
        <f aca="false">IF((H21=1),M21-D21,0)</f>
        <v>1.88117335617565</v>
      </c>
      <c r="O21" s="29" t="n">
        <v>4</v>
      </c>
      <c r="P21" s="49" t="n">
        <f aca="false">IF((Arterial=0),P20+1,P20)</f>
        <v>1</v>
      </c>
      <c r="Q21" s="49" t="n">
        <f aca="false">IF((Arterial=1),Q20+1,Q20)</f>
        <v>3</v>
      </c>
      <c r="R21" s="50" t="n">
        <f aca="false">IF((RESET=1),0,R21+K21)</f>
        <v>0</v>
      </c>
      <c r="S21" s="19" t="n">
        <f aca="false">IF(RESET=1,0,S21+N21)</f>
        <v>0</v>
      </c>
      <c r="T21" s="0" t="n">
        <f aca="false">IF(RESET=1,0,T21+IF(H21=0,1,0))</f>
        <v>0</v>
      </c>
      <c r="U21" s="0" t="n">
        <f aca="false">IF(RESET=1,0,U21+H21)</f>
        <v>0</v>
      </c>
      <c r="V21" s="19" t="n">
        <f aca="false">R21/(T21+0.00001)</f>
        <v>0</v>
      </c>
      <c r="W21" s="19" t="n">
        <f aca="false">S21/(U21+0.0001)</f>
        <v>0</v>
      </c>
      <c r="X21" s="47" t="n">
        <f aca="false">IF(Informed=1,K21,0)</f>
        <v>0</v>
      </c>
      <c r="Y21" s="47" t="n">
        <f aca="false">IF(Informed=0,K21,0)</f>
        <v>0</v>
      </c>
      <c r="Z21" s="47" t="n">
        <f aca="false">IF(Informed=1,N21,0)</f>
        <v>1.88117335617565</v>
      </c>
      <c r="AA21" s="47" t="n">
        <f aca="false">IF(Informed=0,N21,0)</f>
        <v>0</v>
      </c>
      <c r="AB21" s="51" t="n">
        <f aca="false">IF(Arterial=0,IF(Informed=1,1,0),0)</f>
        <v>0</v>
      </c>
      <c r="AC21" s="51" t="n">
        <f aca="false">IF(Arterial=0,IF(Informed=0,1,0),0)</f>
        <v>0</v>
      </c>
      <c r="AD21" s="51" t="n">
        <f aca="false">IF(Arterial=1,IF(Informed=1,1,0),0)</f>
        <v>1</v>
      </c>
      <c r="AE21" s="51" t="n">
        <f aca="false">IF(Arterial=1,IF(Informed=0,1,0),0)</f>
        <v>0</v>
      </c>
      <c r="AF21" s="44" t="n">
        <f aca="false">IF(AB21=1,(X21-G$1030)^2,0)</f>
        <v>0</v>
      </c>
      <c r="AG21" s="44" t="n">
        <f aca="false">IF(AC21=1,(Y21-H$1030)^2,0)</f>
        <v>0</v>
      </c>
      <c r="AH21" s="44" t="e">
        <f aca="false">IF(AD21=1,(Z21-I$1030)^2,0)</f>
        <v>#N/A</v>
      </c>
      <c r="AI21" s="44" t="n">
        <f aca="false">IF(AE21=1,(AA21-J$1030)^2,0)</f>
        <v>0</v>
      </c>
    </row>
    <row r="22" customFormat="false" ht="15" hidden="false" customHeight="true" outlineLevel="0" collapsed="false">
      <c r="A22" s="29" t="n">
        <v>5</v>
      </c>
      <c r="B22" s="45" t="n">
        <f aca="true">IF(RAND()&lt;$D$8,1,0)</f>
        <v>1</v>
      </c>
      <c r="C22" s="34" t="n">
        <f aca="true">-LN(RAND())/$D$2</f>
        <v>0.641086857714124</v>
      </c>
      <c r="D22" s="46" t="n">
        <f aca="false">D21+C22</f>
        <v>6.11890935763425</v>
      </c>
      <c r="E22" s="47" t="n">
        <v>0</v>
      </c>
      <c r="F22" s="47" t="n">
        <v>0</v>
      </c>
      <c r="G22" s="48" t="n">
        <v>0.5</v>
      </c>
      <c r="H22" s="46" t="n">
        <f aca="true">IF((B22=1),(IF((F22&lt;E22),1,(IF((F22=E22),(IF(RAND()&lt;G22,1,0)),0)))),(IF((RAND()&lt;G22),1,0)))</f>
        <v>1</v>
      </c>
      <c r="I22" s="46" t="n">
        <f aca="true">IF((H22=1),0,$D$3+$D$5*(RAND()-0.5))</f>
        <v>0</v>
      </c>
      <c r="J22" s="46" t="n">
        <f aca="false">I22+MAX(D22,J21)</f>
        <v>20.0491926212504</v>
      </c>
      <c r="K22" s="46" t="n">
        <f aca="false">IF((H22=0),J22-D22,0)</f>
        <v>0</v>
      </c>
      <c r="L22" s="46" t="n">
        <f aca="true">IF(($H22=0),0,$D$4+$D$5*(RAND()-0.5))</f>
        <v>1.81220985822716</v>
      </c>
      <c r="M22" s="46" t="n">
        <f aca="false">L22+MAX(D22,M21)</f>
        <v>9.17120571432293</v>
      </c>
      <c r="N22" s="46" t="n">
        <f aca="false">IF((H22=1),M22-D22,0)</f>
        <v>3.05229635668868</v>
      </c>
      <c r="O22" s="29" t="n">
        <v>5</v>
      </c>
      <c r="P22" s="49" t="n">
        <f aca="false">IF((Arterial=0),P21+1,P21)</f>
        <v>1</v>
      </c>
      <c r="Q22" s="49" t="n">
        <f aca="false">IF((Arterial=1),Q21+1,Q21)</f>
        <v>4</v>
      </c>
      <c r="R22" s="50" t="n">
        <f aca="false">IF((RESET=1),0,R22+K22)</f>
        <v>0</v>
      </c>
      <c r="S22" s="19" t="n">
        <f aca="false">IF(RESET=1,0,S22+N22)</f>
        <v>0</v>
      </c>
      <c r="T22" s="0" t="n">
        <f aca="false">IF(RESET=1,0,T22+IF(H22=0,1,0))</f>
        <v>0</v>
      </c>
      <c r="U22" s="0" t="n">
        <f aca="false">IF(RESET=1,0,U22+H22)</f>
        <v>0</v>
      </c>
      <c r="V22" s="19" t="n">
        <f aca="false">R22/(T22+0.00001)</f>
        <v>0</v>
      </c>
      <c r="W22" s="19" t="n">
        <f aca="false">S22/(U22+0.0001)</f>
        <v>0</v>
      </c>
      <c r="X22" s="47" t="n">
        <f aca="false">IF(Informed=1,K22,0)</f>
        <v>0</v>
      </c>
      <c r="Y22" s="47" t="n">
        <f aca="false">IF(Informed=0,K22,0)</f>
        <v>0</v>
      </c>
      <c r="Z22" s="47" t="n">
        <f aca="false">IF(Informed=1,N22,0)</f>
        <v>3.05229635668868</v>
      </c>
      <c r="AA22" s="47" t="n">
        <f aca="false">IF(Informed=0,N22,0)</f>
        <v>0</v>
      </c>
      <c r="AB22" s="51" t="n">
        <f aca="false">IF(Arterial=0,IF(Informed=1,1,0),0)</f>
        <v>0</v>
      </c>
      <c r="AC22" s="51" t="n">
        <f aca="false">IF(Arterial=0,IF(Informed=0,1,0),0)</f>
        <v>0</v>
      </c>
      <c r="AD22" s="51" t="n">
        <f aca="false">IF(Arterial=1,IF(Informed=1,1,0),0)</f>
        <v>1</v>
      </c>
      <c r="AE22" s="51" t="n">
        <f aca="false">IF(Arterial=1,IF(Informed=0,1,0),0)</f>
        <v>0</v>
      </c>
      <c r="AF22" s="44" t="n">
        <f aca="false">IF(AB22=1,(X22-G$1030)^2,0)</f>
        <v>0</v>
      </c>
      <c r="AG22" s="44" t="n">
        <f aca="false">IF(AC22=1,(Y22-H$1030)^2,0)</f>
        <v>0</v>
      </c>
      <c r="AH22" s="44" t="e">
        <f aca="false">IF(AD22=1,(Z22-I$1030)^2,0)</f>
        <v>#N/A</v>
      </c>
      <c r="AI22" s="44" t="n">
        <f aca="false">IF(AE22=1,(AA22-J$1030)^2,0)</f>
        <v>0</v>
      </c>
    </row>
    <row r="23" customFormat="false" ht="15" hidden="false" customHeight="true" outlineLevel="0" collapsed="false">
      <c r="A23" s="29" t="n">
        <v>6</v>
      </c>
      <c r="B23" s="45" t="n">
        <f aca="true">IF(RAND()&lt;$D$8,1,0)</f>
        <v>1</v>
      </c>
      <c r="C23" s="34" t="n">
        <f aca="true">-LN(RAND())/$D$2</f>
        <v>0.0234260566612341</v>
      </c>
      <c r="D23" s="46" t="n">
        <f aca="false">D22+C23</f>
        <v>6.14233541429548</v>
      </c>
      <c r="E23" s="47" t="n">
        <v>0</v>
      </c>
      <c r="F23" s="47" t="n">
        <v>0</v>
      </c>
      <c r="G23" s="48" t="n">
        <v>0.5</v>
      </c>
      <c r="H23" s="46" t="n">
        <f aca="true">IF((B23=1),(IF((F23&lt;E23),1,(IF((F23=E23),(IF(RAND()&lt;G23,1,0)),0)))),(IF((RAND()&lt;G23),1,0)))</f>
        <v>0</v>
      </c>
      <c r="I23" s="46" t="n">
        <f aca="true">IF((H23=1),0,$D$3+$D$5*(RAND()-0.5))</f>
        <v>19.8296846744575</v>
      </c>
      <c r="J23" s="46" t="n">
        <f aca="false">I23+MAX(D23,J22)</f>
        <v>39.8788772957079</v>
      </c>
      <c r="K23" s="46" t="n">
        <f aca="false">IF((H23=0),J23-D23,0)</f>
        <v>33.7365418814124</v>
      </c>
      <c r="L23" s="46" t="n">
        <f aca="true">IF(($H23=0),0,$D$4+$D$5*(RAND()-0.5))</f>
        <v>0</v>
      </c>
      <c r="M23" s="46" t="n">
        <f aca="false">L23+MAX(D23,M22)</f>
        <v>9.17120571432293</v>
      </c>
      <c r="N23" s="46" t="n">
        <f aca="false">IF((H23=1),M23-D23,0)</f>
        <v>0</v>
      </c>
      <c r="O23" s="29" t="n">
        <v>6</v>
      </c>
      <c r="P23" s="49" t="n">
        <f aca="false">IF((Arterial=0),P22+1,P22)</f>
        <v>2</v>
      </c>
      <c r="Q23" s="49" t="n">
        <f aca="false">IF((Arterial=1),Q22+1,Q22)</f>
        <v>4</v>
      </c>
      <c r="R23" s="50" t="n">
        <f aca="false">IF((RESET=1),0,R23+K23)</f>
        <v>0</v>
      </c>
      <c r="S23" s="19" t="n">
        <f aca="false">IF(RESET=1,0,S23+N23)</f>
        <v>0</v>
      </c>
      <c r="T23" s="0" t="n">
        <f aca="false">IF(RESET=1,0,T23+IF(H23=0,1,0))</f>
        <v>0</v>
      </c>
      <c r="U23" s="0" t="n">
        <f aca="false">IF(RESET=1,0,U23+H23)</f>
        <v>0</v>
      </c>
      <c r="V23" s="19" t="n">
        <f aca="false">R23/(T23+0.00001)</f>
        <v>0</v>
      </c>
      <c r="W23" s="19" t="n">
        <f aca="false">S23/(U23+0.0001)</f>
        <v>0</v>
      </c>
      <c r="X23" s="47" t="n">
        <f aca="false">IF(Informed=1,K23,0)</f>
        <v>33.7365418814124</v>
      </c>
      <c r="Y23" s="47" t="n">
        <f aca="false">IF(Informed=0,K23,0)</f>
        <v>0</v>
      </c>
      <c r="Z23" s="47" t="n">
        <f aca="false">IF(Informed=1,N23,0)</f>
        <v>0</v>
      </c>
      <c r="AA23" s="47" t="n">
        <f aca="false">IF(Informed=0,N23,0)</f>
        <v>0</v>
      </c>
      <c r="AB23" s="51" t="n">
        <f aca="false">IF(Arterial=0,IF(Informed=1,1,0),0)</f>
        <v>1</v>
      </c>
      <c r="AC23" s="51" t="n">
        <f aca="false">IF(Arterial=0,IF(Informed=0,1,0),0)</f>
        <v>0</v>
      </c>
      <c r="AD23" s="51" t="n">
        <f aca="false">IF(Arterial=1,IF(Informed=1,1,0),0)</f>
        <v>0</v>
      </c>
      <c r="AE23" s="51" t="n">
        <f aca="false">IF(Arterial=1,IF(Informed=0,1,0),0)</f>
        <v>0</v>
      </c>
      <c r="AF23" s="44" t="e">
        <f aca="false">IF(AB23=1,(X23-G$1030)^2,0)</f>
        <v>#N/A</v>
      </c>
      <c r="AG23" s="44" t="n">
        <f aca="false">IF(AC23=1,(Y23-H$1030)^2,0)</f>
        <v>0</v>
      </c>
      <c r="AH23" s="44" t="n">
        <f aca="false">IF(AD23=1,(Z23-I$1030)^2,0)</f>
        <v>0</v>
      </c>
      <c r="AI23" s="44" t="n">
        <f aca="false">IF(AE23=1,(AA23-J$1030)^2,0)</f>
        <v>0</v>
      </c>
    </row>
    <row r="24" customFormat="false" ht="15" hidden="false" customHeight="true" outlineLevel="0" collapsed="false">
      <c r="A24" s="29" t="n">
        <v>7</v>
      </c>
      <c r="B24" s="45" t="n">
        <f aca="true">IF(RAND()&lt;$D$8,1,0)</f>
        <v>1</v>
      </c>
      <c r="C24" s="34" t="n">
        <f aca="true">-LN(RAND())/$D$2</f>
        <v>0.526978967771186</v>
      </c>
      <c r="D24" s="46" t="n">
        <f aca="false">D23+C24</f>
        <v>6.66931438206667</v>
      </c>
      <c r="E24" s="47" t="n">
        <v>0</v>
      </c>
      <c r="F24" s="47" t="n">
        <v>0</v>
      </c>
      <c r="G24" s="48" t="n">
        <v>0.5</v>
      </c>
      <c r="H24" s="46" t="n">
        <f aca="true">IF((B24=1),(IF((F24&lt;E24),1,(IF((F24=E24),(IF(RAND()&lt;G24,1,0)),0)))),(IF((RAND()&lt;G24),1,0)))</f>
        <v>1</v>
      </c>
      <c r="I24" s="46" t="n">
        <f aca="true">IF((H24=1),0,$D$3+$D$5*(RAND()-0.5))</f>
        <v>0</v>
      </c>
      <c r="J24" s="46" t="n">
        <f aca="false">I24+MAX(D24,J23)</f>
        <v>39.8788772957079</v>
      </c>
      <c r="K24" s="46" t="n">
        <f aca="false">IF((H24=0),J24-D24,0)</f>
        <v>0</v>
      </c>
      <c r="L24" s="46" t="n">
        <f aca="true">IF(($H24=0),0,$D$4+$D$5*(RAND()-0.5))</f>
        <v>2.21956380785435</v>
      </c>
      <c r="M24" s="46" t="n">
        <f aca="false">L24+MAX(D24,M23)</f>
        <v>11.3907695221773</v>
      </c>
      <c r="N24" s="46" t="n">
        <f aca="false">IF((H24=1),M24-D24,0)</f>
        <v>4.72145514011062</v>
      </c>
      <c r="O24" s="29" t="n">
        <v>7</v>
      </c>
      <c r="P24" s="49" t="n">
        <f aca="false">IF((Arterial=0),P23+1,P23)</f>
        <v>2</v>
      </c>
      <c r="Q24" s="49" t="n">
        <f aca="false">IF((Arterial=1),Q23+1,Q23)</f>
        <v>5</v>
      </c>
      <c r="R24" s="50" t="n">
        <f aca="false">IF((RESET=1),0,R24+K24)</f>
        <v>0</v>
      </c>
      <c r="S24" s="19" t="n">
        <f aca="false">IF(RESET=1,0,S24+N24)</f>
        <v>0</v>
      </c>
      <c r="T24" s="0" t="n">
        <f aca="false">IF(RESET=1,0,T24+IF(H24=0,1,0))</f>
        <v>0</v>
      </c>
      <c r="U24" s="0" t="n">
        <f aca="false">IF(RESET=1,0,U24+H24)</f>
        <v>0</v>
      </c>
      <c r="V24" s="19" t="n">
        <f aca="false">R24/(T24+0.00001)</f>
        <v>0</v>
      </c>
      <c r="W24" s="19" t="n">
        <f aca="false">S24/(U24+0.0001)</f>
        <v>0</v>
      </c>
      <c r="X24" s="47" t="n">
        <f aca="false">IF(Informed=1,K24,0)</f>
        <v>0</v>
      </c>
      <c r="Y24" s="47" t="n">
        <f aca="false">IF(Informed=0,K24,0)</f>
        <v>0</v>
      </c>
      <c r="Z24" s="47" t="n">
        <f aca="false">IF(Informed=1,N24,0)</f>
        <v>4.72145514011062</v>
      </c>
      <c r="AA24" s="47" t="n">
        <f aca="false">IF(Informed=0,N24,0)</f>
        <v>0</v>
      </c>
      <c r="AB24" s="51" t="n">
        <f aca="false">IF(Arterial=0,IF(Informed=1,1,0),0)</f>
        <v>0</v>
      </c>
      <c r="AC24" s="51" t="n">
        <f aca="false">IF(Arterial=0,IF(Informed=0,1,0),0)</f>
        <v>0</v>
      </c>
      <c r="AD24" s="51" t="n">
        <f aca="false">IF(Arterial=1,IF(Informed=1,1,0),0)</f>
        <v>1</v>
      </c>
      <c r="AE24" s="51" t="n">
        <f aca="false">IF(Arterial=1,IF(Informed=0,1,0),0)</f>
        <v>0</v>
      </c>
      <c r="AF24" s="44" t="n">
        <f aca="false">IF(AB24=1,(X24-G$1030)^2,0)</f>
        <v>0</v>
      </c>
      <c r="AG24" s="44" t="n">
        <f aca="false">IF(AC24=1,(Y24-H$1030)^2,0)</f>
        <v>0</v>
      </c>
      <c r="AH24" s="44" t="e">
        <f aca="false">IF(AD24=1,(Z24-I$1030)^2,0)</f>
        <v>#N/A</v>
      </c>
      <c r="AI24" s="44" t="n">
        <f aca="false">IF(AE24=1,(AA24-J$1030)^2,0)</f>
        <v>0</v>
      </c>
    </row>
    <row r="25" customFormat="false" ht="15" hidden="false" customHeight="true" outlineLevel="0" collapsed="false">
      <c r="A25" s="29" t="n">
        <v>8</v>
      </c>
      <c r="B25" s="45" t="n">
        <f aca="true">IF(RAND()&lt;$D$8,1,0)</f>
        <v>1</v>
      </c>
      <c r="C25" s="34" t="n">
        <f aca="true">-LN(RAND())/$D$2</f>
        <v>0.886855428969841</v>
      </c>
      <c r="D25" s="46" t="n">
        <f aca="false">D24+C25</f>
        <v>7.55616981103651</v>
      </c>
      <c r="E25" s="47" t="n">
        <v>0</v>
      </c>
      <c r="F25" s="47" t="n">
        <v>0</v>
      </c>
      <c r="G25" s="48" t="n">
        <v>0.5</v>
      </c>
      <c r="H25" s="46" t="n">
        <f aca="true">IF((B25=1),(IF((F25&lt;E25),1,(IF((F25=E25),(IF(RAND()&lt;G25,1,0)),0)))),(IF((RAND()&lt;G25),1,0)))</f>
        <v>1</v>
      </c>
      <c r="I25" s="46" t="n">
        <f aca="true">IF((H25=1),0,$D$3+$D$5*(RAND()-0.5))</f>
        <v>0</v>
      </c>
      <c r="J25" s="46" t="n">
        <f aca="false">I25+MAX(D25,J24)</f>
        <v>39.8788772957079</v>
      </c>
      <c r="K25" s="46" t="n">
        <f aca="false">IF((H25=0),J25-D25,0)</f>
        <v>0</v>
      </c>
      <c r="L25" s="46" t="n">
        <f aca="true">IF(($H25=0),0,$D$4+$D$5*(RAND()-0.5))</f>
        <v>1.98937198644122</v>
      </c>
      <c r="M25" s="46" t="n">
        <f aca="false">L25+MAX(D25,M24)</f>
        <v>13.3801415086185</v>
      </c>
      <c r="N25" s="46" t="n">
        <f aca="false">IF((H25=1),M25-D25,0)</f>
        <v>5.823971697582</v>
      </c>
      <c r="O25" s="29" t="n">
        <v>8</v>
      </c>
      <c r="P25" s="49" t="n">
        <f aca="false">IF((Arterial=0),P24+1,P24)</f>
        <v>2</v>
      </c>
      <c r="Q25" s="49" t="n">
        <f aca="false">IF((Arterial=1),Q24+1,Q24)</f>
        <v>6</v>
      </c>
      <c r="R25" s="50" t="n">
        <f aca="false">IF((RESET=1),0,R25+K25)</f>
        <v>0</v>
      </c>
      <c r="S25" s="19" t="n">
        <f aca="false">IF(RESET=1,0,S25+N25)</f>
        <v>0</v>
      </c>
      <c r="T25" s="0" t="n">
        <f aca="false">IF(RESET=1,0,T25+IF(H25=0,1,0))</f>
        <v>0</v>
      </c>
      <c r="U25" s="0" t="n">
        <f aca="false">IF(RESET=1,0,U25+H25)</f>
        <v>0</v>
      </c>
      <c r="V25" s="19" t="n">
        <f aca="false">R25/(T25+0.00001)</f>
        <v>0</v>
      </c>
      <c r="W25" s="19" t="n">
        <f aca="false">S25/(U25+0.0001)</f>
        <v>0</v>
      </c>
      <c r="X25" s="47" t="n">
        <f aca="false">IF(Informed=1,K25,0)</f>
        <v>0</v>
      </c>
      <c r="Y25" s="47" t="n">
        <f aca="false">IF(Informed=0,K25,0)</f>
        <v>0</v>
      </c>
      <c r="Z25" s="47" t="n">
        <f aca="false">IF(Informed=1,N25,0)</f>
        <v>5.823971697582</v>
      </c>
      <c r="AA25" s="47" t="n">
        <f aca="false">IF(Informed=0,N25,0)</f>
        <v>0</v>
      </c>
      <c r="AB25" s="51" t="n">
        <f aca="false">IF(Arterial=0,IF(Informed=1,1,0),0)</f>
        <v>0</v>
      </c>
      <c r="AC25" s="51" t="n">
        <f aca="false">IF(Arterial=0,IF(Informed=0,1,0),0)</f>
        <v>0</v>
      </c>
      <c r="AD25" s="51" t="n">
        <f aca="false">IF(Arterial=1,IF(Informed=1,1,0),0)</f>
        <v>1</v>
      </c>
      <c r="AE25" s="51" t="n">
        <f aca="false">IF(Arterial=1,IF(Informed=0,1,0),0)</f>
        <v>0</v>
      </c>
      <c r="AF25" s="44" t="n">
        <f aca="false">IF(AB25=1,(X25-G$1030)^2,0)</f>
        <v>0</v>
      </c>
      <c r="AG25" s="44" t="n">
        <f aca="false">IF(AC25=1,(Y25-H$1030)^2,0)</f>
        <v>0</v>
      </c>
      <c r="AH25" s="44" t="e">
        <f aca="false">IF(AD25=1,(Z25-I$1030)^2,0)</f>
        <v>#N/A</v>
      </c>
      <c r="AI25" s="44" t="n">
        <f aca="false">IF(AE25=1,(AA25-J$1030)^2,0)</f>
        <v>0</v>
      </c>
    </row>
    <row r="26" customFormat="false" ht="15" hidden="false" customHeight="true" outlineLevel="0" collapsed="false">
      <c r="A26" s="29" t="n">
        <v>9</v>
      </c>
      <c r="B26" s="45" t="n">
        <f aca="true">IF(RAND()&lt;$D$8,1,0)</f>
        <v>1</v>
      </c>
      <c r="C26" s="34" t="n">
        <f aca="true">-LN(RAND())/$D$2</f>
        <v>0.376776516565801</v>
      </c>
      <c r="D26" s="46" t="n">
        <f aca="false">D25+C26</f>
        <v>7.93294632760231</v>
      </c>
      <c r="E26" s="47" t="n">
        <v>0</v>
      </c>
      <c r="F26" s="47" t="n">
        <v>0</v>
      </c>
      <c r="G26" s="48" t="n">
        <v>0.5</v>
      </c>
      <c r="H26" s="46" t="n">
        <f aca="true">IF((B26=1),(IF((F26&lt;E26),1,(IF((F26=E26),(IF(RAND()&lt;G26,1,0)),0)))),(IF((RAND()&lt;G26),1,0)))</f>
        <v>0</v>
      </c>
      <c r="I26" s="46" t="n">
        <f aca="true">IF((H26=1),0,$D$3+$D$5*(RAND()-0.5))</f>
        <v>19.9617498066278</v>
      </c>
      <c r="J26" s="46" t="n">
        <f aca="false">I26+MAX(D26,J25)</f>
        <v>59.8406271023357</v>
      </c>
      <c r="K26" s="46" t="n">
        <f aca="false">IF((H26=0),J26-D26,0)</f>
        <v>51.9076807747334</v>
      </c>
      <c r="L26" s="46" t="n">
        <f aca="true">IF(($H26=0),0,$D$4+$D$5*(RAND()-0.5))</f>
        <v>0</v>
      </c>
      <c r="M26" s="46" t="n">
        <f aca="false">L26+MAX(D26,M25)</f>
        <v>13.3801415086185</v>
      </c>
      <c r="N26" s="46" t="n">
        <f aca="false">IF((H26=1),M26-D26,0)</f>
        <v>0</v>
      </c>
      <c r="O26" s="29" t="n">
        <v>9</v>
      </c>
      <c r="P26" s="49" t="n">
        <f aca="false">IF((Arterial=0),P25+1,P25)</f>
        <v>3</v>
      </c>
      <c r="Q26" s="49" t="n">
        <f aca="false">IF((Arterial=1),Q25+1,Q25)</f>
        <v>6</v>
      </c>
      <c r="R26" s="50" t="n">
        <f aca="false">IF((RESET=1),0,R26+K26)</f>
        <v>0</v>
      </c>
      <c r="S26" s="19" t="n">
        <f aca="false">IF(RESET=1,0,S26+N26)</f>
        <v>0</v>
      </c>
      <c r="T26" s="0" t="n">
        <f aca="false">IF(RESET=1,0,T26+IF(H26=0,1,0))</f>
        <v>0</v>
      </c>
      <c r="U26" s="0" t="n">
        <f aca="false">IF(RESET=1,0,U26+H26)</f>
        <v>0</v>
      </c>
      <c r="V26" s="19" t="n">
        <f aca="false">R26/(T26+0.00001)</f>
        <v>0</v>
      </c>
      <c r="W26" s="19" t="n">
        <f aca="false">S26/(U26+0.0001)</f>
        <v>0</v>
      </c>
      <c r="X26" s="47" t="n">
        <f aca="false">IF(Informed=1,K26,0)</f>
        <v>51.9076807747334</v>
      </c>
      <c r="Y26" s="47" t="n">
        <f aca="false">IF(Informed=0,K26,0)</f>
        <v>0</v>
      </c>
      <c r="Z26" s="47" t="n">
        <f aca="false">IF(Informed=1,N26,0)</f>
        <v>0</v>
      </c>
      <c r="AA26" s="47" t="n">
        <f aca="false">IF(Informed=0,N26,0)</f>
        <v>0</v>
      </c>
      <c r="AB26" s="51" t="n">
        <f aca="false">IF(Arterial=0,IF(Informed=1,1,0),0)</f>
        <v>1</v>
      </c>
      <c r="AC26" s="51" t="n">
        <f aca="false">IF(Arterial=0,IF(Informed=0,1,0),0)</f>
        <v>0</v>
      </c>
      <c r="AD26" s="51" t="n">
        <f aca="false">IF(Arterial=1,IF(Informed=1,1,0),0)</f>
        <v>0</v>
      </c>
      <c r="AE26" s="51" t="n">
        <f aca="false">IF(Arterial=1,IF(Informed=0,1,0),0)</f>
        <v>0</v>
      </c>
      <c r="AF26" s="44" t="e">
        <f aca="false">IF(AB26=1,(X26-G$1030)^2,0)</f>
        <v>#N/A</v>
      </c>
      <c r="AG26" s="44" t="n">
        <f aca="false">IF(AC26=1,(Y26-H$1030)^2,0)</f>
        <v>0</v>
      </c>
      <c r="AH26" s="44" t="n">
        <f aca="false">IF(AD26=1,(Z26-I$1030)^2,0)</f>
        <v>0</v>
      </c>
      <c r="AI26" s="44" t="n">
        <f aca="false">IF(AE26=1,(AA26-J$1030)^2,0)</f>
        <v>0</v>
      </c>
    </row>
    <row r="27" customFormat="false" ht="12" hidden="false" customHeight="false" outlineLevel="0" collapsed="false">
      <c r="A27" s="29" t="n">
        <v>10</v>
      </c>
      <c r="B27" s="45" t="n">
        <f aca="true">IF(RAND()&lt;$D$8,1,0)</f>
        <v>1</v>
      </c>
      <c r="C27" s="34" t="n">
        <f aca="true">-LN(RAND())/$D$2</f>
        <v>0.239045796141195</v>
      </c>
      <c r="D27" s="46" t="n">
        <f aca="false">D26+C27</f>
        <v>8.17199212374351</v>
      </c>
      <c r="E27" s="47" t="n">
        <v>0</v>
      </c>
      <c r="F27" s="47" t="n">
        <v>0</v>
      </c>
      <c r="G27" s="48" t="n">
        <v>0.5</v>
      </c>
      <c r="H27" s="46" t="n">
        <f aca="true">IF((B27=1),(IF((F27&lt;E27),1,(IF((F27=E27),(IF(RAND()&lt;G27,1,0)),0)))),(IF((RAND()&lt;G27),1,0)))</f>
        <v>1</v>
      </c>
      <c r="I27" s="46" t="n">
        <f aca="true">IF((H27=1),0,$D$3+$D$5*(RAND()-0.5))</f>
        <v>0</v>
      </c>
      <c r="J27" s="46" t="n">
        <f aca="false">I27+MAX(D27,J26)</f>
        <v>59.8406271023357</v>
      </c>
      <c r="K27" s="46" t="n">
        <f aca="false">IF((H27=0),J27-D27,0)</f>
        <v>0</v>
      </c>
      <c r="L27" s="46" t="n">
        <f aca="true">IF(($H27=0),0,$D$4+$D$5*(RAND()-0.5))</f>
        <v>2.05066163238674</v>
      </c>
      <c r="M27" s="46" t="n">
        <f aca="false">L27+MAX(D27,M26)</f>
        <v>15.4308031410052</v>
      </c>
      <c r="N27" s="46" t="n">
        <f aca="false">IF((H27=1),M27-D27,0)</f>
        <v>7.25881101726174</v>
      </c>
      <c r="O27" s="29" t="n">
        <v>10</v>
      </c>
      <c r="P27" s="49" t="n">
        <f aca="false">IF((Arterial=0),P26+1,P26)</f>
        <v>3</v>
      </c>
      <c r="Q27" s="49" t="n">
        <f aca="false">IF((Arterial=1),Q26+1,Q26)</f>
        <v>7</v>
      </c>
      <c r="R27" s="50" t="n">
        <f aca="false">IF((RESET=1),0,R27+K27)</f>
        <v>0</v>
      </c>
      <c r="S27" s="19" t="n">
        <f aca="false">IF(RESET=1,0,S27+N27)</f>
        <v>0</v>
      </c>
      <c r="T27" s="0" t="n">
        <f aca="false">IF(RESET=1,0,T27+IF(H27=0,1,0))</f>
        <v>0</v>
      </c>
      <c r="U27" s="0" t="n">
        <f aca="false">IF(RESET=1,0,U27+H27)</f>
        <v>0</v>
      </c>
      <c r="V27" s="19" t="n">
        <f aca="false">R27/(T27+0.00001)</f>
        <v>0</v>
      </c>
      <c r="W27" s="19" t="n">
        <f aca="false">S27/(U27+0.0001)</f>
        <v>0</v>
      </c>
      <c r="X27" s="47" t="n">
        <f aca="false">IF(Informed=1,K27,0)</f>
        <v>0</v>
      </c>
      <c r="Y27" s="47" t="n">
        <f aca="false">IF(Informed=0,K27,0)</f>
        <v>0</v>
      </c>
      <c r="Z27" s="47" t="n">
        <f aca="false">IF(Informed=1,N27,0)</f>
        <v>7.25881101726174</v>
      </c>
      <c r="AA27" s="47" t="n">
        <f aca="false">IF(Informed=0,N27,0)</f>
        <v>0</v>
      </c>
      <c r="AB27" s="51" t="n">
        <f aca="false">IF(Arterial=0,IF(Informed=1,1,0),0)</f>
        <v>0</v>
      </c>
      <c r="AC27" s="51" t="n">
        <f aca="false">IF(Arterial=0,IF(Informed=0,1,0),0)</f>
        <v>0</v>
      </c>
      <c r="AD27" s="51" t="n">
        <f aca="false">IF(Arterial=1,IF(Informed=1,1,0),0)</f>
        <v>1</v>
      </c>
      <c r="AE27" s="51" t="n">
        <f aca="false">IF(Arterial=1,IF(Informed=0,1,0),0)</f>
        <v>0</v>
      </c>
      <c r="AF27" s="44" t="n">
        <f aca="false">IF(AB27=1,(X27-G$1030)^2,0)</f>
        <v>0</v>
      </c>
      <c r="AG27" s="44" t="n">
        <f aca="false">IF(AC27=1,(Y27-H$1030)^2,0)</f>
        <v>0</v>
      </c>
      <c r="AH27" s="44" t="e">
        <f aca="false">IF(AD27=1,(Z27-I$1030)^2,0)</f>
        <v>#N/A</v>
      </c>
      <c r="AI27" s="44" t="n">
        <f aca="false">IF(AE27=1,(AA27-J$1030)^2,0)</f>
        <v>0</v>
      </c>
    </row>
    <row r="28" customFormat="false" ht="12" hidden="false" customHeight="false" outlineLevel="0" collapsed="false">
      <c r="A28" s="29" t="n">
        <v>11</v>
      </c>
      <c r="B28" s="45" t="n">
        <f aca="true">IF(RAND()&lt;$D$8,1,0)</f>
        <v>1</v>
      </c>
      <c r="C28" s="34" t="n">
        <f aca="true">-LN(RAND())/$D$2</f>
        <v>2.25287411745342</v>
      </c>
      <c r="D28" s="46" t="n">
        <f aca="false">D27+C28</f>
        <v>10.4248662411969</v>
      </c>
      <c r="E28" s="47" t="e">
        <f aca="false">MAX($D$3,(1+P27-VLOOKUP(VALUE(D28),$J$18:$Q27,7,TRUE()))*$D$3)</f>
        <v>#N/A</v>
      </c>
      <c r="F28" s="47" t="n">
        <f aca="false">MAX($D$4,(1+Q27-VLOOKUP(VALUE(D28),$M$18:$Q27,5,TRUE()))*$D$4)</f>
        <v>8</v>
      </c>
      <c r="G28" s="48" t="n">
        <v>0.5</v>
      </c>
      <c r="H28" s="46" t="e">
        <f aca="true">IF((B28=1),(IF((F28&lt;E28),1,(IF((F28=E28),(IF(RAND()&lt;G28,1,0)),0)))),(IF((RAND()&lt;G28),1,0)))</f>
        <v>#N/A</v>
      </c>
      <c r="I28" s="46" t="e">
        <f aca="true">IF((H28=1),0,$D$3+$D$5*(RAND()-0.5))</f>
        <v>#N/A</v>
      </c>
      <c r="J28" s="46" t="e">
        <f aca="false">I28+MAX(D28,J27)</f>
        <v>#N/A</v>
      </c>
      <c r="K28" s="46" t="e">
        <f aca="false">IF((H28=0),J28-D28,0)</f>
        <v>#N/A</v>
      </c>
      <c r="L28" s="46" t="e">
        <f aca="true">IF(($H28=0),0,$D$4+$D$5*(RAND()-0.5))</f>
        <v>#N/A</v>
      </c>
      <c r="M28" s="46" t="e">
        <f aca="false">L28+MAX(D28,M27)</f>
        <v>#N/A</v>
      </c>
      <c r="N28" s="46" t="e">
        <f aca="false">IF((H28=1),M28-D28,0)</f>
        <v>#N/A</v>
      </c>
      <c r="O28" s="29" t="n">
        <v>11</v>
      </c>
      <c r="P28" s="49" t="e">
        <f aca="false">IF((Arterial=0),P27+1,P27)</f>
        <v>#N/A</v>
      </c>
      <c r="Q28" s="49" t="e">
        <f aca="false">IF((Arterial=1),Q27+1,Q27)</f>
        <v>#N/A</v>
      </c>
      <c r="R28" s="50" t="n">
        <f aca="false">IF((RESET=1),0,R28+K28)</f>
        <v>0</v>
      </c>
      <c r="S28" s="19" t="n">
        <f aca="false">IF(RESET=1,0,S28+N28)</f>
        <v>0</v>
      </c>
      <c r="T28" s="0" t="n">
        <f aca="false">IF(RESET=1,0,T28+IF(H28=0,1,0))</f>
        <v>0</v>
      </c>
      <c r="U28" s="0" t="n">
        <f aca="false">IF(RESET=1,0,U28+H28)</f>
        <v>0</v>
      </c>
      <c r="V28" s="19" t="n">
        <f aca="false">R28/(T28+0.00001)</f>
        <v>0</v>
      </c>
      <c r="W28" s="19" t="n">
        <f aca="false">S28/(U28+0.0001)</f>
        <v>0</v>
      </c>
      <c r="X28" s="47" t="e">
        <f aca="false">IF(Informed=1,K28,0)</f>
        <v>#N/A</v>
      </c>
      <c r="Y28" s="47" t="n">
        <f aca="false">IF(Informed=0,K28,0)</f>
        <v>0</v>
      </c>
      <c r="Z28" s="47" t="e">
        <f aca="false">IF(Informed=1,N28,0)</f>
        <v>#N/A</v>
      </c>
      <c r="AA28" s="47" t="n">
        <f aca="false">IF(Informed=0,N28,0)</f>
        <v>0</v>
      </c>
      <c r="AB28" s="51" t="e">
        <f aca="false">IF(Arterial=0,IF(Informed=1,1,0),0)</f>
        <v>#N/A</v>
      </c>
      <c r="AC28" s="51" t="e">
        <f aca="false">IF(Arterial=0,IF(Informed=0,1,0),0)</f>
        <v>#N/A</v>
      </c>
      <c r="AD28" s="51" t="e">
        <f aca="false">IF(Arterial=1,IF(Informed=1,1,0),0)</f>
        <v>#N/A</v>
      </c>
      <c r="AE28" s="51" t="e">
        <f aca="false">IF(Arterial=1,IF(Informed=0,1,0),0)</f>
        <v>#N/A</v>
      </c>
      <c r="AF28" s="44" t="e">
        <f aca="false">IF(AB28=1,(X28-G$1030)^2,0)</f>
        <v>#N/A</v>
      </c>
      <c r="AG28" s="44" t="e">
        <f aca="false">IF(AC28=1,(Y28-H$1030)^2,0)</f>
        <v>#N/A</v>
      </c>
      <c r="AH28" s="44" t="e">
        <f aca="false">IF(AD28=1,(Z28-I$1030)^2,0)</f>
        <v>#N/A</v>
      </c>
      <c r="AI28" s="44" t="e">
        <f aca="false">IF(AE28=1,(AA28-J$1030)^2,0)</f>
        <v>#N/A</v>
      </c>
    </row>
    <row r="29" customFormat="false" ht="12" hidden="false" customHeight="false" outlineLevel="0" collapsed="false">
      <c r="A29" s="29" t="n">
        <v>12</v>
      </c>
      <c r="B29" s="45" t="n">
        <f aca="true">IF(RAND()&lt;$D$8,1,0)</f>
        <v>1</v>
      </c>
      <c r="C29" s="34" t="n">
        <f aca="true">-LN(RAND())/$D$2</f>
        <v>1.1187887675956</v>
      </c>
      <c r="D29" s="46" t="n">
        <f aca="false">D28+C29</f>
        <v>11.5436550087925</v>
      </c>
      <c r="E29" s="47" t="e">
        <f aca="false">MAX($D$3,(1+P28-VLOOKUP(VALUE(D29),$J$18:$Q28,7,TRUE()))*$D$3)</f>
        <v>#N/A</v>
      </c>
      <c r="F29" s="47" t="e">
        <f aca="false">MAX($D$4,(1+Q28-VLOOKUP(VALUE(D29),$M$18:$Q28,5,TRUE()))*$D$4)</f>
        <v>#N/A</v>
      </c>
      <c r="G29" s="48" t="n">
        <v>0.5</v>
      </c>
      <c r="H29" s="46" t="e">
        <f aca="true">IF((B29=1),(IF((F29&lt;E29),1,(IF((F29=E29),(IF(RAND()&lt;G29,1,0)),0)))),(IF((RAND()&lt;G29),1,0)))</f>
        <v>#N/A</v>
      </c>
      <c r="I29" s="46" t="e">
        <f aca="true">IF((H29=1),0,$D$3+$D$5*(RAND()-0.5))</f>
        <v>#N/A</v>
      </c>
      <c r="J29" s="46" t="e">
        <f aca="false">I29+MAX(D29,J28)</f>
        <v>#N/A</v>
      </c>
      <c r="K29" s="46" t="e">
        <f aca="false">IF((H29=0),J29-D29,0)</f>
        <v>#N/A</v>
      </c>
      <c r="L29" s="46" t="e">
        <f aca="true">IF(($H29=0),0,$D$4+$D$5*(RAND()-0.5))</f>
        <v>#N/A</v>
      </c>
      <c r="M29" s="46" t="e">
        <f aca="false">L29+MAX(D29,M28)</f>
        <v>#N/A</v>
      </c>
      <c r="N29" s="46" t="e">
        <f aca="false">IF((H29=1),M29-D29,0)</f>
        <v>#N/A</v>
      </c>
      <c r="O29" s="29" t="n">
        <v>12</v>
      </c>
      <c r="P29" s="49" t="e">
        <f aca="false">IF((Arterial=0),P28+1,P28)</f>
        <v>#N/A</v>
      </c>
      <c r="Q29" s="49" t="e">
        <f aca="false">IF((Arterial=1),Q28+1,Q28)</f>
        <v>#N/A</v>
      </c>
      <c r="R29" s="50" t="n">
        <f aca="false">IF((RESET=1),0,R29+K29)</f>
        <v>0</v>
      </c>
      <c r="S29" s="19" t="n">
        <f aca="false">IF(RESET=1,0,S29+N29)</f>
        <v>0</v>
      </c>
      <c r="T29" s="0" t="n">
        <f aca="false">IF(RESET=1,0,T29+IF(H29=0,1,0))</f>
        <v>0</v>
      </c>
      <c r="U29" s="0" t="n">
        <f aca="false">IF(RESET=1,0,U29+H29)</f>
        <v>0</v>
      </c>
      <c r="V29" s="19" t="n">
        <f aca="false">R29/(T29+0.00001)</f>
        <v>0</v>
      </c>
      <c r="W29" s="19" t="n">
        <f aca="false">S29/(U29+0.0001)</f>
        <v>0</v>
      </c>
      <c r="X29" s="47" t="e">
        <f aca="false">IF(Informed=1,K29,0)</f>
        <v>#N/A</v>
      </c>
      <c r="Y29" s="47" t="n">
        <f aca="false">IF(Informed=0,K29,0)</f>
        <v>0</v>
      </c>
      <c r="Z29" s="47" t="e">
        <f aca="false">IF(Informed=1,N29,0)</f>
        <v>#N/A</v>
      </c>
      <c r="AA29" s="47" t="n">
        <f aca="false">IF(Informed=0,N29,0)</f>
        <v>0</v>
      </c>
      <c r="AB29" s="51" t="e">
        <f aca="false">IF(Arterial=0,IF(Informed=1,1,0),0)</f>
        <v>#N/A</v>
      </c>
      <c r="AC29" s="51" t="e">
        <f aca="false">IF(Arterial=0,IF(Informed=0,1,0),0)</f>
        <v>#N/A</v>
      </c>
      <c r="AD29" s="51" t="e">
        <f aca="false">IF(Arterial=1,IF(Informed=1,1,0),0)</f>
        <v>#N/A</v>
      </c>
      <c r="AE29" s="51" t="e">
        <f aca="false">IF(Arterial=1,IF(Informed=0,1,0),0)</f>
        <v>#N/A</v>
      </c>
      <c r="AF29" s="44" t="e">
        <f aca="false">IF(AB29=1,(X29-G$1030)^2,0)</f>
        <v>#N/A</v>
      </c>
      <c r="AG29" s="44" t="e">
        <f aca="false">IF(AC29=1,(Y29-H$1030)^2,0)</f>
        <v>#N/A</v>
      </c>
      <c r="AH29" s="44" t="e">
        <f aca="false">IF(AD29=1,(Z29-I$1030)^2,0)</f>
        <v>#N/A</v>
      </c>
      <c r="AI29" s="44" t="e">
        <f aca="false">IF(AE29=1,(AA29-J$1030)^2,0)</f>
        <v>#N/A</v>
      </c>
    </row>
    <row r="30" customFormat="false" ht="12" hidden="false" customHeight="false" outlineLevel="0" collapsed="false">
      <c r="A30" s="29" t="n">
        <v>13</v>
      </c>
      <c r="B30" s="45" t="n">
        <f aca="true">IF(RAND()&lt;$D$8,1,0)</f>
        <v>1</v>
      </c>
      <c r="C30" s="34" t="n">
        <f aca="true">-LN(RAND())/$D$2</f>
        <v>2.29596116873147</v>
      </c>
      <c r="D30" s="46" t="n">
        <f aca="false">D29+C30</f>
        <v>13.839616177524</v>
      </c>
      <c r="E30" s="47" t="e">
        <f aca="false">MAX($D$3,(1+P29-VLOOKUP(VALUE(D30),$J$18:$Q29,7,TRUE()))*$D$3)</f>
        <v>#N/A</v>
      </c>
      <c r="F30" s="47" t="e">
        <f aca="false">MAX($D$4,(1+Q29-VLOOKUP(VALUE(D30),$M$18:$Q29,5,TRUE()))*$D$4)</f>
        <v>#N/A</v>
      </c>
      <c r="G30" s="48" t="n">
        <v>0.5</v>
      </c>
      <c r="H30" s="46" t="e">
        <f aca="true">IF((B30=1),(IF((F30&lt;E30),1,(IF((F30=E30),(IF(RAND()&lt;G30,1,0)),0)))),(IF((RAND()&lt;G30),1,0)))</f>
        <v>#N/A</v>
      </c>
      <c r="I30" s="46" t="e">
        <f aca="true">IF((H30=1),0,$D$3+$D$5*(RAND()-0.5))</f>
        <v>#N/A</v>
      </c>
      <c r="J30" s="46" t="e">
        <f aca="false">I30+MAX(D30,J29)</f>
        <v>#N/A</v>
      </c>
      <c r="K30" s="46" t="e">
        <f aca="false">IF((H30=0),J30-D30,0)</f>
        <v>#N/A</v>
      </c>
      <c r="L30" s="46" t="e">
        <f aca="true">IF(($H30=0),0,$D$4+$D$5*(RAND()-0.5))</f>
        <v>#N/A</v>
      </c>
      <c r="M30" s="46" t="e">
        <f aca="false">L30+MAX(D30,M29)</f>
        <v>#N/A</v>
      </c>
      <c r="N30" s="46" t="e">
        <f aca="false">IF((H30=1),M30-D30,0)</f>
        <v>#N/A</v>
      </c>
      <c r="O30" s="29" t="n">
        <v>13</v>
      </c>
      <c r="P30" s="49" t="e">
        <f aca="false">IF((Arterial=0),P29+1,P29)</f>
        <v>#N/A</v>
      </c>
      <c r="Q30" s="49" t="e">
        <f aca="false">IF((Arterial=1),Q29+1,Q29)</f>
        <v>#N/A</v>
      </c>
      <c r="R30" s="50" t="n">
        <f aca="false">IF((RESET=1),0,R30+K30)</f>
        <v>0</v>
      </c>
      <c r="S30" s="19" t="n">
        <f aca="false">IF(RESET=1,0,S30+N30)</f>
        <v>0</v>
      </c>
      <c r="T30" s="0" t="n">
        <f aca="false">IF(RESET=1,0,T30+IF(H30=0,1,0))</f>
        <v>0</v>
      </c>
      <c r="U30" s="0" t="n">
        <f aca="false">IF(RESET=1,0,U30+H30)</f>
        <v>0</v>
      </c>
      <c r="V30" s="19" t="n">
        <f aca="false">R30/(T30+0.00001)</f>
        <v>0</v>
      </c>
      <c r="W30" s="19" t="n">
        <f aca="false">S30/(U30+0.0001)</f>
        <v>0</v>
      </c>
      <c r="X30" s="47" t="e">
        <f aca="false">IF(Informed=1,K30,0)</f>
        <v>#N/A</v>
      </c>
      <c r="Y30" s="47" t="n">
        <f aca="false">IF(Informed=0,K30,0)</f>
        <v>0</v>
      </c>
      <c r="Z30" s="47" t="e">
        <f aca="false">IF(Informed=1,N30,0)</f>
        <v>#N/A</v>
      </c>
      <c r="AA30" s="47" t="n">
        <f aca="false">IF(Informed=0,N30,0)</f>
        <v>0</v>
      </c>
      <c r="AB30" s="51" t="e">
        <f aca="false">IF(Arterial=0,IF(Informed=1,1,0),0)</f>
        <v>#N/A</v>
      </c>
      <c r="AC30" s="51" t="e">
        <f aca="false">IF(Arterial=0,IF(Informed=0,1,0),0)</f>
        <v>#N/A</v>
      </c>
      <c r="AD30" s="51" t="e">
        <f aca="false">IF(Arterial=1,IF(Informed=1,1,0),0)</f>
        <v>#N/A</v>
      </c>
      <c r="AE30" s="51" t="e">
        <f aca="false">IF(Arterial=1,IF(Informed=0,1,0),0)</f>
        <v>#N/A</v>
      </c>
      <c r="AF30" s="44" t="e">
        <f aca="false">IF(AB30=1,(X30-G$1030)^2,0)</f>
        <v>#N/A</v>
      </c>
      <c r="AG30" s="44" t="e">
        <f aca="false">IF(AC30=1,(Y30-H$1030)^2,0)</f>
        <v>#N/A</v>
      </c>
      <c r="AH30" s="44" t="e">
        <f aca="false">IF(AD30=1,(Z30-I$1030)^2,0)</f>
        <v>#N/A</v>
      </c>
      <c r="AI30" s="44" t="e">
        <f aca="false">IF(AE30=1,(AA30-J$1030)^2,0)</f>
        <v>#N/A</v>
      </c>
    </row>
    <row r="31" customFormat="false" ht="12" hidden="false" customHeight="false" outlineLevel="0" collapsed="false">
      <c r="A31" s="29" t="n">
        <v>14</v>
      </c>
      <c r="B31" s="45" t="n">
        <f aca="true">IF(RAND()&lt;$D$8,1,0)</f>
        <v>1</v>
      </c>
      <c r="C31" s="34" t="n">
        <f aca="true">-LN(RAND())/$D$2</f>
        <v>0.717863557105982</v>
      </c>
      <c r="D31" s="46" t="n">
        <f aca="false">D30+C31</f>
        <v>14.55747973463</v>
      </c>
      <c r="E31" s="47" t="e">
        <f aca="false">MAX($D$3,(1+P30-VLOOKUP(VALUE(D31),$J$18:$Q30,7,TRUE()))*$D$3)</f>
        <v>#N/A</v>
      </c>
      <c r="F31" s="47" t="e">
        <f aca="false">MAX($D$4,(1+Q30-VLOOKUP(VALUE(D31),$M$18:$Q30,5,TRUE()))*$D$4)</f>
        <v>#N/A</v>
      </c>
      <c r="G31" s="48" t="n">
        <v>0.5</v>
      </c>
      <c r="H31" s="46" t="e">
        <f aca="true">IF((B31=1),(IF((F31&lt;E31),1,(IF((F31=E31),(IF(RAND()&lt;G31,1,0)),0)))),(IF((RAND()&lt;G31),1,0)))</f>
        <v>#N/A</v>
      </c>
      <c r="I31" s="46" t="e">
        <f aca="true">IF((H31=1),0,$D$3+$D$5*(RAND()-0.5))</f>
        <v>#N/A</v>
      </c>
      <c r="J31" s="46" t="e">
        <f aca="false">I31+MAX(D31,J30)</f>
        <v>#N/A</v>
      </c>
      <c r="K31" s="46" t="e">
        <f aca="false">IF((H31=0),J31-D31,0)</f>
        <v>#N/A</v>
      </c>
      <c r="L31" s="46" t="e">
        <f aca="true">IF(($H31=0),0,$D$4+$D$5*(RAND()-0.5))</f>
        <v>#N/A</v>
      </c>
      <c r="M31" s="46" t="e">
        <f aca="false">L31+MAX(D31,M30)</f>
        <v>#N/A</v>
      </c>
      <c r="N31" s="46" t="e">
        <f aca="false">IF((H31=1),M31-D31,0)</f>
        <v>#N/A</v>
      </c>
      <c r="O31" s="29" t="n">
        <v>14</v>
      </c>
      <c r="P31" s="49" t="e">
        <f aca="false">IF((Arterial=0),P30+1,P30)</f>
        <v>#N/A</v>
      </c>
      <c r="Q31" s="49" t="e">
        <f aca="false">IF((Arterial=1),Q30+1,Q30)</f>
        <v>#N/A</v>
      </c>
      <c r="R31" s="50" t="n">
        <f aca="false">IF((RESET=1),0,R31+K31)</f>
        <v>0</v>
      </c>
      <c r="S31" s="19" t="n">
        <f aca="false">IF(RESET=1,0,S31+N31)</f>
        <v>0</v>
      </c>
      <c r="T31" s="0" t="n">
        <f aca="false">IF(RESET=1,0,T31+IF(H31=0,1,0))</f>
        <v>0</v>
      </c>
      <c r="U31" s="0" t="n">
        <f aca="false">IF(RESET=1,0,U31+H31)</f>
        <v>0</v>
      </c>
      <c r="V31" s="19" t="n">
        <f aca="false">R31/(T31+0.00001)</f>
        <v>0</v>
      </c>
      <c r="W31" s="19" t="n">
        <f aca="false">S31/(U31+0.0001)</f>
        <v>0</v>
      </c>
      <c r="X31" s="47" t="e">
        <f aca="false">IF(Informed=1,K31,0)</f>
        <v>#N/A</v>
      </c>
      <c r="Y31" s="47" t="n">
        <f aca="false">IF(Informed=0,K31,0)</f>
        <v>0</v>
      </c>
      <c r="Z31" s="47" t="e">
        <f aca="false">IF(Informed=1,N31,0)</f>
        <v>#N/A</v>
      </c>
      <c r="AA31" s="47" t="n">
        <f aca="false">IF(Informed=0,N31,0)</f>
        <v>0</v>
      </c>
      <c r="AB31" s="51" t="e">
        <f aca="false">IF(Arterial=0,IF(Informed=1,1,0),0)</f>
        <v>#N/A</v>
      </c>
      <c r="AC31" s="51" t="e">
        <f aca="false">IF(Arterial=0,IF(Informed=0,1,0),0)</f>
        <v>#N/A</v>
      </c>
      <c r="AD31" s="51" t="e">
        <f aca="false">IF(Arterial=1,IF(Informed=1,1,0),0)</f>
        <v>#N/A</v>
      </c>
      <c r="AE31" s="51" t="e">
        <f aca="false">IF(Arterial=1,IF(Informed=0,1,0),0)</f>
        <v>#N/A</v>
      </c>
      <c r="AF31" s="44" t="e">
        <f aca="false">IF(AB31=1,(X31-G$1030)^2,0)</f>
        <v>#N/A</v>
      </c>
      <c r="AG31" s="44" t="e">
        <f aca="false">IF(AC31=1,(Y31-H$1030)^2,0)</f>
        <v>#N/A</v>
      </c>
      <c r="AH31" s="44" t="e">
        <f aca="false">IF(AD31=1,(Z31-I$1030)^2,0)</f>
        <v>#N/A</v>
      </c>
      <c r="AI31" s="44" t="e">
        <f aca="false">IF(AE31=1,(AA31-J$1030)^2,0)</f>
        <v>#N/A</v>
      </c>
    </row>
    <row r="32" customFormat="false" ht="12" hidden="false" customHeight="false" outlineLevel="0" collapsed="false">
      <c r="A32" s="29" t="n">
        <v>15</v>
      </c>
      <c r="B32" s="45" t="n">
        <f aca="true">IF(RAND()&lt;$D$8,1,0)</f>
        <v>1</v>
      </c>
      <c r="C32" s="34" t="n">
        <f aca="true">-LN(RAND())/$D$2</f>
        <v>0.532234389578735</v>
      </c>
      <c r="D32" s="46" t="n">
        <f aca="false">D31+C32</f>
        <v>15.0897141242087</v>
      </c>
      <c r="E32" s="47" t="e">
        <f aca="false">MAX($D$3,(1+P31-VLOOKUP(VALUE(D32),$J$18:$Q31,7,TRUE()))*$D$3)</f>
        <v>#N/A</v>
      </c>
      <c r="F32" s="47" t="e">
        <f aca="false">MAX($D$4,(1+Q31-VLOOKUP(VALUE(D32),$M$18:$Q31,5,TRUE()))*$D$4)</f>
        <v>#N/A</v>
      </c>
      <c r="G32" s="48" t="n">
        <v>0.5</v>
      </c>
      <c r="H32" s="46" t="e">
        <f aca="true">IF((B32=1),(IF((F32&lt;E32),1,(IF((F32=E32),(IF(RAND()&lt;G32,1,0)),0)))),(IF((RAND()&lt;G32),1,0)))</f>
        <v>#N/A</v>
      </c>
      <c r="I32" s="46" t="e">
        <f aca="true">IF((H32=1),0,$D$3+$D$5*(RAND()-0.5))</f>
        <v>#N/A</v>
      </c>
      <c r="J32" s="46" t="e">
        <f aca="false">I32+MAX(D32,J31)</f>
        <v>#N/A</v>
      </c>
      <c r="K32" s="46" t="e">
        <f aca="false">IF((H32=0),J32-D32,0)</f>
        <v>#N/A</v>
      </c>
      <c r="L32" s="46" t="e">
        <f aca="true">IF(($H32=0),0,$D$4+$D$5*(RAND()-0.5))</f>
        <v>#N/A</v>
      </c>
      <c r="M32" s="46" t="e">
        <f aca="false">L32+MAX(D32,M31)</f>
        <v>#N/A</v>
      </c>
      <c r="N32" s="46" t="e">
        <f aca="false">IF((H32=1),M32-D32,0)</f>
        <v>#N/A</v>
      </c>
      <c r="O32" s="29" t="n">
        <v>15</v>
      </c>
      <c r="P32" s="49" t="e">
        <f aca="false">IF((Arterial=0),P31+1,P31)</f>
        <v>#N/A</v>
      </c>
      <c r="Q32" s="49" t="e">
        <f aca="false">IF((Arterial=1),Q31+1,Q31)</f>
        <v>#N/A</v>
      </c>
      <c r="R32" s="50" t="n">
        <f aca="false">IF((RESET=1),0,R32+K32)</f>
        <v>0</v>
      </c>
      <c r="S32" s="19" t="n">
        <f aca="false">IF(RESET=1,0,S32+N32)</f>
        <v>0</v>
      </c>
      <c r="T32" s="0" t="n">
        <f aca="false">IF(RESET=1,0,T32+IF(H32=0,1,0))</f>
        <v>0</v>
      </c>
      <c r="U32" s="0" t="n">
        <f aca="false">IF(RESET=1,0,U32+H32)</f>
        <v>0</v>
      </c>
      <c r="V32" s="19" t="n">
        <f aca="false">R32/(T32+0.00001)</f>
        <v>0</v>
      </c>
      <c r="W32" s="19" t="n">
        <f aca="false">S32/(U32+0.0001)</f>
        <v>0</v>
      </c>
      <c r="X32" s="47" t="e">
        <f aca="false">IF(Informed=1,K32,0)</f>
        <v>#N/A</v>
      </c>
      <c r="Y32" s="47" t="n">
        <f aca="false">IF(Informed=0,K32,0)</f>
        <v>0</v>
      </c>
      <c r="Z32" s="47" t="e">
        <f aca="false">IF(Informed=1,N32,0)</f>
        <v>#N/A</v>
      </c>
      <c r="AA32" s="47" t="n">
        <f aca="false">IF(Informed=0,N32,0)</f>
        <v>0</v>
      </c>
      <c r="AB32" s="51" t="e">
        <f aca="false">IF(Arterial=0,IF(Informed=1,1,0),0)</f>
        <v>#N/A</v>
      </c>
      <c r="AC32" s="51" t="e">
        <f aca="false">IF(Arterial=0,IF(Informed=0,1,0),0)</f>
        <v>#N/A</v>
      </c>
      <c r="AD32" s="51" t="e">
        <f aca="false">IF(Arterial=1,IF(Informed=1,1,0),0)</f>
        <v>#N/A</v>
      </c>
      <c r="AE32" s="51" t="e">
        <f aca="false">IF(Arterial=1,IF(Informed=0,1,0),0)</f>
        <v>#N/A</v>
      </c>
      <c r="AF32" s="44" t="e">
        <f aca="false">IF(AB32=1,(X32-G$1030)^2,0)</f>
        <v>#N/A</v>
      </c>
      <c r="AG32" s="44" t="e">
        <f aca="false">IF(AC32=1,(Y32-H$1030)^2,0)</f>
        <v>#N/A</v>
      </c>
      <c r="AH32" s="44" t="e">
        <f aca="false">IF(AD32=1,(Z32-I$1030)^2,0)</f>
        <v>#N/A</v>
      </c>
      <c r="AI32" s="44" t="e">
        <f aca="false">IF(AE32=1,(AA32-J$1030)^2,0)</f>
        <v>#N/A</v>
      </c>
    </row>
    <row r="33" customFormat="false" ht="12" hidden="false" customHeight="false" outlineLevel="0" collapsed="false">
      <c r="A33" s="29" t="n">
        <v>16</v>
      </c>
      <c r="B33" s="45" t="n">
        <f aca="true">IF(RAND()&lt;$D$8,1,0)</f>
        <v>1</v>
      </c>
      <c r="C33" s="34" t="n">
        <f aca="true">-LN(RAND())/$D$2</f>
        <v>2.37257381234333</v>
      </c>
      <c r="D33" s="46" t="n">
        <f aca="false">D32+C33</f>
        <v>17.462287936552</v>
      </c>
      <c r="E33" s="47" t="e">
        <f aca="false">MAX($D$3,(1+P32-VLOOKUP(VALUE(D33),$J$18:$Q32,7,TRUE()))*$D$3)</f>
        <v>#N/A</v>
      </c>
      <c r="F33" s="47" t="e">
        <f aca="false">MAX($D$4,(1+Q32-VLOOKUP(VALUE(D33),$M$18:$Q32,5,TRUE()))*$D$4)</f>
        <v>#N/A</v>
      </c>
      <c r="G33" s="48" t="n">
        <v>0.5</v>
      </c>
      <c r="H33" s="46" t="e">
        <f aca="true">IF((B33=1),(IF((F33&lt;E33),1,(IF((F33=E33),(IF(RAND()&lt;G33,1,0)),0)))),(IF((RAND()&lt;G33),1,0)))</f>
        <v>#N/A</v>
      </c>
      <c r="I33" s="46" t="e">
        <f aca="true">IF((H33=1),0,$D$3+$D$5*(RAND()-0.5))</f>
        <v>#N/A</v>
      </c>
      <c r="J33" s="46" t="e">
        <f aca="false">I33+MAX(D33,J32)</f>
        <v>#N/A</v>
      </c>
      <c r="K33" s="46" t="e">
        <f aca="false">IF((H33=0),J33-D33,0)</f>
        <v>#N/A</v>
      </c>
      <c r="L33" s="46" t="e">
        <f aca="true">IF(($H33=0),0,$D$4+$D$5*(RAND()-0.5))</f>
        <v>#N/A</v>
      </c>
      <c r="M33" s="46" t="e">
        <f aca="false">L33+MAX(D33,M32)</f>
        <v>#N/A</v>
      </c>
      <c r="N33" s="46" t="e">
        <f aca="false">IF((H33=1),M33-D33,0)</f>
        <v>#N/A</v>
      </c>
      <c r="O33" s="29" t="n">
        <v>16</v>
      </c>
      <c r="P33" s="49" t="e">
        <f aca="false">IF((Arterial=0),P32+1,P32)</f>
        <v>#N/A</v>
      </c>
      <c r="Q33" s="49" t="e">
        <f aca="false">IF((Arterial=1),Q32+1,Q32)</f>
        <v>#N/A</v>
      </c>
      <c r="R33" s="50" t="n">
        <f aca="false">IF((RESET=1),0,R33+K33)</f>
        <v>0</v>
      </c>
      <c r="S33" s="19" t="n">
        <f aca="false">IF(RESET=1,0,S33+N33)</f>
        <v>0</v>
      </c>
      <c r="T33" s="0" t="n">
        <f aca="false">IF(RESET=1,0,T33+IF(H33=0,1,0))</f>
        <v>0</v>
      </c>
      <c r="U33" s="0" t="n">
        <f aca="false">IF(RESET=1,0,U33+H33)</f>
        <v>0</v>
      </c>
      <c r="V33" s="19" t="n">
        <f aca="false">R33/(T33+0.00001)</f>
        <v>0</v>
      </c>
      <c r="W33" s="19" t="n">
        <f aca="false">S33/(U33+0.0001)</f>
        <v>0</v>
      </c>
      <c r="X33" s="47" t="e">
        <f aca="false">IF(Informed=1,K33,0)</f>
        <v>#N/A</v>
      </c>
      <c r="Y33" s="47" t="n">
        <f aca="false">IF(Informed=0,K33,0)</f>
        <v>0</v>
      </c>
      <c r="Z33" s="47" t="e">
        <f aca="false">IF(Informed=1,N33,0)</f>
        <v>#N/A</v>
      </c>
      <c r="AA33" s="47" t="n">
        <f aca="false">IF(Informed=0,N33,0)</f>
        <v>0</v>
      </c>
      <c r="AB33" s="51" t="e">
        <f aca="false">IF(Arterial=0,IF(Informed=1,1,0),0)</f>
        <v>#N/A</v>
      </c>
      <c r="AC33" s="51" t="e">
        <f aca="false">IF(Arterial=0,IF(Informed=0,1,0),0)</f>
        <v>#N/A</v>
      </c>
      <c r="AD33" s="51" t="e">
        <f aca="false">IF(Arterial=1,IF(Informed=1,1,0),0)</f>
        <v>#N/A</v>
      </c>
      <c r="AE33" s="51" t="e">
        <f aca="false">IF(Arterial=1,IF(Informed=0,1,0),0)</f>
        <v>#N/A</v>
      </c>
      <c r="AF33" s="44" t="e">
        <f aca="false">IF(AB33=1,(X33-G$1030)^2,0)</f>
        <v>#N/A</v>
      </c>
      <c r="AG33" s="44" t="e">
        <f aca="false">IF(AC33=1,(Y33-H$1030)^2,0)</f>
        <v>#N/A</v>
      </c>
      <c r="AH33" s="44" t="e">
        <f aca="false">IF(AD33=1,(Z33-I$1030)^2,0)</f>
        <v>#N/A</v>
      </c>
      <c r="AI33" s="44" t="e">
        <f aca="false">IF(AE33=1,(AA33-J$1030)^2,0)</f>
        <v>#N/A</v>
      </c>
    </row>
    <row r="34" customFormat="false" ht="12" hidden="false" customHeight="false" outlineLevel="0" collapsed="false">
      <c r="A34" s="29" t="n">
        <v>17</v>
      </c>
      <c r="B34" s="45" t="n">
        <f aca="true">IF(RAND()&lt;$D$8,1,0)</f>
        <v>1</v>
      </c>
      <c r="C34" s="34" t="n">
        <f aca="true">-LN(RAND())/$D$2</f>
        <v>0.158300266803272</v>
      </c>
      <c r="D34" s="46" t="n">
        <f aca="false">D33+C34</f>
        <v>17.6205882033553</v>
      </c>
      <c r="E34" s="47" t="e">
        <f aca="false">MAX($D$3,(1+P33-VLOOKUP(VALUE(D34),$J$18:$Q33,7,TRUE()))*$D$3)</f>
        <v>#N/A</v>
      </c>
      <c r="F34" s="47" t="e">
        <f aca="false">MAX($D$4,(1+Q33-VLOOKUP(VALUE(D34),$M$18:$Q33,5,TRUE()))*$D$4)</f>
        <v>#N/A</v>
      </c>
      <c r="G34" s="48" t="n">
        <v>0.5</v>
      </c>
      <c r="H34" s="46" t="e">
        <f aca="true">IF((B34=1),(IF((F34&lt;E34),1,(IF((F34=E34),(IF(RAND()&lt;G34,1,0)),0)))),(IF((RAND()&lt;G34),1,0)))</f>
        <v>#N/A</v>
      </c>
      <c r="I34" s="46" t="e">
        <f aca="true">IF((H34=1),0,$D$3+$D$5*(RAND()-0.5))</f>
        <v>#N/A</v>
      </c>
      <c r="J34" s="46" t="e">
        <f aca="false">I34+MAX(D34,J33)</f>
        <v>#N/A</v>
      </c>
      <c r="K34" s="46" t="e">
        <f aca="false">IF((H34=0),J34-D34,0)</f>
        <v>#N/A</v>
      </c>
      <c r="L34" s="46" t="e">
        <f aca="true">IF(($H34=0),0,$D$4+$D$5*(RAND()-0.5))</f>
        <v>#N/A</v>
      </c>
      <c r="M34" s="46" t="e">
        <f aca="false">L34+MAX(D34,M33)</f>
        <v>#N/A</v>
      </c>
      <c r="N34" s="46" t="e">
        <f aca="false">IF((H34=1),M34-D34,0)</f>
        <v>#N/A</v>
      </c>
      <c r="O34" s="29" t="n">
        <v>17</v>
      </c>
      <c r="P34" s="49" t="e">
        <f aca="false">IF((Arterial=0),P33+1,P33)</f>
        <v>#N/A</v>
      </c>
      <c r="Q34" s="49" t="e">
        <f aca="false">IF((Arterial=1),Q33+1,Q33)</f>
        <v>#N/A</v>
      </c>
      <c r="R34" s="50" t="n">
        <f aca="false">IF((RESET=1),0,R34+K34)</f>
        <v>0</v>
      </c>
      <c r="S34" s="19" t="n">
        <f aca="false">IF(RESET=1,0,S34+N34)</f>
        <v>0</v>
      </c>
      <c r="T34" s="0" t="n">
        <f aca="false">IF(RESET=1,0,T34+IF(H34=0,1,0))</f>
        <v>0</v>
      </c>
      <c r="U34" s="0" t="n">
        <f aca="false">IF(RESET=1,0,U34+H34)</f>
        <v>0</v>
      </c>
      <c r="V34" s="19" t="n">
        <f aca="false">R34/(T34+0.00001)</f>
        <v>0</v>
      </c>
      <c r="W34" s="19" t="n">
        <f aca="false">S34/(U34+0.0001)</f>
        <v>0</v>
      </c>
      <c r="X34" s="47" t="e">
        <f aca="false">IF(Informed=1,K34,0)</f>
        <v>#N/A</v>
      </c>
      <c r="Y34" s="47" t="n">
        <f aca="false">IF(Informed=0,K34,0)</f>
        <v>0</v>
      </c>
      <c r="Z34" s="47" t="e">
        <f aca="false">IF(Informed=1,N34,0)</f>
        <v>#N/A</v>
      </c>
      <c r="AA34" s="47" t="n">
        <f aca="false">IF(Informed=0,N34,0)</f>
        <v>0</v>
      </c>
      <c r="AB34" s="51" t="e">
        <f aca="false">IF(Arterial=0,IF(Informed=1,1,0),0)</f>
        <v>#N/A</v>
      </c>
      <c r="AC34" s="51" t="e">
        <f aca="false">IF(Arterial=0,IF(Informed=0,1,0),0)</f>
        <v>#N/A</v>
      </c>
      <c r="AD34" s="51" t="e">
        <f aca="false">IF(Arterial=1,IF(Informed=1,1,0),0)</f>
        <v>#N/A</v>
      </c>
      <c r="AE34" s="51" t="e">
        <f aca="false">IF(Arterial=1,IF(Informed=0,1,0),0)</f>
        <v>#N/A</v>
      </c>
      <c r="AF34" s="44" t="e">
        <f aca="false">IF(AB34=1,(X34-G$1030)^2,0)</f>
        <v>#N/A</v>
      </c>
      <c r="AG34" s="44" t="e">
        <f aca="false">IF(AC34=1,(Y34-H$1030)^2,0)</f>
        <v>#N/A</v>
      </c>
      <c r="AH34" s="44" t="e">
        <f aca="false">IF(AD34=1,(Z34-I$1030)^2,0)</f>
        <v>#N/A</v>
      </c>
      <c r="AI34" s="44" t="e">
        <f aca="false">IF(AE34=1,(AA34-J$1030)^2,0)</f>
        <v>#N/A</v>
      </c>
    </row>
    <row r="35" customFormat="false" ht="12" hidden="false" customHeight="false" outlineLevel="0" collapsed="false">
      <c r="A35" s="29" t="n">
        <v>18</v>
      </c>
      <c r="B35" s="45" t="n">
        <f aca="true">IF(RAND()&lt;$D$8,1,0)</f>
        <v>1</v>
      </c>
      <c r="C35" s="34" t="n">
        <f aca="true">-LN(RAND())/$D$2</f>
        <v>0.65945731718755</v>
      </c>
      <c r="D35" s="46" t="n">
        <f aca="false">D34+C35</f>
        <v>18.2800455205429</v>
      </c>
      <c r="E35" s="47" t="e">
        <f aca="false">MAX($D$3,(1+P34-VLOOKUP(VALUE(D35),$J$18:$Q34,7,TRUE()))*$D$3)</f>
        <v>#N/A</v>
      </c>
      <c r="F35" s="47" t="e">
        <f aca="false">MAX($D$4,(1+Q34-VLOOKUP(VALUE(D35),$M$18:$Q34,5,TRUE()))*$D$4)</f>
        <v>#N/A</v>
      </c>
      <c r="G35" s="48" t="n">
        <v>0.5</v>
      </c>
      <c r="H35" s="46" t="e">
        <f aca="true">IF((B35=1),(IF((F35&lt;E35),1,(IF((F35=E35),(IF(RAND()&lt;G35,1,0)),0)))),(IF((RAND()&lt;G35),1,0)))</f>
        <v>#N/A</v>
      </c>
      <c r="I35" s="46" t="e">
        <f aca="true">IF((H35=1),0,$D$3+$D$5*(RAND()-0.5))</f>
        <v>#N/A</v>
      </c>
      <c r="J35" s="46" t="e">
        <f aca="false">I35+MAX(D35,J34)</f>
        <v>#N/A</v>
      </c>
      <c r="K35" s="46" t="e">
        <f aca="false">IF((H35=0),J35-D35,0)</f>
        <v>#N/A</v>
      </c>
      <c r="L35" s="46" t="e">
        <f aca="true">IF(($H35=0),0,$D$4+$D$5*(RAND()-0.5))</f>
        <v>#N/A</v>
      </c>
      <c r="M35" s="46" t="e">
        <f aca="false">L35+MAX(D35,M34)</f>
        <v>#N/A</v>
      </c>
      <c r="N35" s="46" t="e">
        <f aca="false">IF((H35=1),M35-D35,0)</f>
        <v>#N/A</v>
      </c>
      <c r="O35" s="29" t="n">
        <v>18</v>
      </c>
      <c r="P35" s="49" t="e">
        <f aca="false">IF((Arterial=0),P34+1,P34)</f>
        <v>#N/A</v>
      </c>
      <c r="Q35" s="49" t="e">
        <f aca="false">IF((Arterial=1),Q34+1,Q34)</f>
        <v>#N/A</v>
      </c>
      <c r="R35" s="50" t="n">
        <f aca="false">IF((RESET=1),0,R35+K35)</f>
        <v>0</v>
      </c>
      <c r="S35" s="19" t="n">
        <f aca="false">IF(RESET=1,0,S35+N35)</f>
        <v>0</v>
      </c>
      <c r="T35" s="0" t="n">
        <f aca="false">IF(RESET=1,0,T35+IF(H35=0,1,0))</f>
        <v>0</v>
      </c>
      <c r="U35" s="0" t="n">
        <f aca="false">IF(RESET=1,0,U35+H35)</f>
        <v>0</v>
      </c>
      <c r="V35" s="19" t="n">
        <f aca="false">R35/(T35+0.00001)</f>
        <v>0</v>
      </c>
      <c r="W35" s="19" t="n">
        <f aca="false">S35/(U35+0.0001)</f>
        <v>0</v>
      </c>
      <c r="X35" s="47" t="e">
        <f aca="false">IF(Informed=1,K35,0)</f>
        <v>#N/A</v>
      </c>
      <c r="Y35" s="47" t="n">
        <f aca="false">IF(Informed=0,K35,0)</f>
        <v>0</v>
      </c>
      <c r="Z35" s="47" t="e">
        <f aca="false">IF(Informed=1,N35,0)</f>
        <v>#N/A</v>
      </c>
      <c r="AA35" s="47" t="n">
        <f aca="false">IF(Informed=0,N35,0)</f>
        <v>0</v>
      </c>
      <c r="AB35" s="51" t="e">
        <f aca="false">IF(Arterial=0,IF(Informed=1,1,0),0)</f>
        <v>#N/A</v>
      </c>
      <c r="AC35" s="51" t="e">
        <f aca="false">IF(Arterial=0,IF(Informed=0,1,0),0)</f>
        <v>#N/A</v>
      </c>
      <c r="AD35" s="51" t="e">
        <f aca="false">IF(Arterial=1,IF(Informed=1,1,0),0)</f>
        <v>#N/A</v>
      </c>
      <c r="AE35" s="51" t="e">
        <f aca="false">IF(Arterial=1,IF(Informed=0,1,0),0)</f>
        <v>#N/A</v>
      </c>
      <c r="AF35" s="44" t="e">
        <f aca="false">IF(AB35=1,(X35-G$1030)^2,0)</f>
        <v>#N/A</v>
      </c>
      <c r="AG35" s="44" t="e">
        <f aca="false">IF(AC35=1,(Y35-H$1030)^2,0)</f>
        <v>#N/A</v>
      </c>
      <c r="AH35" s="44" t="e">
        <f aca="false">IF(AD35=1,(Z35-I$1030)^2,0)</f>
        <v>#N/A</v>
      </c>
      <c r="AI35" s="44" t="e">
        <f aca="false">IF(AE35=1,(AA35-J$1030)^2,0)</f>
        <v>#N/A</v>
      </c>
    </row>
    <row r="36" customFormat="false" ht="12" hidden="false" customHeight="false" outlineLevel="0" collapsed="false">
      <c r="A36" s="29" t="n">
        <v>19</v>
      </c>
      <c r="B36" s="45" t="n">
        <f aca="true">IF(RAND()&lt;$D$8,1,0)</f>
        <v>1</v>
      </c>
      <c r="C36" s="34" t="n">
        <f aca="true">-LN(RAND())/$D$2</f>
        <v>1.71769920402162</v>
      </c>
      <c r="D36" s="46" t="n">
        <f aca="false">D35+C36</f>
        <v>19.9977447245645</v>
      </c>
      <c r="E36" s="47" t="e">
        <f aca="false">MAX($D$3,(1+P35-VLOOKUP(VALUE(D36),$J$18:$Q35,7,TRUE()))*$D$3)</f>
        <v>#N/A</v>
      </c>
      <c r="F36" s="47" t="e">
        <f aca="false">MAX($D$4,(1+Q35-VLOOKUP(VALUE(D36),$M$18:$Q35,5,TRUE()))*$D$4)</f>
        <v>#N/A</v>
      </c>
      <c r="G36" s="48" t="n">
        <v>0.5</v>
      </c>
      <c r="H36" s="46" t="e">
        <f aca="true">IF((B36=1),(IF((F36&lt;E36),1,(IF((F36=E36),(IF(RAND()&lt;G36,1,0)),0)))),(IF((RAND()&lt;G36),1,0)))</f>
        <v>#N/A</v>
      </c>
      <c r="I36" s="46" t="e">
        <f aca="true">IF((H36=1),0,$D$3+$D$5*(RAND()-0.5))</f>
        <v>#N/A</v>
      </c>
      <c r="J36" s="46" t="e">
        <f aca="false">I36+MAX(D36,J35)</f>
        <v>#N/A</v>
      </c>
      <c r="K36" s="46" t="e">
        <f aca="false">IF((H36=0),J36-D36,0)</f>
        <v>#N/A</v>
      </c>
      <c r="L36" s="46" t="e">
        <f aca="true">IF(($H36=0),0,$D$4+$D$5*(RAND()-0.5))</f>
        <v>#N/A</v>
      </c>
      <c r="M36" s="46" t="e">
        <f aca="false">L36+MAX(D36,M35)</f>
        <v>#N/A</v>
      </c>
      <c r="N36" s="46" t="e">
        <f aca="false">IF((H36=1),M36-D36,0)</f>
        <v>#N/A</v>
      </c>
      <c r="O36" s="29" t="n">
        <v>19</v>
      </c>
      <c r="P36" s="49" t="e">
        <f aca="false">IF((Arterial=0),P35+1,P35)</f>
        <v>#N/A</v>
      </c>
      <c r="Q36" s="49" t="e">
        <f aca="false">IF((Arterial=1),Q35+1,Q35)</f>
        <v>#N/A</v>
      </c>
      <c r="R36" s="50" t="n">
        <f aca="false">IF((RESET=1),0,R36+K36)</f>
        <v>0</v>
      </c>
      <c r="S36" s="19" t="n">
        <f aca="false">IF(RESET=1,0,S36+N36)</f>
        <v>0</v>
      </c>
      <c r="T36" s="0" t="n">
        <f aca="false">IF(RESET=1,0,T36+IF(H36=0,1,0))</f>
        <v>0</v>
      </c>
      <c r="U36" s="0" t="n">
        <f aca="false">IF(RESET=1,0,U36+H36)</f>
        <v>0</v>
      </c>
      <c r="V36" s="19" t="n">
        <f aca="false">R36/(T36+0.00001)</f>
        <v>0</v>
      </c>
      <c r="W36" s="19" t="n">
        <f aca="false">S36/(U36+0.0001)</f>
        <v>0</v>
      </c>
      <c r="X36" s="47" t="e">
        <f aca="false">IF(Informed=1,K36,0)</f>
        <v>#N/A</v>
      </c>
      <c r="Y36" s="47" t="n">
        <f aca="false">IF(Informed=0,K36,0)</f>
        <v>0</v>
      </c>
      <c r="Z36" s="47" t="e">
        <f aca="false">IF(Informed=1,N36,0)</f>
        <v>#N/A</v>
      </c>
      <c r="AA36" s="47" t="n">
        <f aca="false">IF(Informed=0,N36,0)</f>
        <v>0</v>
      </c>
      <c r="AB36" s="51" t="e">
        <f aca="false">IF(Arterial=0,IF(Informed=1,1,0),0)</f>
        <v>#N/A</v>
      </c>
      <c r="AC36" s="51" t="e">
        <f aca="false">IF(Arterial=0,IF(Informed=0,1,0),0)</f>
        <v>#N/A</v>
      </c>
      <c r="AD36" s="51" t="e">
        <f aca="false">IF(Arterial=1,IF(Informed=1,1,0),0)</f>
        <v>#N/A</v>
      </c>
      <c r="AE36" s="51" t="e">
        <f aca="false">IF(Arterial=1,IF(Informed=0,1,0),0)</f>
        <v>#N/A</v>
      </c>
      <c r="AF36" s="44" t="e">
        <f aca="false">IF(AB36=1,(X36-G$1030)^2,0)</f>
        <v>#N/A</v>
      </c>
      <c r="AG36" s="44" t="e">
        <f aca="false">IF(AC36=1,(Y36-H$1030)^2,0)</f>
        <v>#N/A</v>
      </c>
      <c r="AH36" s="44" t="e">
        <f aca="false">IF(AD36=1,(Z36-I$1030)^2,0)</f>
        <v>#N/A</v>
      </c>
      <c r="AI36" s="44" t="e">
        <f aca="false">IF(AE36=1,(AA36-J$1030)^2,0)</f>
        <v>#N/A</v>
      </c>
    </row>
    <row r="37" customFormat="false" ht="12" hidden="false" customHeight="false" outlineLevel="0" collapsed="false">
      <c r="A37" s="29" t="n">
        <v>20</v>
      </c>
      <c r="B37" s="45" t="n">
        <f aca="true">IF(RAND()&lt;$D$8,1,0)</f>
        <v>1</v>
      </c>
      <c r="C37" s="34" t="n">
        <f aca="true">-LN(RAND())/$D$2</f>
        <v>2.48406910218684</v>
      </c>
      <c r="D37" s="46" t="n">
        <f aca="false">D36+C37</f>
        <v>22.4818138267513</v>
      </c>
      <c r="E37" s="47" t="e">
        <f aca="false">MAX($D$3,(1+P36-VLOOKUP(VALUE(D37),$J$18:$Q36,7,TRUE()))*$D$3)</f>
        <v>#N/A</v>
      </c>
      <c r="F37" s="47" t="e">
        <f aca="false">MAX($D$4,(1+Q36-VLOOKUP(VALUE(D37),$M$18:$Q36,5,TRUE()))*$D$4)</f>
        <v>#N/A</v>
      </c>
      <c r="G37" s="48" t="n">
        <v>0.5</v>
      </c>
      <c r="H37" s="46" t="e">
        <f aca="true">IF((B37=1),(IF((F37&lt;E37),1,(IF((F37=E37),(IF(RAND()&lt;G37,1,0)),0)))),(IF((RAND()&lt;G37),1,0)))</f>
        <v>#N/A</v>
      </c>
      <c r="I37" s="46" t="e">
        <f aca="true">IF((H37=1),0,$D$3+$D$5*(RAND()-0.5))</f>
        <v>#N/A</v>
      </c>
      <c r="J37" s="46" t="e">
        <f aca="false">I37+MAX(D37,J36)</f>
        <v>#N/A</v>
      </c>
      <c r="K37" s="46" t="e">
        <f aca="false">IF((H37=0),J37-D37,0)</f>
        <v>#N/A</v>
      </c>
      <c r="L37" s="46" t="e">
        <f aca="true">IF(($H37=0),0,$D$4+$D$5*(RAND()-0.5))</f>
        <v>#N/A</v>
      </c>
      <c r="M37" s="46" t="e">
        <f aca="false">L37+MAX(D37,M36)</f>
        <v>#N/A</v>
      </c>
      <c r="N37" s="46" t="e">
        <f aca="false">IF((H37=1),M37-D37,0)</f>
        <v>#N/A</v>
      </c>
      <c r="O37" s="29" t="n">
        <v>20</v>
      </c>
      <c r="P37" s="49" t="e">
        <f aca="false">IF((Arterial=0),P36+1,P36)</f>
        <v>#N/A</v>
      </c>
      <c r="Q37" s="49" t="e">
        <f aca="false">IF((Arterial=1),Q36+1,Q36)</f>
        <v>#N/A</v>
      </c>
      <c r="R37" s="50" t="n">
        <f aca="false">IF((RESET=1),0,R37+K37)</f>
        <v>0</v>
      </c>
      <c r="S37" s="19" t="n">
        <f aca="false">IF(RESET=1,0,S37+N37)</f>
        <v>0</v>
      </c>
      <c r="T37" s="0" t="n">
        <f aca="false">IF(RESET=1,0,T37+IF(H37=0,1,0))</f>
        <v>0</v>
      </c>
      <c r="U37" s="0" t="n">
        <f aca="false">IF(RESET=1,0,U37+H37)</f>
        <v>0</v>
      </c>
      <c r="V37" s="19" t="n">
        <f aca="false">R37/(T37+0.00001)</f>
        <v>0</v>
      </c>
      <c r="W37" s="19" t="n">
        <f aca="false">S37/(U37+0.0001)</f>
        <v>0</v>
      </c>
      <c r="X37" s="47" t="e">
        <f aca="false">IF(Informed=1,K37,0)</f>
        <v>#N/A</v>
      </c>
      <c r="Y37" s="47" t="n">
        <f aca="false">IF(Informed=0,K37,0)</f>
        <v>0</v>
      </c>
      <c r="Z37" s="47" t="e">
        <f aca="false">IF(Informed=1,N37,0)</f>
        <v>#N/A</v>
      </c>
      <c r="AA37" s="47" t="n">
        <f aca="false">IF(Informed=0,N37,0)</f>
        <v>0</v>
      </c>
      <c r="AB37" s="51" t="e">
        <f aca="false">IF(Arterial=0,IF(Informed=1,1,0),0)</f>
        <v>#N/A</v>
      </c>
      <c r="AC37" s="51" t="e">
        <f aca="false">IF(Arterial=0,IF(Informed=0,1,0),0)</f>
        <v>#N/A</v>
      </c>
      <c r="AD37" s="51" t="e">
        <f aca="false">IF(Arterial=1,IF(Informed=1,1,0),0)</f>
        <v>#N/A</v>
      </c>
      <c r="AE37" s="51" t="e">
        <f aca="false">IF(Arterial=1,IF(Informed=0,1,0),0)</f>
        <v>#N/A</v>
      </c>
      <c r="AF37" s="44" t="e">
        <f aca="false">IF(AB37=1,(X37-G$1030)^2,0)</f>
        <v>#N/A</v>
      </c>
      <c r="AG37" s="44" t="e">
        <f aca="false">IF(AC37=1,(Y37-H$1030)^2,0)</f>
        <v>#N/A</v>
      </c>
      <c r="AH37" s="44" t="e">
        <f aca="false">IF(AD37=1,(Z37-I$1030)^2,0)</f>
        <v>#N/A</v>
      </c>
      <c r="AI37" s="44" t="e">
        <f aca="false">IF(AE37=1,(AA37-J$1030)^2,0)</f>
        <v>#N/A</v>
      </c>
    </row>
    <row r="38" customFormat="false" ht="12" hidden="false" customHeight="false" outlineLevel="0" collapsed="false">
      <c r="A38" s="29" t="n">
        <v>21</v>
      </c>
      <c r="B38" s="45" t="n">
        <f aca="true">IF(RAND()&lt;$D$8,1,0)</f>
        <v>1</v>
      </c>
      <c r="C38" s="34" t="n">
        <f aca="true">-LN(RAND())/$D$2</f>
        <v>1.8730608748577</v>
      </c>
      <c r="D38" s="46" t="n">
        <f aca="false">D37+C38</f>
        <v>24.354874701609</v>
      </c>
      <c r="E38" s="47" t="e">
        <f aca="false">MAX($D$3,(1+P37-VLOOKUP(VALUE(D38),$J$18:$Q37,7,TRUE()))*$D$3)</f>
        <v>#N/A</v>
      </c>
      <c r="F38" s="47" t="e">
        <f aca="false">MAX($D$4,(1+Q37-VLOOKUP(VALUE(D38),$M$18:$Q37,5,TRUE()))*$D$4)</f>
        <v>#N/A</v>
      </c>
      <c r="G38" s="48" t="n">
        <v>0.5</v>
      </c>
      <c r="H38" s="46" t="e">
        <f aca="true">IF((B38=1),(IF((F38&lt;E38),1,(IF((F38=E38),(IF(RAND()&lt;G38,1,0)),0)))),(IF((RAND()&lt;G38),1,0)))</f>
        <v>#N/A</v>
      </c>
      <c r="I38" s="46" t="e">
        <f aca="true">IF((H38=1),0,$D$3+$D$5*(RAND()-0.5))</f>
        <v>#N/A</v>
      </c>
      <c r="J38" s="46" t="e">
        <f aca="false">I38+MAX(D38,J37)</f>
        <v>#N/A</v>
      </c>
      <c r="K38" s="46" t="e">
        <f aca="false">IF((H38=0),J38-D38,0)</f>
        <v>#N/A</v>
      </c>
      <c r="L38" s="46" t="e">
        <f aca="true">IF(($H38=0),0,$D$4+$D$5*(RAND()-0.5))</f>
        <v>#N/A</v>
      </c>
      <c r="M38" s="46" t="e">
        <f aca="false">L38+MAX(D38,M37)</f>
        <v>#N/A</v>
      </c>
      <c r="N38" s="46" t="e">
        <f aca="false">IF((H38=1),M38-D38,0)</f>
        <v>#N/A</v>
      </c>
      <c r="O38" s="29" t="n">
        <v>21</v>
      </c>
      <c r="P38" s="49" t="e">
        <f aca="false">IF((Arterial=0),P37+1,P37)</f>
        <v>#N/A</v>
      </c>
      <c r="Q38" s="49" t="e">
        <f aca="false">IF((Arterial=1),Q37+1,Q37)</f>
        <v>#N/A</v>
      </c>
      <c r="R38" s="50" t="n">
        <f aca="false">IF((RESET=1),0,R38+K38)</f>
        <v>0</v>
      </c>
      <c r="S38" s="19" t="n">
        <f aca="false">IF(RESET=1,0,S38+N38)</f>
        <v>0</v>
      </c>
      <c r="T38" s="0" t="n">
        <f aca="false">IF(RESET=1,0,T38+IF(H38=0,1,0))</f>
        <v>0</v>
      </c>
      <c r="U38" s="0" t="n">
        <f aca="false">IF(RESET=1,0,U38+H38)</f>
        <v>0</v>
      </c>
      <c r="V38" s="19" t="n">
        <f aca="false">R38/(T38+0.00001)</f>
        <v>0</v>
      </c>
      <c r="W38" s="19" t="n">
        <f aca="false">S38/(U38+0.0001)</f>
        <v>0</v>
      </c>
      <c r="X38" s="47" t="e">
        <f aca="false">IF(Informed=1,K38,0)</f>
        <v>#N/A</v>
      </c>
      <c r="Y38" s="47" t="n">
        <f aca="false">IF(Informed=0,K38,0)</f>
        <v>0</v>
      </c>
      <c r="Z38" s="47" t="e">
        <f aca="false">IF(Informed=1,N38,0)</f>
        <v>#N/A</v>
      </c>
      <c r="AA38" s="47" t="n">
        <f aca="false">IF(Informed=0,N38,0)</f>
        <v>0</v>
      </c>
      <c r="AB38" s="51" t="e">
        <f aca="false">IF(Arterial=0,IF(Informed=1,1,0),0)</f>
        <v>#N/A</v>
      </c>
      <c r="AC38" s="51" t="e">
        <f aca="false">IF(Arterial=0,IF(Informed=0,1,0),0)</f>
        <v>#N/A</v>
      </c>
      <c r="AD38" s="51" t="e">
        <f aca="false">IF(Arterial=1,IF(Informed=1,1,0),0)</f>
        <v>#N/A</v>
      </c>
      <c r="AE38" s="51" t="e">
        <f aca="false">IF(Arterial=1,IF(Informed=0,1,0),0)</f>
        <v>#N/A</v>
      </c>
      <c r="AF38" s="44" t="e">
        <f aca="false">IF(AB38=1,(X38-G$1030)^2,0)</f>
        <v>#N/A</v>
      </c>
      <c r="AG38" s="44" t="e">
        <f aca="false">IF(AC38=1,(Y38-H$1030)^2,0)</f>
        <v>#N/A</v>
      </c>
      <c r="AH38" s="44" t="e">
        <f aca="false">IF(AD38=1,(Z38-I$1030)^2,0)</f>
        <v>#N/A</v>
      </c>
      <c r="AI38" s="44" t="e">
        <f aca="false">IF(AE38=1,(AA38-J$1030)^2,0)</f>
        <v>#N/A</v>
      </c>
    </row>
    <row r="39" customFormat="false" ht="12" hidden="false" customHeight="false" outlineLevel="0" collapsed="false">
      <c r="A39" s="29" t="n">
        <v>22</v>
      </c>
      <c r="B39" s="45" t="n">
        <f aca="true">IF(RAND()&lt;$D$8,1,0)</f>
        <v>1</v>
      </c>
      <c r="C39" s="34" t="n">
        <f aca="true">-LN(RAND())/$D$2</f>
        <v>1.28406111029527</v>
      </c>
      <c r="D39" s="46" t="n">
        <f aca="false">D38+C39</f>
        <v>25.6389358119043</v>
      </c>
      <c r="E39" s="47" t="e">
        <f aca="false">MAX($D$3,(1+P38-VLOOKUP(VALUE(D39),$J$18:$Q38,7,TRUE()))*$D$3)</f>
        <v>#N/A</v>
      </c>
      <c r="F39" s="47" t="e">
        <f aca="false">MAX($D$4,(1+Q38-VLOOKUP(VALUE(D39),$M$18:$Q38,5,TRUE()))*$D$4)</f>
        <v>#N/A</v>
      </c>
      <c r="G39" s="48" t="n">
        <v>0.5</v>
      </c>
      <c r="H39" s="46" t="e">
        <f aca="true">IF((B39=1),(IF((F39&lt;E39),1,(IF((F39=E39),(IF(RAND()&lt;G39,1,0)),0)))),(IF((RAND()&lt;G39),1,0)))</f>
        <v>#N/A</v>
      </c>
      <c r="I39" s="46" t="e">
        <f aca="true">IF((H39=1),0,$D$3+$D$5*(RAND()-0.5))</f>
        <v>#N/A</v>
      </c>
      <c r="J39" s="46" t="e">
        <f aca="false">I39+MAX(D39,J38)</f>
        <v>#N/A</v>
      </c>
      <c r="K39" s="46" t="e">
        <f aca="false">IF((H39=0),J39-D39,0)</f>
        <v>#N/A</v>
      </c>
      <c r="L39" s="46" t="e">
        <f aca="true">IF(($H39=0),0,$D$4+$D$5*(RAND()-0.5))</f>
        <v>#N/A</v>
      </c>
      <c r="M39" s="46" t="e">
        <f aca="false">L39+MAX(D39,M38)</f>
        <v>#N/A</v>
      </c>
      <c r="N39" s="46" t="e">
        <f aca="false">IF((H39=1),M39-D39,0)</f>
        <v>#N/A</v>
      </c>
      <c r="O39" s="29" t="n">
        <v>22</v>
      </c>
      <c r="P39" s="49" t="e">
        <f aca="false">IF((Arterial=0),P38+1,P38)</f>
        <v>#N/A</v>
      </c>
      <c r="Q39" s="49" t="e">
        <f aca="false">IF((Arterial=1),Q38+1,Q38)</f>
        <v>#N/A</v>
      </c>
      <c r="R39" s="50" t="n">
        <f aca="false">IF((RESET=1),0,R39+K39)</f>
        <v>0</v>
      </c>
      <c r="S39" s="19" t="n">
        <f aca="false">IF(RESET=1,0,S39+N39)</f>
        <v>0</v>
      </c>
      <c r="T39" s="0" t="n">
        <f aca="false">IF(RESET=1,0,T39+IF(H39=0,1,0))</f>
        <v>0</v>
      </c>
      <c r="U39" s="0" t="n">
        <f aca="false">IF(RESET=1,0,U39+H39)</f>
        <v>0</v>
      </c>
      <c r="V39" s="19" t="n">
        <f aca="false">R39/(T39+0.00001)</f>
        <v>0</v>
      </c>
      <c r="W39" s="19" t="n">
        <f aca="false">S39/(U39+0.0001)</f>
        <v>0</v>
      </c>
      <c r="X39" s="47" t="e">
        <f aca="false">IF(Informed=1,K39,0)</f>
        <v>#N/A</v>
      </c>
      <c r="Y39" s="47" t="n">
        <f aca="false">IF(Informed=0,K39,0)</f>
        <v>0</v>
      </c>
      <c r="Z39" s="47" t="e">
        <f aca="false">IF(Informed=1,N39,0)</f>
        <v>#N/A</v>
      </c>
      <c r="AA39" s="47" t="n">
        <f aca="false">IF(Informed=0,N39,0)</f>
        <v>0</v>
      </c>
      <c r="AB39" s="51" t="e">
        <f aca="false">IF(Arterial=0,IF(Informed=1,1,0),0)</f>
        <v>#N/A</v>
      </c>
      <c r="AC39" s="51" t="e">
        <f aca="false">IF(Arterial=0,IF(Informed=0,1,0),0)</f>
        <v>#N/A</v>
      </c>
      <c r="AD39" s="51" t="e">
        <f aca="false">IF(Arterial=1,IF(Informed=1,1,0),0)</f>
        <v>#N/A</v>
      </c>
      <c r="AE39" s="51" t="e">
        <f aca="false">IF(Arterial=1,IF(Informed=0,1,0),0)</f>
        <v>#N/A</v>
      </c>
      <c r="AF39" s="44" t="e">
        <f aca="false">IF(AB39=1,(X39-G$1030)^2,0)</f>
        <v>#N/A</v>
      </c>
      <c r="AG39" s="44" t="e">
        <f aca="false">IF(AC39=1,(Y39-H$1030)^2,0)</f>
        <v>#N/A</v>
      </c>
      <c r="AH39" s="44" t="e">
        <f aca="false">IF(AD39=1,(Z39-I$1030)^2,0)</f>
        <v>#N/A</v>
      </c>
      <c r="AI39" s="44" t="e">
        <f aca="false">IF(AE39=1,(AA39-J$1030)^2,0)</f>
        <v>#N/A</v>
      </c>
    </row>
    <row r="40" customFormat="false" ht="12" hidden="false" customHeight="false" outlineLevel="0" collapsed="false">
      <c r="A40" s="29" t="n">
        <v>23</v>
      </c>
      <c r="B40" s="45" t="n">
        <f aca="true">IF(RAND()&lt;$D$8,1,0)</f>
        <v>1</v>
      </c>
      <c r="C40" s="34" t="n">
        <f aca="true">-LN(RAND())/$D$2</f>
        <v>0.0249571753819306</v>
      </c>
      <c r="D40" s="46" t="n">
        <f aca="false">D39+C40</f>
        <v>25.6638929872862</v>
      </c>
      <c r="E40" s="47" t="e">
        <f aca="false">MAX($D$3,(1+P39-VLOOKUP(VALUE(D40),$J$18:$Q39,7,TRUE()))*$D$3)</f>
        <v>#N/A</v>
      </c>
      <c r="F40" s="47" t="e">
        <f aca="false">MAX($D$4,(1+Q39-VLOOKUP(VALUE(D40),$M$18:$Q39,5,TRUE()))*$D$4)</f>
        <v>#N/A</v>
      </c>
      <c r="G40" s="48" t="n">
        <v>0.5</v>
      </c>
      <c r="H40" s="46" t="e">
        <f aca="true">IF((B40=1),(IF((F40&lt;E40),1,(IF((F40=E40),(IF(RAND()&lt;G40,1,0)),0)))),(IF((RAND()&lt;G40),1,0)))</f>
        <v>#N/A</v>
      </c>
      <c r="I40" s="46" t="e">
        <f aca="true">IF((H40=1),0,$D$3+$D$5*(RAND()-0.5))</f>
        <v>#N/A</v>
      </c>
      <c r="J40" s="46" t="e">
        <f aca="false">I40+MAX(D40,J39)</f>
        <v>#N/A</v>
      </c>
      <c r="K40" s="46" t="e">
        <f aca="false">IF((H40=0),J40-D40,0)</f>
        <v>#N/A</v>
      </c>
      <c r="L40" s="46" t="e">
        <f aca="true">IF(($H40=0),0,$D$4+$D$5*(RAND()-0.5))</f>
        <v>#N/A</v>
      </c>
      <c r="M40" s="46" t="e">
        <f aca="false">L40+MAX(D40,M39)</f>
        <v>#N/A</v>
      </c>
      <c r="N40" s="46" t="e">
        <f aca="false">IF((H40=1),M40-D40,0)</f>
        <v>#N/A</v>
      </c>
      <c r="O40" s="29" t="n">
        <v>23</v>
      </c>
      <c r="P40" s="49" t="e">
        <f aca="false">IF((Arterial=0),P39+1,P39)</f>
        <v>#N/A</v>
      </c>
      <c r="Q40" s="49" t="e">
        <f aca="false">IF((Arterial=1),Q39+1,Q39)</f>
        <v>#N/A</v>
      </c>
      <c r="R40" s="50" t="n">
        <f aca="false">IF((RESET=1),0,R40+K40)</f>
        <v>0</v>
      </c>
      <c r="S40" s="19" t="n">
        <f aca="false">IF(RESET=1,0,S40+N40)</f>
        <v>0</v>
      </c>
      <c r="T40" s="0" t="n">
        <f aca="false">IF(RESET=1,0,T40+IF(H40=0,1,0))</f>
        <v>0</v>
      </c>
      <c r="U40" s="0" t="n">
        <f aca="false">IF(RESET=1,0,U40+H40)</f>
        <v>0</v>
      </c>
      <c r="V40" s="19" t="n">
        <f aca="false">R40/(T40+0.00001)</f>
        <v>0</v>
      </c>
      <c r="W40" s="19" t="n">
        <f aca="false">S40/(U40+0.0001)</f>
        <v>0</v>
      </c>
      <c r="X40" s="47" t="e">
        <f aca="false">IF(Informed=1,K40,0)</f>
        <v>#N/A</v>
      </c>
      <c r="Y40" s="47" t="n">
        <f aca="false">IF(Informed=0,K40,0)</f>
        <v>0</v>
      </c>
      <c r="Z40" s="47" t="e">
        <f aca="false">IF(Informed=1,N40,0)</f>
        <v>#N/A</v>
      </c>
      <c r="AA40" s="47" t="n">
        <f aca="false">IF(Informed=0,N40,0)</f>
        <v>0</v>
      </c>
      <c r="AB40" s="51" t="e">
        <f aca="false">IF(Arterial=0,IF(Informed=1,1,0),0)</f>
        <v>#N/A</v>
      </c>
      <c r="AC40" s="51" t="e">
        <f aca="false">IF(Arterial=0,IF(Informed=0,1,0),0)</f>
        <v>#N/A</v>
      </c>
      <c r="AD40" s="51" t="e">
        <f aca="false">IF(Arterial=1,IF(Informed=1,1,0),0)</f>
        <v>#N/A</v>
      </c>
      <c r="AE40" s="51" t="e">
        <f aca="false">IF(Arterial=1,IF(Informed=0,1,0),0)</f>
        <v>#N/A</v>
      </c>
      <c r="AF40" s="44" t="e">
        <f aca="false">IF(AB40=1,(X40-G$1030)^2,0)</f>
        <v>#N/A</v>
      </c>
      <c r="AG40" s="44" t="e">
        <f aca="false">IF(AC40=1,(Y40-H$1030)^2,0)</f>
        <v>#N/A</v>
      </c>
      <c r="AH40" s="44" t="e">
        <f aca="false">IF(AD40=1,(Z40-I$1030)^2,0)</f>
        <v>#N/A</v>
      </c>
      <c r="AI40" s="44" t="e">
        <f aca="false">IF(AE40=1,(AA40-J$1030)^2,0)</f>
        <v>#N/A</v>
      </c>
    </row>
    <row r="41" customFormat="false" ht="12" hidden="false" customHeight="false" outlineLevel="0" collapsed="false">
      <c r="A41" s="29" t="n">
        <v>24</v>
      </c>
      <c r="B41" s="45" t="n">
        <f aca="true">IF(RAND()&lt;$D$8,1,0)</f>
        <v>1</v>
      </c>
      <c r="C41" s="34" t="n">
        <f aca="true">-LN(RAND())/$D$2</f>
        <v>0.299852748131117</v>
      </c>
      <c r="D41" s="46" t="n">
        <f aca="false">D40+C41</f>
        <v>25.9637457354173</v>
      </c>
      <c r="E41" s="47" t="e">
        <f aca="false">MAX($D$3,(1+P40-VLOOKUP(VALUE(D41),$J$18:$Q40,7,TRUE()))*$D$3)</f>
        <v>#N/A</v>
      </c>
      <c r="F41" s="47" t="e">
        <f aca="false">MAX($D$4,(1+Q40-VLOOKUP(VALUE(D41),$M$18:$Q40,5,TRUE()))*$D$4)</f>
        <v>#N/A</v>
      </c>
      <c r="G41" s="48" t="n">
        <v>0.5</v>
      </c>
      <c r="H41" s="46" t="e">
        <f aca="true">IF((B41=1),(IF((F41&lt;E41),1,(IF((F41=E41),(IF(RAND()&lt;G41,1,0)),0)))),(IF((RAND()&lt;G41),1,0)))</f>
        <v>#N/A</v>
      </c>
      <c r="I41" s="46" t="e">
        <f aca="true">IF((H41=1),0,$D$3+$D$5*(RAND()-0.5))</f>
        <v>#N/A</v>
      </c>
      <c r="J41" s="46" t="e">
        <f aca="false">I41+MAX(D41,J40)</f>
        <v>#N/A</v>
      </c>
      <c r="K41" s="46" t="e">
        <f aca="false">IF((H41=0),J41-D41,0)</f>
        <v>#N/A</v>
      </c>
      <c r="L41" s="46" t="e">
        <f aca="true">IF(($H41=0),0,$D$4+$D$5*(RAND()-0.5))</f>
        <v>#N/A</v>
      </c>
      <c r="M41" s="46" t="e">
        <f aca="false">L41+MAX(D41,M40)</f>
        <v>#N/A</v>
      </c>
      <c r="N41" s="46" t="e">
        <f aca="false">IF((H41=1),M41-D41,0)</f>
        <v>#N/A</v>
      </c>
      <c r="O41" s="29" t="n">
        <v>24</v>
      </c>
      <c r="P41" s="49" t="e">
        <f aca="false">IF((Arterial=0),P40+1,P40)</f>
        <v>#N/A</v>
      </c>
      <c r="Q41" s="49" t="e">
        <f aca="false">IF((Arterial=1),Q40+1,Q40)</f>
        <v>#N/A</v>
      </c>
      <c r="R41" s="50" t="n">
        <f aca="false">IF((RESET=1),0,R41+K41)</f>
        <v>0</v>
      </c>
      <c r="S41" s="19" t="n">
        <f aca="false">IF(RESET=1,0,S41+N41)</f>
        <v>0</v>
      </c>
      <c r="T41" s="0" t="n">
        <f aca="false">IF(RESET=1,0,T41+IF(H41=0,1,0))</f>
        <v>0</v>
      </c>
      <c r="U41" s="0" t="n">
        <f aca="false">IF(RESET=1,0,U41+H41)</f>
        <v>0</v>
      </c>
      <c r="V41" s="19" t="n">
        <f aca="false">R41/(T41+0.00001)</f>
        <v>0</v>
      </c>
      <c r="W41" s="19" t="n">
        <f aca="false">S41/(U41+0.0001)</f>
        <v>0</v>
      </c>
      <c r="X41" s="47" t="e">
        <f aca="false">IF(Informed=1,K41,0)</f>
        <v>#N/A</v>
      </c>
      <c r="Y41" s="47" t="n">
        <f aca="false">IF(Informed=0,K41,0)</f>
        <v>0</v>
      </c>
      <c r="Z41" s="47" t="e">
        <f aca="false">IF(Informed=1,N41,0)</f>
        <v>#N/A</v>
      </c>
      <c r="AA41" s="47" t="n">
        <f aca="false">IF(Informed=0,N41,0)</f>
        <v>0</v>
      </c>
      <c r="AB41" s="51" t="e">
        <f aca="false">IF(Arterial=0,IF(Informed=1,1,0),0)</f>
        <v>#N/A</v>
      </c>
      <c r="AC41" s="51" t="e">
        <f aca="false">IF(Arterial=0,IF(Informed=0,1,0),0)</f>
        <v>#N/A</v>
      </c>
      <c r="AD41" s="51" t="e">
        <f aca="false">IF(Arterial=1,IF(Informed=1,1,0),0)</f>
        <v>#N/A</v>
      </c>
      <c r="AE41" s="51" t="e">
        <f aca="false">IF(Arterial=1,IF(Informed=0,1,0),0)</f>
        <v>#N/A</v>
      </c>
      <c r="AF41" s="44" t="e">
        <f aca="false">IF(AB41=1,(X41-G$1030)^2,0)</f>
        <v>#N/A</v>
      </c>
      <c r="AG41" s="44" t="e">
        <f aca="false">IF(AC41=1,(Y41-H$1030)^2,0)</f>
        <v>#N/A</v>
      </c>
      <c r="AH41" s="44" t="e">
        <f aca="false">IF(AD41=1,(Z41-I$1030)^2,0)</f>
        <v>#N/A</v>
      </c>
      <c r="AI41" s="44" t="e">
        <f aca="false">IF(AE41=1,(AA41-J$1030)^2,0)</f>
        <v>#N/A</v>
      </c>
    </row>
    <row r="42" customFormat="false" ht="12" hidden="false" customHeight="false" outlineLevel="0" collapsed="false">
      <c r="A42" s="29" t="n">
        <v>25</v>
      </c>
      <c r="B42" s="45" t="n">
        <f aca="true">IF(RAND()&lt;$D$8,1,0)</f>
        <v>1</v>
      </c>
      <c r="C42" s="34" t="n">
        <f aca="true">-LN(RAND())/$D$2</f>
        <v>4.39814655888236</v>
      </c>
      <c r="D42" s="46" t="n">
        <f aca="false">D41+C42</f>
        <v>30.3618922942997</v>
      </c>
      <c r="E42" s="47" t="e">
        <f aca="false">MAX($D$3,(1+P41-VLOOKUP(VALUE(D42),$J$18:$Q41,7,TRUE()))*$D$3)</f>
        <v>#N/A</v>
      </c>
      <c r="F42" s="47" t="e">
        <f aca="false">MAX($D$4,(1+Q41-VLOOKUP(VALUE(D42),$M$18:$Q41,5,TRUE()))*$D$4)</f>
        <v>#N/A</v>
      </c>
      <c r="G42" s="48" t="n">
        <v>0.5</v>
      </c>
      <c r="H42" s="46" t="e">
        <f aca="true">IF((B42=1),(IF((F42&lt;E42),1,(IF((F42=E42),(IF(RAND()&lt;G42,1,0)),0)))),(IF((RAND()&lt;G42),1,0)))</f>
        <v>#N/A</v>
      </c>
      <c r="I42" s="46" t="e">
        <f aca="true">IF((H42=1),0,$D$3+$D$5*(RAND()-0.5))</f>
        <v>#N/A</v>
      </c>
      <c r="J42" s="46" t="e">
        <f aca="false">I42+MAX(D42,J41)</f>
        <v>#N/A</v>
      </c>
      <c r="K42" s="46" t="e">
        <f aca="false">IF((H42=0),J42-D42,0)</f>
        <v>#N/A</v>
      </c>
      <c r="L42" s="46" t="e">
        <f aca="true">IF(($H42=0),0,$D$4+$D$5*(RAND()-0.5))</f>
        <v>#N/A</v>
      </c>
      <c r="M42" s="46" t="e">
        <f aca="false">L42+MAX(D42,M41)</f>
        <v>#N/A</v>
      </c>
      <c r="N42" s="46" t="e">
        <f aca="false">IF((H42=1),M42-D42,0)</f>
        <v>#N/A</v>
      </c>
      <c r="O42" s="29" t="n">
        <v>25</v>
      </c>
      <c r="P42" s="49" t="e">
        <f aca="false">IF((Arterial=0),P41+1,P41)</f>
        <v>#N/A</v>
      </c>
      <c r="Q42" s="49" t="e">
        <f aca="false">IF((Arterial=1),Q41+1,Q41)</f>
        <v>#N/A</v>
      </c>
      <c r="R42" s="50" t="n">
        <f aca="false">IF((RESET=1),0,R42+K42)</f>
        <v>0</v>
      </c>
      <c r="S42" s="19" t="n">
        <f aca="false">IF(RESET=1,0,S42+N42)</f>
        <v>0</v>
      </c>
      <c r="T42" s="0" t="n">
        <f aca="false">IF(RESET=1,0,T42+IF(H42=0,1,0))</f>
        <v>0</v>
      </c>
      <c r="U42" s="0" t="n">
        <f aca="false">IF(RESET=1,0,U42+H42)</f>
        <v>0</v>
      </c>
      <c r="V42" s="19" t="n">
        <f aca="false">R42/(T42+0.00001)</f>
        <v>0</v>
      </c>
      <c r="W42" s="19" t="n">
        <f aca="false">S42/(U42+0.0001)</f>
        <v>0</v>
      </c>
      <c r="X42" s="47" t="e">
        <f aca="false">IF(Informed=1,K42,0)</f>
        <v>#N/A</v>
      </c>
      <c r="Y42" s="47" t="n">
        <f aca="false">IF(Informed=0,K42,0)</f>
        <v>0</v>
      </c>
      <c r="Z42" s="47" t="e">
        <f aca="false">IF(Informed=1,N42,0)</f>
        <v>#N/A</v>
      </c>
      <c r="AA42" s="47" t="n">
        <f aca="false">IF(Informed=0,N42,0)</f>
        <v>0</v>
      </c>
      <c r="AB42" s="51" t="e">
        <f aca="false">IF(Arterial=0,IF(Informed=1,1,0),0)</f>
        <v>#N/A</v>
      </c>
      <c r="AC42" s="51" t="e">
        <f aca="false">IF(Arterial=0,IF(Informed=0,1,0),0)</f>
        <v>#N/A</v>
      </c>
      <c r="AD42" s="51" t="e">
        <f aca="false">IF(Arterial=1,IF(Informed=1,1,0),0)</f>
        <v>#N/A</v>
      </c>
      <c r="AE42" s="51" t="e">
        <f aca="false">IF(Arterial=1,IF(Informed=0,1,0),0)</f>
        <v>#N/A</v>
      </c>
      <c r="AF42" s="44" t="e">
        <f aca="false">IF(AB42=1,(X42-G$1030)^2,0)</f>
        <v>#N/A</v>
      </c>
      <c r="AG42" s="44" t="e">
        <f aca="false">IF(AC42=1,(Y42-H$1030)^2,0)</f>
        <v>#N/A</v>
      </c>
      <c r="AH42" s="44" t="e">
        <f aca="false">IF(AD42=1,(Z42-I$1030)^2,0)</f>
        <v>#N/A</v>
      </c>
      <c r="AI42" s="44" t="e">
        <f aca="false">IF(AE42=1,(AA42-J$1030)^2,0)</f>
        <v>#N/A</v>
      </c>
    </row>
    <row r="43" customFormat="false" ht="12" hidden="false" customHeight="false" outlineLevel="0" collapsed="false">
      <c r="A43" s="29" t="n">
        <v>26</v>
      </c>
      <c r="B43" s="45" t="n">
        <f aca="true">IF(RAND()&lt;$D$8,1,0)</f>
        <v>1</v>
      </c>
      <c r="C43" s="34" t="n">
        <f aca="true">-LN(RAND())/$D$2</f>
        <v>0.639461728843201</v>
      </c>
      <c r="D43" s="46" t="n">
        <f aca="false">D42+C43</f>
        <v>31.0013540231429</v>
      </c>
      <c r="E43" s="47" t="e">
        <f aca="false">MAX($D$3,(1+P42-VLOOKUP(VALUE(D43),$J$18:$Q42,7,TRUE()))*$D$3)</f>
        <v>#N/A</v>
      </c>
      <c r="F43" s="47" t="e">
        <f aca="false">MAX($D$4,(1+Q42-VLOOKUP(VALUE(D43),$M$18:$Q42,5,TRUE()))*$D$4)</f>
        <v>#N/A</v>
      </c>
      <c r="G43" s="48" t="n">
        <v>0.5</v>
      </c>
      <c r="H43" s="46" t="e">
        <f aca="true">IF((B43=1),(IF((F43&lt;E43),1,(IF((F43=E43),(IF(RAND()&lt;G43,1,0)),0)))),(IF((RAND()&lt;G43),1,0)))</f>
        <v>#N/A</v>
      </c>
      <c r="I43" s="46" t="e">
        <f aca="true">IF((H43=1),0,$D$3+$D$5*(RAND()-0.5))</f>
        <v>#N/A</v>
      </c>
      <c r="J43" s="46" t="e">
        <f aca="false">I43+MAX(D43,J42)</f>
        <v>#N/A</v>
      </c>
      <c r="K43" s="46" t="e">
        <f aca="false">IF((H43=0),J43-D43,0)</f>
        <v>#N/A</v>
      </c>
      <c r="L43" s="46" t="e">
        <f aca="true">IF(($H43=0),0,$D$4+$D$5*(RAND()-0.5))</f>
        <v>#N/A</v>
      </c>
      <c r="M43" s="46" t="e">
        <f aca="false">L43+MAX(D43,M42)</f>
        <v>#N/A</v>
      </c>
      <c r="N43" s="46" t="e">
        <f aca="false">IF((H43=1),M43-D43,0)</f>
        <v>#N/A</v>
      </c>
      <c r="O43" s="29" t="n">
        <v>26</v>
      </c>
      <c r="P43" s="49" t="e">
        <f aca="false">IF((Arterial=0),P42+1,P42)</f>
        <v>#N/A</v>
      </c>
      <c r="Q43" s="49" t="e">
        <f aca="false">IF((Arterial=1),Q42+1,Q42)</f>
        <v>#N/A</v>
      </c>
      <c r="R43" s="50" t="n">
        <f aca="false">IF((RESET=1),0,R43+K43)</f>
        <v>0</v>
      </c>
      <c r="S43" s="19" t="n">
        <f aca="false">IF(RESET=1,0,S43+N43)</f>
        <v>0</v>
      </c>
      <c r="T43" s="0" t="n">
        <f aca="false">IF(RESET=1,0,T43+IF(H43=0,1,0))</f>
        <v>0</v>
      </c>
      <c r="U43" s="0" t="n">
        <f aca="false">IF(RESET=1,0,U43+H43)</f>
        <v>0</v>
      </c>
      <c r="V43" s="19" t="n">
        <f aca="false">R43/(T43+0.00001)</f>
        <v>0</v>
      </c>
      <c r="W43" s="19" t="n">
        <f aca="false">S43/(U43+0.0001)</f>
        <v>0</v>
      </c>
      <c r="X43" s="47" t="e">
        <f aca="false">IF(Informed=1,K43,0)</f>
        <v>#N/A</v>
      </c>
      <c r="Y43" s="47" t="n">
        <f aca="false">IF(Informed=0,K43,0)</f>
        <v>0</v>
      </c>
      <c r="Z43" s="47" t="e">
        <f aca="false">IF(Informed=1,N43,0)</f>
        <v>#N/A</v>
      </c>
      <c r="AA43" s="47" t="n">
        <f aca="false">IF(Informed=0,N43,0)</f>
        <v>0</v>
      </c>
      <c r="AB43" s="51" t="e">
        <f aca="false">IF(Arterial=0,IF(Informed=1,1,0),0)</f>
        <v>#N/A</v>
      </c>
      <c r="AC43" s="51" t="e">
        <f aca="false">IF(Arterial=0,IF(Informed=0,1,0),0)</f>
        <v>#N/A</v>
      </c>
      <c r="AD43" s="51" t="e">
        <f aca="false">IF(Arterial=1,IF(Informed=1,1,0),0)</f>
        <v>#N/A</v>
      </c>
      <c r="AE43" s="51" t="e">
        <f aca="false">IF(Arterial=1,IF(Informed=0,1,0),0)</f>
        <v>#N/A</v>
      </c>
      <c r="AF43" s="44" t="e">
        <f aca="false">IF(AB43=1,(X43-G$1030)^2,0)</f>
        <v>#N/A</v>
      </c>
      <c r="AG43" s="44" t="e">
        <f aca="false">IF(AC43=1,(Y43-H$1030)^2,0)</f>
        <v>#N/A</v>
      </c>
      <c r="AH43" s="44" t="e">
        <f aca="false">IF(AD43=1,(Z43-I$1030)^2,0)</f>
        <v>#N/A</v>
      </c>
      <c r="AI43" s="44" t="e">
        <f aca="false">IF(AE43=1,(AA43-J$1030)^2,0)</f>
        <v>#N/A</v>
      </c>
    </row>
    <row r="44" customFormat="false" ht="12" hidden="false" customHeight="false" outlineLevel="0" collapsed="false">
      <c r="A44" s="29" t="n">
        <v>27</v>
      </c>
      <c r="B44" s="45" t="n">
        <f aca="true">IF(RAND()&lt;$D$8,1,0)</f>
        <v>1</v>
      </c>
      <c r="C44" s="34" t="n">
        <f aca="true">-LN(RAND())/$D$2</f>
        <v>2.03926133079433</v>
      </c>
      <c r="D44" s="46" t="n">
        <f aca="false">D43+C44</f>
        <v>33.0406153539372</v>
      </c>
      <c r="E44" s="47" t="e">
        <f aca="false">MAX($D$3,(1+P43-VLOOKUP(VALUE(D44),$J$18:$Q43,7,TRUE()))*$D$3)</f>
        <v>#N/A</v>
      </c>
      <c r="F44" s="47" t="e">
        <f aca="false">MAX($D$4,(1+Q43-VLOOKUP(VALUE(D44),$M$18:$Q43,5,TRUE()))*$D$4)</f>
        <v>#N/A</v>
      </c>
      <c r="G44" s="48" t="n">
        <v>0.5</v>
      </c>
      <c r="H44" s="46" t="e">
        <f aca="true">IF((B44=1),(IF((F44&lt;E44),1,(IF((F44=E44),(IF(RAND()&lt;G44,1,0)),0)))),(IF((RAND()&lt;G44),1,0)))</f>
        <v>#N/A</v>
      </c>
      <c r="I44" s="46" t="e">
        <f aca="true">IF((H44=1),0,$D$3+$D$5*(RAND()-0.5))</f>
        <v>#N/A</v>
      </c>
      <c r="J44" s="46" t="e">
        <f aca="false">I44+MAX(D44,J43)</f>
        <v>#N/A</v>
      </c>
      <c r="K44" s="46" t="e">
        <f aca="false">IF((H44=0),J44-D44,0)</f>
        <v>#N/A</v>
      </c>
      <c r="L44" s="46" t="e">
        <f aca="true">IF(($H44=0),0,$D$4+$D$5*(RAND()-0.5))</f>
        <v>#N/A</v>
      </c>
      <c r="M44" s="46" t="e">
        <f aca="false">L44+MAX(D44,M43)</f>
        <v>#N/A</v>
      </c>
      <c r="N44" s="46" t="e">
        <f aca="false">IF((H44=1),M44-D44,0)</f>
        <v>#N/A</v>
      </c>
      <c r="O44" s="29" t="n">
        <v>27</v>
      </c>
      <c r="P44" s="49" t="e">
        <f aca="false">IF((Arterial=0),P43+1,P43)</f>
        <v>#N/A</v>
      </c>
      <c r="Q44" s="49" t="e">
        <f aca="false">IF((Arterial=1),Q43+1,Q43)</f>
        <v>#N/A</v>
      </c>
      <c r="R44" s="50" t="n">
        <f aca="false">IF((RESET=1),0,R44+K44)</f>
        <v>0</v>
      </c>
      <c r="S44" s="19" t="n">
        <f aca="false">IF(RESET=1,0,S44+N44)</f>
        <v>0</v>
      </c>
      <c r="T44" s="0" t="n">
        <f aca="false">IF(RESET=1,0,T44+IF(H44=0,1,0))</f>
        <v>0</v>
      </c>
      <c r="U44" s="0" t="n">
        <f aca="false">IF(RESET=1,0,U44+H44)</f>
        <v>0</v>
      </c>
      <c r="V44" s="19" t="n">
        <f aca="false">R44/(T44+0.00001)</f>
        <v>0</v>
      </c>
      <c r="W44" s="19" t="n">
        <f aca="false">S44/(U44+0.0001)</f>
        <v>0</v>
      </c>
      <c r="X44" s="47" t="e">
        <f aca="false">IF(Informed=1,K44,0)</f>
        <v>#N/A</v>
      </c>
      <c r="Y44" s="47" t="n">
        <f aca="false">IF(Informed=0,K44,0)</f>
        <v>0</v>
      </c>
      <c r="Z44" s="47" t="e">
        <f aca="false">IF(Informed=1,N44,0)</f>
        <v>#N/A</v>
      </c>
      <c r="AA44" s="47" t="n">
        <f aca="false">IF(Informed=0,N44,0)</f>
        <v>0</v>
      </c>
      <c r="AB44" s="51" t="e">
        <f aca="false">IF(Arterial=0,IF(Informed=1,1,0),0)</f>
        <v>#N/A</v>
      </c>
      <c r="AC44" s="51" t="e">
        <f aca="false">IF(Arterial=0,IF(Informed=0,1,0),0)</f>
        <v>#N/A</v>
      </c>
      <c r="AD44" s="51" t="e">
        <f aca="false">IF(Arterial=1,IF(Informed=1,1,0),0)</f>
        <v>#N/A</v>
      </c>
      <c r="AE44" s="51" t="e">
        <f aca="false">IF(Arterial=1,IF(Informed=0,1,0),0)</f>
        <v>#N/A</v>
      </c>
      <c r="AF44" s="44" t="e">
        <f aca="false">IF(AB44=1,(X44-G$1030)^2,0)</f>
        <v>#N/A</v>
      </c>
      <c r="AG44" s="44" t="e">
        <f aca="false">IF(AC44=1,(Y44-H$1030)^2,0)</f>
        <v>#N/A</v>
      </c>
      <c r="AH44" s="44" t="e">
        <f aca="false">IF(AD44=1,(Z44-I$1030)^2,0)</f>
        <v>#N/A</v>
      </c>
      <c r="AI44" s="44" t="e">
        <f aca="false">IF(AE44=1,(AA44-J$1030)^2,0)</f>
        <v>#N/A</v>
      </c>
    </row>
    <row r="45" customFormat="false" ht="12" hidden="false" customHeight="false" outlineLevel="0" collapsed="false">
      <c r="A45" s="29" t="n">
        <v>28</v>
      </c>
      <c r="B45" s="45" t="n">
        <f aca="true">IF(RAND()&lt;$D$8,1,0)</f>
        <v>1</v>
      </c>
      <c r="C45" s="34" t="n">
        <f aca="true">-LN(RAND())/$D$2</f>
        <v>0.32841042616255</v>
      </c>
      <c r="D45" s="46" t="n">
        <f aca="false">D44+C45</f>
        <v>33.3690257800998</v>
      </c>
      <c r="E45" s="47" t="e">
        <f aca="false">MAX($D$3,(1+P44-VLOOKUP(VALUE(D45),$J$18:$Q44,7,TRUE()))*$D$3)</f>
        <v>#N/A</v>
      </c>
      <c r="F45" s="47" t="e">
        <f aca="false">MAX($D$4,(1+Q44-VLOOKUP(VALUE(D45),$M$18:$Q44,5,TRUE()))*$D$4)</f>
        <v>#N/A</v>
      </c>
      <c r="G45" s="48" t="n">
        <v>0.5</v>
      </c>
      <c r="H45" s="46" t="e">
        <f aca="true">IF((B45=1),(IF((F45&lt;E45),1,(IF((F45=E45),(IF(RAND()&lt;G45,1,0)),0)))),(IF((RAND()&lt;G45),1,0)))</f>
        <v>#N/A</v>
      </c>
      <c r="I45" s="46" t="e">
        <f aca="true">IF((H45=1),0,$D$3+$D$5*(RAND()-0.5))</f>
        <v>#N/A</v>
      </c>
      <c r="J45" s="46" t="e">
        <f aca="false">I45+MAX(D45,J44)</f>
        <v>#N/A</v>
      </c>
      <c r="K45" s="46" t="e">
        <f aca="false">IF((H45=0),J45-D45,0)</f>
        <v>#N/A</v>
      </c>
      <c r="L45" s="46" t="e">
        <f aca="true">IF(($H45=0),0,$D$4+$D$5*(RAND()-0.5))</f>
        <v>#N/A</v>
      </c>
      <c r="M45" s="46" t="e">
        <f aca="false">L45+MAX(D45,M44)</f>
        <v>#N/A</v>
      </c>
      <c r="N45" s="46" t="e">
        <f aca="false">IF((H45=1),M45-D45,0)</f>
        <v>#N/A</v>
      </c>
      <c r="O45" s="29" t="n">
        <v>28</v>
      </c>
      <c r="P45" s="49" t="e">
        <f aca="false">IF((Arterial=0),P44+1,P44)</f>
        <v>#N/A</v>
      </c>
      <c r="Q45" s="49" t="e">
        <f aca="false">IF((Arterial=1),Q44+1,Q44)</f>
        <v>#N/A</v>
      </c>
      <c r="R45" s="50" t="n">
        <f aca="false">IF((RESET=1),0,R45+K45)</f>
        <v>0</v>
      </c>
      <c r="S45" s="19" t="n">
        <f aca="false">IF(RESET=1,0,S45+N45)</f>
        <v>0</v>
      </c>
      <c r="T45" s="0" t="n">
        <f aca="false">IF(RESET=1,0,T45+IF(H45=0,1,0))</f>
        <v>0</v>
      </c>
      <c r="U45" s="0" t="n">
        <f aca="false">IF(RESET=1,0,U45+H45)</f>
        <v>0</v>
      </c>
      <c r="V45" s="19" t="n">
        <f aca="false">R45/(T45+0.00001)</f>
        <v>0</v>
      </c>
      <c r="W45" s="19" t="n">
        <f aca="false">S45/(U45+0.0001)</f>
        <v>0</v>
      </c>
      <c r="X45" s="47" t="e">
        <f aca="false">IF(Informed=1,K45,0)</f>
        <v>#N/A</v>
      </c>
      <c r="Y45" s="47" t="n">
        <f aca="false">IF(Informed=0,K45,0)</f>
        <v>0</v>
      </c>
      <c r="Z45" s="47" t="e">
        <f aca="false">IF(Informed=1,N45,0)</f>
        <v>#N/A</v>
      </c>
      <c r="AA45" s="47" t="n">
        <f aca="false">IF(Informed=0,N45,0)</f>
        <v>0</v>
      </c>
      <c r="AB45" s="51" t="e">
        <f aca="false">IF(Arterial=0,IF(Informed=1,1,0),0)</f>
        <v>#N/A</v>
      </c>
      <c r="AC45" s="51" t="e">
        <f aca="false">IF(Arterial=0,IF(Informed=0,1,0),0)</f>
        <v>#N/A</v>
      </c>
      <c r="AD45" s="51" t="e">
        <f aca="false">IF(Arterial=1,IF(Informed=1,1,0),0)</f>
        <v>#N/A</v>
      </c>
      <c r="AE45" s="51" t="e">
        <f aca="false">IF(Arterial=1,IF(Informed=0,1,0),0)</f>
        <v>#N/A</v>
      </c>
      <c r="AF45" s="44" t="e">
        <f aca="false">IF(AB45=1,(X45-G$1030)^2,0)</f>
        <v>#N/A</v>
      </c>
      <c r="AG45" s="44" t="e">
        <f aca="false">IF(AC45=1,(Y45-H$1030)^2,0)</f>
        <v>#N/A</v>
      </c>
      <c r="AH45" s="44" t="e">
        <f aca="false">IF(AD45=1,(Z45-I$1030)^2,0)</f>
        <v>#N/A</v>
      </c>
      <c r="AI45" s="44" t="e">
        <f aca="false">IF(AE45=1,(AA45-J$1030)^2,0)</f>
        <v>#N/A</v>
      </c>
    </row>
    <row r="46" customFormat="false" ht="12" hidden="false" customHeight="false" outlineLevel="0" collapsed="false">
      <c r="A46" s="29" t="n">
        <v>29</v>
      </c>
      <c r="B46" s="45" t="n">
        <f aca="true">IF(RAND()&lt;$D$8,1,0)</f>
        <v>1</v>
      </c>
      <c r="C46" s="34" t="n">
        <f aca="true">-LN(RAND())/$D$2</f>
        <v>2.01835753814816</v>
      </c>
      <c r="D46" s="46" t="n">
        <f aca="false">D45+C46</f>
        <v>35.387383318248</v>
      </c>
      <c r="E46" s="47" t="e">
        <f aca="false">MAX($D$3,(1+P45-VLOOKUP(VALUE(D46),$J$18:$Q45,7,TRUE()))*$D$3)</f>
        <v>#N/A</v>
      </c>
      <c r="F46" s="47" t="e">
        <f aca="false">MAX($D$4,(1+Q45-VLOOKUP(VALUE(D46),$M$18:$Q45,5,TRUE()))*$D$4)</f>
        <v>#N/A</v>
      </c>
      <c r="G46" s="48" t="n">
        <v>0.5</v>
      </c>
      <c r="H46" s="46" t="e">
        <f aca="true">IF((B46=1),(IF((F46&lt;E46),1,(IF((F46=E46),(IF(RAND()&lt;G46,1,0)),0)))),(IF((RAND()&lt;G46),1,0)))</f>
        <v>#N/A</v>
      </c>
      <c r="I46" s="46" t="e">
        <f aca="true">IF((H46=1),0,$D$3+$D$5*(RAND()-0.5))</f>
        <v>#N/A</v>
      </c>
      <c r="J46" s="46" t="e">
        <f aca="false">I46+MAX(D46,J45)</f>
        <v>#N/A</v>
      </c>
      <c r="K46" s="46" t="e">
        <f aca="false">IF((H46=0),J46-D46,0)</f>
        <v>#N/A</v>
      </c>
      <c r="L46" s="46" t="e">
        <f aca="true">IF(($H46=0),0,$D$4+$D$5*(RAND()-0.5))</f>
        <v>#N/A</v>
      </c>
      <c r="M46" s="46" t="e">
        <f aca="false">L46+MAX(D46,M45)</f>
        <v>#N/A</v>
      </c>
      <c r="N46" s="46" t="e">
        <f aca="false">IF((H46=1),M46-D46,0)</f>
        <v>#N/A</v>
      </c>
      <c r="O46" s="29" t="n">
        <v>29</v>
      </c>
      <c r="P46" s="49" t="e">
        <f aca="false">IF((Arterial=0),P45+1,P45)</f>
        <v>#N/A</v>
      </c>
      <c r="Q46" s="49" t="e">
        <f aca="false">IF((Arterial=1),Q45+1,Q45)</f>
        <v>#N/A</v>
      </c>
      <c r="R46" s="50" t="n">
        <f aca="false">IF((RESET=1),0,R46+K46)</f>
        <v>0</v>
      </c>
      <c r="S46" s="19" t="n">
        <f aca="false">IF(RESET=1,0,S46+N46)</f>
        <v>0</v>
      </c>
      <c r="T46" s="0" t="n">
        <f aca="false">IF(RESET=1,0,T46+IF(H46=0,1,0))</f>
        <v>0</v>
      </c>
      <c r="U46" s="0" t="n">
        <f aca="false">IF(RESET=1,0,U46+H46)</f>
        <v>0</v>
      </c>
      <c r="V46" s="19" t="n">
        <f aca="false">R46/(T46+0.00001)</f>
        <v>0</v>
      </c>
      <c r="W46" s="19" t="n">
        <f aca="false">S46/(U46+0.0001)</f>
        <v>0</v>
      </c>
      <c r="X46" s="47" t="e">
        <f aca="false">IF(Informed=1,K46,0)</f>
        <v>#N/A</v>
      </c>
      <c r="Y46" s="47" t="n">
        <f aca="false">IF(Informed=0,K46,0)</f>
        <v>0</v>
      </c>
      <c r="Z46" s="47" t="e">
        <f aca="false">IF(Informed=1,N46,0)</f>
        <v>#N/A</v>
      </c>
      <c r="AA46" s="47" t="n">
        <f aca="false">IF(Informed=0,N46,0)</f>
        <v>0</v>
      </c>
      <c r="AB46" s="51" t="e">
        <f aca="false">IF(Arterial=0,IF(Informed=1,1,0),0)</f>
        <v>#N/A</v>
      </c>
      <c r="AC46" s="51" t="e">
        <f aca="false">IF(Arterial=0,IF(Informed=0,1,0),0)</f>
        <v>#N/A</v>
      </c>
      <c r="AD46" s="51" t="e">
        <f aca="false">IF(Arterial=1,IF(Informed=1,1,0),0)</f>
        <v>#N/A</v>
      </c>
      <c r="AE46" s="51" t="e">
        <f aca="false">IF(Arterial=1,IF(Informed=0,1,0),0)</f>
        <v>#N/A</v>
      </c>
      <c r="AF46" s="44" t="e">
        <f aca="false">IF(AB46=1,(X46-G$1030)^2,0)</f>
        <v>#N/A</v>
      </c>
      <c r="AG46" s="44" t="e">
        <f aca="false">IF(AC46=1,(Y46-H$1030)^2,0)</f>
        <v>#N/A</v>
      </c>
      <c r="AH46" s="44" t="e">
        <f aca="false">IF(AD46=1,(Z46-I$1030)^2,0)</f>
        <v>#N/A</v>
      </c>
      <c r="AI46" s="44" t="e">
        <f aca="false">IF(AE46=1,(AA46-J$1030)^2,0)</f>
        <v>#N/A</v>
      </c>
    </row>
    <row r="47" customFormat="false" ht="12" hidden="false" customHeight="false" outlineLevel="0" collapsed="false">
      <c r="A47" s="29" t="n">
        <v>30</v>
      </c>
      <c r="B47" s="45" t="n">
        <f aca="true">IF(RAND()&lt;$D$8,1,0)</f>
        <v>1</v>
      </c>
      <c r="C47" s="34" t="n">
        <f aca="true">-LN(RAND())/$D$2</f>
        <v>0.605139220024576</v>
      </c>
      <c r="D47" s="46" t="n">
        <f aca="false">D46+C47</f>
        <v>35.9925225382725</v>
      </c>
      <c r="E47" s="47" t="e">
        <f aca="false">MAX($D$3,(1+P46-VLOOKUP(VALUE(D47),$J$18:$Q46,7,TRUE()))*$D$3)</f>
        <v>#N/A</v>
      </c>
      <c r="F47" s="47" t="e">
        <f aca="false">MAX($D$4,(1+Q46-VLOOKUP(VALUE(D47),$M$18:$Q46,5,TRUE()))*$D$4)</f>
        <v>#N/A</v>
      </c>
      <c r="G47" s="48" t="n">
        <v>0.5</v>
      </c>
      <c r="H47" s="46" t="e">
        <f aca="true">IF((B47=1),(IF((F47&lt;E47),1,(IF((F47=E47),(IF(RAND()&lt;G47,1,0)),0)))),(IF((RAND()&lt;G47),1,0)))</f>
        <v>#N/A</v>
      </c>
      <c r="I47" s="46" t="e">
        <f aca="true">IF((H47=1),0,$D$3+$D$5*(RAND()-0.5))</f>
        <v>#N/A</v>
      </c>
      <c r="J47" s="46" t="e">
        <f aca="false">I47+MAX(D47,J46)</f>
        <v>#N/A</v>
      </c>
      <c r="K47" s="46" t="e">
        <f aca="false">IF((H47=0),J47-D47,0)</f>
        <v>#N/A</v>
      </c>
      <c r="L47" s="46" t="e">
        <f aca="true">IF(($H47=0),0,$D$4+$D$5*(RAND()-0.5))</f>
        <v>#N/A</v>
      </c>
      <c r="M47" s="46" t="e">
        <f aca="false">L47+MAX(D47,M46)</f>
        <v>#N/A</v>
      </c>
      <c r="N47" s="46" t="e">
        <f aca="false">IF((H47=1),M47-D47,0)</f>
        <v>#N/A</v>
      </c>
      <c r="O47" s="29" t="n">
        <v>30</v>
      </c>
      <c r="P47" s="49" t="e">
        <f aca="false">IF((Arterial=0),P46+1,P46)</f>
        <v>#N/A</v>
      </c>
      <c r="Q47" s="49" t="e">
        <f aca="false">IF((Arterial=1),Q46+1,Q46)</f>
        <v>#N/A</v>
      </c>
      <c r="R47" s="50" t="n">
        <f aca="false">IF((RESET=1),0,R47+K47)</f>
        <v>0</v>
      </c>
      <c r="S47" s="19" t="n">
        <f aca="false">IF(RESET=1,0,S47+N47)</f>
        <v>0</v>
      </c>
      <c r="T47" s="0" t="n">
        <f aca="false">IF(RESET=1,0,T47+IF(H47=0,1,0))</f>
        <v>0</v>
      </c>
      <c r="U47" s="0" t="n">
        <f aca="false">IF(RESET=1,0,U47+H47)</f>
        <v>0</v>
      </c>
      <c r="V47" s="19" t="n">
        <f aca="false">R47/(T47+0.00001)</f>
        <v>0</v>
      </c>
      <c r="W47" s="19" t="n">
        <f aca="false">S47/(U47+0.0001)</f>
        <v>0</v>
      </c>
      <c r="X47" s="47" t="e">
        <f aca="false">IF(Informed=1,K47,0)</f>
        <v>#N/A</v>
      </c>
      <c r="Y47" s="47" t="n">
        <f aca="false">IF(Informed=0,K47,0)</f>
        <v>0</v>
      </c>
      <c r="Z47" s="47" t="e">
        <f aca="false">IF(Informed=1,N47,0)</f>
        <v>#N/A</v>
      </c>
      <c r="AA47" s="47" t="n">
        <f aca="false">IF(Informed=0,N47,0)</f>
        <v>0</v>
      </c>
      <c r="AB47" s="51" t="e">
        <f aca="false">IF(Arterial=0,IF(Informed=1,1,0),0)</f>
        <v>#N/A</v>
      </c>
      <c r="AC47" s="51" t="e">
        <f aca="false">IF(Arterial=0,IF(Informed=0,1,0),0)</f>
        <v>#N/A</v>
      </c>
      <c r="AD47" s="51" t="e">
        <f aca="false">IF(Arterial=1,IF(Informed=1,1,0),0)</f>
        <v>#N/A</v>
      </c>
      <c r="AE47" s="51" t="e">
        <f aca="false">IF(Arterial=1,IF(Informed=0,1,0),0)</f>
        <v>#N/A</v>
      </c>
      <c r="AF47" s="44" t="e">
        <f aca="false">IF(AB47=1,(X47-G$1030)^2,0)</f>
        <v>#N/A</v>
      </c>
      <c r="AG47" s="44" t="e">
        <f aca="false">IF(AC47=1,(Y47-H$1030)^2,0)</f>
        <v>#N/A</v>
      </c>
      <c r="AH47" s="44" t="e">
        <f aca="false">IF(AD47=1,(Z47-I$1030)^2,0)</f>
        <v>#N/A</v>
      </c>
      <c r="AI47" s="44" t="e">
        <f aca="false">IF(AE47=1,(AA47-J$1030)^2,0)</f>
        <v>#N/A</v>
      </c>
    </row>
    <row r="48" customFormat="false" ht="12" hidden="false" customHeight="false" outlineLevel="0" collapsed="false">
      <c r="A48" s="29" t="n">
        <v>31</v>
      </c>
      <c r="B48" s="45" t="n">
        <f aca="true">IF(RAND()&lt;$D$8,1,0)</f>
        <v>1</v>
      </c>
      <c r="C48" s="34" t="n">
        <f aca="true">-LN(RAND())/$D$2</f>
        <v>2.00452039451374</v>
      </c>
      <c r="D48" s="46" t="n">
        <f aca="false">D47+C48</f>
        <v>37.9970429327863</v>
      </c>
      <c r="E48" s="47" t="e">
        <f aca="false">MAX($D$3,(1+P47-VLOOKUP(VALUE(D48),$J$18:$Q47,7,TRUE()))*$D$3)</f>
        <v>#N/A</v>
      </c>
      <c r="F48" s="47" t="e">
        <f aca="false">MAX($D$4,(1+Q47-VLOOKUP(VALUE(D48),$M$18:$Q47,5,TRUE()))*$D$4)</f>
        <v>#N/A</v>
      </c>
      <c r="G48" s="48" t="n">
        <v>0.5</v>
      </c>
      <c r="H48" s="46" t="e">
        <f aca="true">IF((B48=1),(IF((F48&lt;E48),1,(IF((F48=E48),(IF(RAND()&lt;G48,1,0)),0)))),(IF((RAND()&lt;G48),1,0)))</f>
        <v>#N/A</v>
      </c>
      <c r="I48" s="46" t="e">
        <f aca="true">IF((H48=1),0,$D$3+$D$5*(RAND()-0.5))</f>
        <v>#N/A</v>
      </c>
      <c r="J48" s="46" t="e">
        <f aca="false">I48+MAX(D48,J47)</f>
        <v>#N/A</v>
      </c>
      <c r="K48" s="46" t="e">
        <f aca="false">IF((H48=0),J48-D48,0)</f>
        <v>#N/A</v>
      </c>
      <c r="L48" s="46" t="e">
        <f aca="true">IF(($H48=0),0,$D$4+$D$5*(RAND()-0.5))</f>
        <v>#N/A</v>
      </c>
      <c r="M48" s="46" t="e">
        <f aca="false">L48+MAX(D48,M47)</f>
        <v>#N/A</v>
      </c>
      <c r="N48" s="46" t="e">
        <f aca="false">IF((H48=1),M48-D48,0)</f>
        <v>#N/A</v>
      </c>
      <c r="O48" s="29" t="n">
        <v>31</v>
      </c>
      <c r="P48" s="49" t="e">
        <f aca="false">IF((Arterial=0),P47+1,P47)</f>
        <v>#N/A</v>
      </c>
      <c r="Q48" s="49" t="e">
        <f aca="false">IF((Arterial=1),Q47+1,Q47)</f>
        <v>#N/A</v>
      </c>
      <c r="R48" s="50" t="n">
        <f aca="false">IF((RESET=1),0,R48+K48)</f>
        <v>0</v>
      </c>
      <c r="S48" s="19" t="n">
        <f aca="false">IF(RESET=1,0,S48+N48)</f>
        <v>0</v>
      </c>
      <c r="T48" s="0" t="n">
        <f aca="false">IF(RESET=1,0,T48+IF(H48=0,1,0))</f>
        <v>0</v>
      </c>
      <c r="U48" s="0" t="n">
        <f aca="false">IF(RESET=1,0,U48+H48)</f>
        <v>0</v>
      </c>
      <c r="V48" s="19" t="n">
        <f aca="false">R48/(T48+0.00001)</f>
        <v>0</v>
      </c>
      <c r="W48" s="19" t="n">
        <f aca="false">S48/(U48+0.0001)</f>
        <v>0</v>
      </c>
      <c r="X48" s="47" t="e">
        <f aca="false">IF(Informed=1,K48,0)</f>
        <v>#N/A</v>
      </c>
      <c r="Y48" s="47" t="n">
        <f aca="false">IF(Informed=0,K48,0)</f>
        <v>0</v>
      </c>
      <c r="Z48" s="47" t="e">
        <f aca="false">IF(Informed=1,N48,0)</f>
        <v>#N/A</v>
      </c>
      <c r="AA48" s="47" t="n">
        <f aca="false">IF(Informed=0,N48,0)</f>
        <v>0</v>
      </c>
      <c r="AB48" s="51" t="e">
        <f aca="false">IF(Arterial=0,IF(Informed=1,1,0),0)</f>
        <v>#N/A</v>
      </c>
      <c r="AC48" s="51" t="e">
        <f aca="false">IF(Arterial=0,IF(Informed=0,1,0),0)</f>
        <v>#N/A</v>
      </c>
      <c r="AD48" s="51" t="e">
        <f aca="false">IF(Arterial=1,IF(Informed=1,1,0),0)</f>
        <v>#N/A</v>
      </c>
      <c r="AE48" s="51" t="e">
        <f aca="false">IF(Arterial=1,IF(Informed=0,1,0),0)</f>
        <v>#N/A</v>
      </c>
      <c r="AF48" s="44" t="e">
        <f aca="false">IF(AB48=1,(X48-G$1030)^2,0)</f>
        <v>#N/A</v>
      </c>
      <c r="AG48" s="44" t="e">
        <f aca="false">IF(AC48=1,(Y48-H$1030)^2,0)</f>
        <v>#N/A</v>
      </c>
      <c r="AH48" s="44" t="e">
        <f aca="false">IF(AD48=1,(Z48-I$1030)^2,0)</f>
        <v>#N/A</v>
      </c>
      <c r="AI48" s="44" t="e">
        <f aca="false">IF(AE48=1,(AA48-J$1030)^2,0)</f>
        <v>#N/A</v>
      </c>
    </row>
    <row r="49" customFormat="false" ht="12" hidden="false" customHeight="false" outlineLevel="0" collapsed="false">
      <c r="A49" s="29" t="n">
        <v>32</v>
      </c>
      <c r="B49" s="45" t="n">
        <f aca="true">IF(RAND()&lt;$D$8,1,0)</f>
        <v>1</v>
      </c>
      <c r="C49" s="34" t="n">
        <f aca="true">-LN(RAND())/$D$2</f>
        <v>2.15604135680661</v>
      </c>
      <c r="D49" s="46" t="n">
        <f aca="false">D48+C49</f>
        <v>40.1530842895929</v>
      </c>
      <c r="E49" s="47" t="e">
        <f aca="false">MAX($D$3,(1+P48-VLOOKUP(VALUE(D49),$J$18:$Q48,7,TRUE()))*$D$3)</f>
        <v>#N/A</v>
      </c>
      <c r="F49" s="47" t="e">
        <f aca="false">MAX($D$4,(1+Q48-VLOOKUP(VALUE(D49),$M$18:$Q48,5,TRUE()))*$D$4)</f>
        <v>#N/A</v>
      </c>
      <c r="G49" s="48" t="n">
        <v>0.5</v>
      </c>
      <c r="H49" s="46" t="e">
        <f aca="true">IF((B49=1),(IF((F49&lt;E49),1,(IF((F49=E49),(IF(RAND()&lt;G49,1,0)),0)))),(IF((RAND()&lt;G49),1,0)))</f>
        <v>#N/A</v>
      </c>
      <c r="I49" s="46" t="e">
        <f aca="true">IF((H49=1),0,$D$3+$D$5*(RAND()-0.5))</f>
        <v>#N/A</v>
      </c>
      <c r="J49" s="46" t="e">
        <f aca="false">I49+MAX(D49,J48)</f>
        <v>#N/A</v>
      </c>
      <c r="K49" s="46" t="e">
        <f aca="false">IF((H49=0),J49-D49,0)</f>
        <v>#N/A</v>
      </c>
      <c r="L49" s="46" t="e">
        <f aca="true">IF(($H49=0),0,$D$4+$D$5*(RAND()-0.5))</f>
        <v>#N/A</v>
      </c>
      <c r="M49" s="46" t="e">
        <f aca="false">L49+MAX(D49,M48)</f>
        <v>#N/A</v>
      </c>
      <c r="N49" s="46" t="e">
        <f aca="false">IF((H49=1),M49-D49,0)</f>
        <v>#N/A</v>
      </c>
      <c r="O49" s="29" t="n">
        <v>32</v>
      </c>
      <c r="P49" s="49" t="e">
        <f aca="false">IF((Arterial=0),P48+1,P48)</f>
        <v>#N/A</v>
      </c>
      <c r="Q49" s="49" t="e">
        <f aca="false">IF((Arterial=1),Q48+1,Q48)</f>
        <v>#N/A</v>
      </c>
      <c r="R49" s="50" t="n">
        <f aca="false">IF((RESET=1),0,R49+K49)</f>
        <v>0</v>
      </c>
      <c r="S49" s="19" t="n">
        <f aca="false">IF(RESET=1,0,S49+N49)</f>
        <v>0</v>
      </c>
      <c r="T49" s="0" t="n">
        <f aca="false">IF(RESET=1,0,T49+IF(H49=0,1,0))</f>
        <v>0</v>
      </c>
      <c r="U49" s="0" t="n">
        <f aca="false">IF(RESET=1,0,U49+H49)</f>
        <v>0</v>
      </c>
      <c r="V49" s="19" t="n">
        <f aca="false">R49/(T49+0.00001)</f>
        <v>0</v>
      </c>
      <c r="W49" s="19" t="n">
        <f aca="false">S49/(U49+0.0001)</f>
        <v>0</v>
      </c>
      <c r="X49" s="47" t="e">
        <f aca="false">IF(Informed=1,K49,0)</f>
        <v>#N/A</v>
      </c>
      <c r="Y49" s="47" t="n">
        <f aca="false">IF(Informed=0,K49,0)</f>
        <v>0</v>
      </c>
      <c r="Z49" s="47" t="e">
        <f aca="false">IF(Informed=1,N49,0)</f>
        <v>#N/A</v>
      </c>
      <c r="AA49" s="47" t="n">
        <f aca="false">IF(Informed=0,N49,0)</f>
        <v>0</v>
      </c>
      <c r="AB49" s="51" t="e">
        <f aca="false">IF(Arterial=0,IF(Informed=1,1,0),0)</f>
        <v>#N/A</v>
      </c>
      <c r="AC49" s="51" t="e">
        <f aca="false">IF(Arterial=0,IF(Informed=0,1,0),0)</f>
        <v>#N/A</v>
      </c>
      <c r="AD49" s="51" t="e">
        <f aca="false">IF(Arterial=1,IF(Informed=1,1,0),0)</f>
        <v>#N/A</v>
      </c>
      <c r="AE49" s="51" t="e">
        <f aca="false">IF(Arterial=1,IF(Informed=0,1,0),0)</f>
        <v>#N/A</v>
      </c>
      <c r="AF49" s="44" t="e">
        <f aca="false">IF(AB49=1,(X49-G$1030)^2,0)</f>
        <v>#N/A</v>
      </c>
      <c r="AG49" s="44" t="e">
        <f aca="false">IF(AC49=1,(Y49-H$1030)^2,0)</f>
        <v>#N/A</v>
      </c>
      <c r="AH49" s="44" t="e">
        <f aca="false">IF(AD49=1,(Z49-I$1030)^2,0)</f>
        <v>#N/A</v>
      </c>
      <c r="AI49" s="44" t="e">
        <f aca="false">IF(AE49=1,(AA49-J$1030)^2,0)</f>
        <v>#N/A</v>
      </c>
    </row>
    <row r="50" customFormat="false" ht="12" hidden="false" customHeight="false" outlineLevel="0" collapsed="false">
      <c r="A50" s="29" t="n">
        <v>33</v>
      </c>
      <c r="B50" s="45" t="n">
        <f aca="true">IF(RAND()&lt;$D$8,1,0)</f>
        <v>1</v>
      </c>
      <c r="C50" s="34" t="n">
        <f aca="true">-LN(RAND())/$D$2</f>
        <v>1.75908671609081</v>
      </c>
      <c r="D50" s="46" t="n">
        <f aca="false">D49+C50</f>
        <v>41.9121710056837</v>
      </c>
      <c r="E50" s="47" t="e">
        <f aca="false">MAX($D$3,(1+P49-VLOOKUP(VALUE(D50),$J$18:$Q49,7,TRUE()))*$D$3)</f>
        <v>#N/A</v>
      </c>
      <c r="F50" s="47" t="e">
        <f aca="false">MAX($D$4,(1+Q49-VLOOKUP(VALUE(D50),$M$18:$Q49,5,TRUE()))*$D$4)</f>
        <v>#N/A</v>
      </c>
      <c r="G50" s="48" t="n">
        <v>0.5</v>
      </c>
      <c r="H50" s="46" t="e">
        <f aca="true">IF((B50=1),(IF((F50&lt;E50),1,(IF((F50=E50),(IF(RAND()&lt;G50,1,0)),0)))),(IF((RAND()&lt;G50),1,0)))</f>
        <v>#N/A</v>
      </c>
      <c r="I50" s="46" t="e">
        <f aca="true">IF((H50=1),0,$D$3+$D$5*(RAND()-0.5))</f>
        <v>#N/A</v>
      </c>
      <c r="J50" s="46" t="e">
        <f aca="false">I50+MAX(D50,J49)</f>
        <v>#N/A</v>
      </c>
      <c r="K50" s="46" t="e">
        <f aca="false">IF((H50=0),J50-D50,0)</f>
        <v>#N/A</v>
      </c>
      <c r="L50" s="46" t="e">
        <f aca="true">IF(($H50=0),0,$D$4+$D$5*(RAND()-0.5))</f>
        <v>#N/A</v>
      </c>
      <c r="M50" s="46" t="e">
        <f aca="false">L50+MAX(D50,M49)</f>
        <v>#N/A</v>
      </c>
      <c r="N50" s="46" t="e">
        <f aca="false">IF((H50=1),M50-D50,0)</f>
        <v>#N/A</v>
      </c>
      <c r="O50" s="29" t="n">
        <v>33</v>
      </c>
      <c r="P50" s="49" t="e">
        <f aca="false">IF((Arterial=0),P49+1,P49)</f>
        <v>#N/A</v>
      </c>
      <c r="Q50" s="49" t="e">
        <f aca="false">IF((Arterial=1),Q49+1,Q49)</f>
        <v>#N/A</v>
      </c>
      <c r="R50" s="50" t="n">
        <f aca="false">IF((RESET=1),0,R50+K50)</f>
        <v>0</v>
      </c>
      <c r="S50" s="19" t="n">
        <f aca="false">IF(RESET=1,0,S50+N50)</f>
        <v>0</v>
      </c>
      <c r="T50" s="0" t="n">
        <f aca="false">IF(RESET=1,0,T50+IF(H50=0,1,0))</f>
        <v>0</v>
      </c>
      <c r="U50" s="0" t="n">
        <f aca="false">IF(RESET=1,0,U50+H50)</f>
        <v>0</v>
      </c>
      <c r="V50" s="19" t="n">
        <f aca="false">R50/(T50+0.00001)</f>
        <v>0</v>
      </c>
      <c r="W50" s="19" t="n">
        <f aca="false">S50/(U50+0.0001)</f>
        <v>0</v>
      </c>
      <c r="X50" s="47" t="e">
        <f aca="false">IF(Informed=1,K50,0)</f>
        <v>#N/A</v>
      </c>
      <c r="Y50" s="47" t="n">
        <f aca="false">IF(Informed=0,K50,0)</f>
        <v>0</v>
      </c>
      <c r="Z50" s="47" t="e">
        <f aca="false">IF(Informed=1,N50,0)</f>
        <v>#N/A</v>
      </c>
      <c r="AA50" s="47" t="n">
        <f aca="false">IF(Informed=0,N50,0)</f>
        <v>0</v>
      </c>
      <c r="AB50" s="51" t="e">
        <f aca="false">IF(Arterial=0,IF(Informed=1,1,0),0)</f>
        <v>#N/A</v>
      </c>
      <c r="AC50" s="51" t="e">
        <f aca="false">IF(Arterial=0,IF(Informed=0,1,0),0)</f>
        <v>#N/A</v>
      </c>
      <c r="AD50" s="51" t="e">
        <f aca="false">IF(Arterial=1,IF(Informed=1,1,0),0)</f>
        <v>#N/A</v>
      </c>
      <c r="AE50" s="51" t="e">
        <f aca="false">IF(Arterial=1,IF(Informed=0,1,0),0)</f>
        <v>#N/A</v>
      </c>
      <c r="AF50" s="44" t="e">
        <f aca="false">IF(AB50=1,(X50-G$1030)^2,0)</f>
        <v>#N/A</v>
      </c>
      <c r="AG50" s="44" t="e">
        <f aca="false">IF(AC50=1,(Y50-H$1030)^2,0)</f>
        <v>#N/A</v>
      </c>
      <c r="AH50" s="44" t="e">
        <f aca="false">IF(AD50=1,(Z50-I$1030)^2,0)</f>
        <v>#N/A</v>
      </c>
      <c r="AI50" s="44" t="e">
        <f aca="false">IF(AE50=1,(AA50-J$1030)^2,0)</f>
        <v>#N/A</v>
      </c>
    </row>
    <row r="51" customFormat="false" ht="12" hidden="false" customHeight="false" outlineLevel="0" collapsed="false">
      <c r="A51" s="29" t="n">
        <v>34</v>
      </c>
      <c r="B51" s="45" t="n">
        <f aca="true">IF(RAND()&lt;$D$8,1,0)</f>
        <v>1</v>
      </c>
      <c r="C51" s="34" t="n">
        <f aca="true">-LN(RAND())/$D$2</f>
        <v>0.120176535609466</v>
      </c>
      <c r="D51" s="46" t="n">
        <f aca="false">D50+C51</f>
        <v>42.0323475412932</v>
      </c>
      <c r="E51" s="47" t="e">
        <f aca="false">MAX($D$3,(1+P50-VLOOKUP(VALUE(D51),$J$18:$Q50,7,TRUE()))*$D$3)</f>
        <v>#N/A</v>
      </c>
      <c r="F51" s="47" t="e">
        <f aca="false">MAX($D$4,(1+Q50-VLOOKUP(VALUE(D51),$M$18:$Q50,5,TRUE()))*$D$4)</f>
        <v>#N/A</v>
      </c>
      <c r="G51" s="48" t="n">
        <v>0.5</v>
      </c>
      <c r="H51" s="46" t="e">
        <f aca="true">IF((B51=1),(IF((F51&lt;E51),1,(IF((F51=E51),(IF(RAND()&lt;G51,1,0)),0)))),(IF((RAND()&lt;G51),1,0)))</f>
        <v>#N/A</v>
      </c>
      <c r="I51" s="46" t="e">
        <f aca="true">IF((H51=1),0,$D$3+$D$5*(RAND()-0.5))</f>
        <v>#N/A</v>
      </c>
      <c r="J51" s="46" t="e">
        <f aca="false">I51+MAX(D51,J50)</f>
        <v>#N/A</v>
      </c>
      <c r="K51" s="46" t="e">
        <f aca="false">IF((H51=0),J51-D51,0)</f>
        <v>#N/A</v>
      </c>
      <c r="L51" s="46" t="e">
        <f aca="true">IF(($H51=0),0,$D$4+$D$5*(RAND()-0.5))</f>
        <v>#N/A</v>
      </c>
      <c r="M51" s="46" t="e">
        <f aca="false">L51+MAX(D51,M50)</f>
        <v>#N/A</v>
      </c>
      <c r="N51" s="46" t="e">
        <f aca="false">IF((H51=1),M51-D51,0)</f>
        <v>#N/A</v>
      </c>
      <c r="O51" s="29" t="n">
        <v>34</v>
      </c>
      <c r="P51" s="49" t="e">
        <f aca="false">IF((Arterial=0),P50+1,P50)</f>
        <v>#N/A</v>
      </c>
      <c r="Q51" s="49" t="e">
        <f aca="false">IF((Arterial=1),Q50+1,Q50)</f>
        <v>#N/A</v>
      </c>
      <c r="R51" s="50" t="n">
        <f aca="false">IF((RESET=1),0,R51+K51)</f>
        <v>0</v>
      </c>
      <c r="S51" s="19" t="n">
        <f aca="false">IF(RESET=1,0,S51+N51)</f>
        <v>0</v>
      </c>
      <c r="T51" s="0" t="n">
        <f aca="false">IF(RESET=1,0,T51+IF(H51=0,1,0))</f>
        <v>0</v>
      </c>
      <c r="U51" s="0" t="n">
        <f aca="false">IF(RESET=1,0,U51+H51)</f>
        <v>0</v>
      </c>
      <c r="V51" s="19" t="n">
        <f aca="false">R51/(T51+0.00001)</f>
        <v>0</v>
      </c>
      <c r="W51" s="19" t="n">
        <f aca="false">S51/(U51+0.0001)</f>
        <v>0</v>
      </c>
      <c r="X51" s="47" t="e">
        <f aca="false">IF(Informed=1,K51,0)</f>
        <v>#N/A</v>
      </c>
      <c r="Y51" s="47" t="n">
        <f aca="false">IF(Informed=0,K51,0)</f>
        <v>0</v>
      </c>
      <c r="Z51" s="47" t="e">
        <f aca="false">IF(Informed=1,N51,0)</f>
        <v>#N/A</v>
      </c>
      <c r="AA51" s="47" t="n">
        <f aca="false">IF(Informed=0,N51,0)</f>
        <v>0</v>
      </c>
      <c r="AB51" s="51" t="e">
        <f aca="false">IF(Arterial=0,IF(Informed=1,1,0),0)</f>
        <v>#N/A</v>
      </c>
      <c r="AC51" s="51" t="e">
        <f aca="false">IF(Arterial=0,IF(Informed=0,1,0),0)</f>
        <v>#N/A</v>
      </c>
      <c r="AD51" s="51" t="e">
        <f aca="false">IF(Arterial=1,IF(Informed=1,1,0),0)</f>
        <v>#N/A</v>
      </c>
      <c r="AE51" s="51" t="e">
        <f aca="false">IF(Arterial=1,IF(Informed=0,1,0),0)</f>
        <v>#N/A</v>
      </c>
      <c r="AF51" s="44" t="e">
        <f aca="false">IF(AB51=1,(X51-G$1030)^2,0)</f>
        <v>#N/A</v>
      </c>
      <c r="AG51" s="44" t="e">
        <f aca="false">IF(AC51=1,(Y51-H$1030)^2,0)</f>
        <v>#N/A</v>
      </c>
      <c r="AH51" s="44" t="e">
        <f aca="false">IF(AD51=1,(Z51-I$1030)^2,0)</f>
        <v>#N/A</v>
      </c>
      <c r="AI51" s="44" t="e">
        <f aca="false">IF(AE51=1,(AA51-J$1030)^2,0)</f>
        <v>#N/A</v>
      </c>
    </row>
    <row r="52" customFormat="false" ht="12" hidden="false" customHeight="false" outlineLevel="0" collapsed="false">
      <c r="A52" s="29" t="n">
        <v>35</v>
      </c>
      <c r="B52" s="45" t="n">
        <f aca="true">IF(RAND()&lt;$D$8,1,0)</f>
        <v>1</v>
      </c>
      <c r="C52" s="34" t="n">
        <f aca="true">-LN(RAND())/$D$2</f>
        <v>0.920768889778946</v>
      </c>
      <c r="D52" s="46" t="n">
        <f aca="false">D51+C52</f>
        <v>42.9531164310721</v>
      </c>
      <c r="E52" s="47" t="e">
        <f aca="false">MAX($D$3,(1+P51-VLOOKUP(VALUE(D52),$J$18:$Q51,7,TRUE()))*$D$3)</f>
        <v>#N/A</v>
      </c>
      <c r="F52" s="47" t="e">
        <f aca="false">MAX($D$4,(1+Q51-VLOOKUP(VALUE(D52),$M$18:$Q51,5,TRUE()))*$D$4)</f>
        <v>#N/A</v>
      </c>
      <c r="G52" s="48" t="n">
        <v>0.5</v>
      </c>
      <c r="H52" s="46" t="e">
        <f aca="true">IF((B52=1),(IF((F52&lt;E52),1,(IF((F52=E52),(IF(RAND()&lt;G52,1,0)),0)))),(IF((RAND()&lt;G52),1,0)))</f>
        <v>#N/A</v>
      </c>
      <c r="I52" s="46" t="e">
        <f aca="true">IF((H52=1),0,$D$3+$D$5*(RAND()-0.5))</f>
        <v>#N/A</v>
      </c>
      <c r="J52" s="46" t="e">
        <f aca="false">I52+MAX(D52,J51)</f>
        <v>#N/A</v>
      </c>
      <c r="K52" s="46" t="e">
        <f aca="false">IF((H52=0),J52-D52,0)</f>
        <v>#N/A</v>
      </c>
      <c r="L52" s="46" t="e">
        <f aca="true">IF(($H52=0),0,$D$4+$D$5*(RAND()-0.5))</f>
        <v>#N/A</v>
      </c>
      <c r="M52" s="46" t="e">
        <f aca="false">L52+MAX(D52,M51)</f>
        <v>#N/A</v>
      </c>
      <c r="N52" s="46" t="e">
        <f aca="false">IF((H52=1),M52-D52,0)</f>
        <v>#N/A</v>
      </c>
      <c r="O52" s="29" t="n">
        <v>35</v>
      </c>
      <c r="P52" s="49" t="e">
        <f aca="false">IF((Arterial=0),P51+1,P51)</f>
        <v>#N/A</v>
      </c>
      <c r="Q52" s="49" t="e">
        <f aca="false">IF((Arterial=1),Q51+1,Q51)</f>
        <v>#N/A</v>
      </c>
      <c r="R52" s="50" t="n">
        <f aca="false">IF((RESET=1),0,R52+K52)</f>
        <v>0</v>
      </c>
      <c r="S52" s="19" t="n">
        <f aca="false">IF(RESET=1,0,S52+N52)</f>
        <v>0</v>
      </c>
      <c r="T52" s="0" t="n">
        <f aca="false">IF(RESET=1,0,T52+IF(H52=0,1,0))</f>
        <v>0</v>
      </c>
      <c r="U52" s="0" t="n">
        <f aca="false">IF(RESET=1,0,U52+H52)</f>
        <v>0</v>
      </c>
      <c r="V52" s="19" t="n">
        <f aca="false">R52/(T52+0.00001)</f>
        <v>0</v>
      </c>
      <c r="W52" s="19" t="n">
        <f aca="false">S52/(U52+0.0001)</f>
        <v>0</v>
      </c>
      <c r="X52" s="47" t="e">
        <f aca="false">IF(Informed=1,K52,0)</f>
        <v>#N/A</v>
      </c>
      <c r="Y52" s="47" t="n">
        <f aca="false">IF(Informed=0,K52,0)</f>
        <v>0</v>
      </c>
      <c r="Z52" s="47" t="e">
        <f aca="false">IF(Informed=1,N52,0)</f>
        <v>#N/A</v>
      </c>
      <c r="AA52" s="47" t="n">
        <f aca="false">IF(Informed=0,N52,0)</f>
        <v>0</v>
      </c>
      <c r="AB52" s="51" t="e">
        <f aca="false">IF(Arterial=0,IF(Informed=1,1,0),0)</f>
        <v>#N/A</v>
      </c>
      <c r="AC52" s="51" t="e">
        <f aca="false">IF(Arterial=0,IF(Informed=0,1,0),0)</f>
        <v>#N/A</v>
      </c>
      <c r="AD52" s="51" t="e">
        <f aca="false">IF(Arterial=1,IF(Informed=1,1,0),0)</f>
        <v>#N/A</v>
      </c>
      <c r="AE52" s="51" t="e">
        <f aca="false">IF(Arterial=1,IF(Informed=0,1,0),0)</f>
        <v>#N/A</v>
      </c>
      <c r="AF52" s="44" t="e">
        <f aca="false">IF(AB52=1,(X52-G$1030)^2,0)</f>
        <v>#N/A</v>
      </c>
      <c r="AG52" s="44" t="e">
        <f aca="false">IF(AC52=1,(Y52-H$1030)^2,0)</f>
        <v>#N/A</v>
      </c>
      <c r="AH52" s="44" t="e">
        <f aca="false">IF(AD52=1,(Z52-I$1030)^2,0)</f>
        <v>#N/A</v>
      </c>
      <c r="AI52" s="44" t="e">
        <f aca="false">IF(AE52=1,(AA52-J$1030)^2,0)</f>
        <v>#N/A</v>
      </c>
    </row>
    <row r="53" customFormat="false" ht="12" hidden="false" customHeight="false" outlineLevel="0" collapsed="false">
      <c r="A53" s="29" t="n">
        <v>36</v>
      </c>
      <c r="B53" s="45" t="n">
        <f aca="true">IF(RAND()&lt;$D$8,1,0)</f>
        <v>1</v>
      </c>
      <c r="C53" s="34" t="n">
        <f aca="true">-LN(RAND())/$D$2</f>
        <v>0.584674356446401</v>
      </c>
      <c r="D53" s="46" t="n">
        <f aca="false">D52+C53</f>
        <v>43.5377907875185</v>
      </c>
      <c r="E53" s="47" t="e">
        <f aca="false">MAX($D$3,(1+P52-VLOOKUP(VALUE(D53),$J$18:$Q52,7,TRUE()))*$D$3)</f>
        <v>#N/A</v>
      </c>
      <c r="F53" s="47" t="e">
        <f aca="false">MAX($D$4,(1+Q52-VLOOKUP(VALUE(D53),$M$18:$Q52,5,TRUE()))*$D$4)</f>
        <v>#N/A</v>
      </c>
      <c r="G53" s="48" t="n">
        <v>0.5</v>
      </c>
      <c r="H53" s="46" t="e">
        <f aca="true">IF((B53=1),(IF((F53&lt;E53),1,(IF((F53=E53),(IF(RAND()&lt;G53,1,0)),0)))),(IF((RAND()&lt;G53),1,0)))</f>
        <v>#N/A</v>
      </c>
      <c r="I53" s="46" t="e">
        <f aca="true">IF((H53=1),0,$D$3+$D$5*(RAND()-0.5))</f>
        <v>#N/A</v>
      </c>
      <c r="J53" s="46" t="e">
        <f aca="false">I53+MAX(D53,J52)</f>
        <v>#N/A</v>
      </c>
      <c r="K53" s="46" t="e">
        <f aca="false">IF((H53=0),J53-D53,0)</f>
        <v>#N/A</v>
      </c>
      <c r="L53" s="46" t="e">
        <f aca="true">IF(($H53=0),0,$D$4+$D$5*(RAND()-0.5))</f>
        <v>#N/A</v>
      </c>
      <c r="M53" s="46" t="e">
        <f aca="false">L53+MAX(D53,M52)</f>
        <v>#N/A</v>
      </c>
      <c r="N53" s="46" t="e">
        <f aca="false">IF((H53=1),M53-D53,0)</f>
        <v>#N/A</v>
      </c>
      <c r="O53" s="29" t="n">
        <v>36</v>
      </c>
      <c r="P53" s="49" t="e">
        <f aca="false">IF((Arterial=0),P52+1,P52)</f>
        <v>#N/A</v>
      </c>
      <c r="Q53" s="49" t="e">
        <f aca="false">IF((Arterial=1),Q52+1,Q52)</f>
        <v>#N/A</v>
      </c>
      <c r="R53" s="50" t="n">
        <f aca="false">IF((RESET=1),0,R53+K53)</f>
        <v>0</v>
      </c>
      <c r="S53" s="19" t="n">
        <f aca="false">IF(RESET=1,0,S53+N53)</f>
        <v>0</v>
      </c>
      <c r="T53" s="0" t="n">
        <f aca="false">IF(RESET=1,0,T53+IF(H53=0,1,0))</f>
        <v>0</v>
      </c>
      <c r="U53" s="0" t="n">
        <f aca="false">IF(RESET=1,0,U53+H53)</f>
        <v>0</v>
      </c>
      <c r="V53" s="19" t="n">
        <f aca="false">R53/(T53+0.00001)</f>
        <v>0</v>
      </c>
      <c r="W53" s="19" t="n">
        <f aca="false">S53/(U53+0.0001)</f>
        <v>0</v>
      </c>
      <c r="X53" s="47" t="e">
        <f aca="false">IF(Informed=1,K53,0)</f>
        <v>#N/A</v>
      </c>
      <c r="Y53" s="47" t="n">
        <f aca="false">IF(Informed=0,K53,0)</f>
        <v>0</v>
      </c>
      <c r="Z53" s="47" t="e">
        <f aca="false">IF(Informed=1,N53,0)</f>
        <v>#N/A</v>
      </c>
      <c r="AA53" s="47" t="n">
        <f aca="false">IF(Informed=0,N53,0)</f>
        <v>0</v>
      </c>
      <c r="AB53" s="51" t="e">
        <f aca="false">IF(Arterial=0,IF(Informed=1,1,0),0)</f>
        <v>#N/A</v>
      </c>
      <c r="AC53" s="51" t="e">
        <f aca="false">IF(Arterial=0,IF(Informed=0,1,0),0)</f>
        <v>#N/A</v>
      </c>
      <c r="AD53" s="51" t="e">
        <f aca="false">IF(Arterial=1,IF(Informed=1,1,0),0)</f>
        <v>#N/A</v>
      </c>
      <c r="AE53" s="51" t="e">
        <f aca="false">IF(Arterial=1,IF(Informed=0,1,0),0)</f>
        <v>#N/A</v>
      </c>
      <c r="AF53" s="44" t="e">
        <f aca="false">IF(AB53=1,(X53-G$1030)^2,0)</f>
        <v>#N/A</v>
      </c>
      <c r="AG53" s="44" t="e">
        <f aca="false">IF(AC53=1,(Y53-H$1030)^2,0)</f>
        <v>#N/A</v>
      </c>
      <c r="AH53" s="44" t="e">
        <f aca="false">IF(AD53=1,(Z53-I$1030)^2,0)</f>
        <v>#N/A</v>
      </c>
      <c r="AI53" s="44" t="e">
        <f aca="false">IF(AE53=1,(AA53-J$1030)^2,0)</f>
        <v>#N/A</v>
      </c>
    </row>
    <row r="54" customFormat="false" ht="12" hidden="false" customHeight="false" outlineLevel="0" collapsed="false">
      <c r="A54" s="29" t="n">
        <v>37</v>
      </c>
      <c r="B54" s="45" t="n">
        <f aca="true">IF(RAND()&lt;$D$8,1,0)</f>
        <v>1</v>
      </c>
      <c r="C54" s="34" t="n">
        <f aca="true">-LN(RAND())/$D$2</f>
        <v>0.548230515106628</v>
      </c>
      <c r="D54" s="46" t="n">
        <f aca="false">D53+C54</f>
        <v>44.0860213026251</v>
      </c>
      <c r="E54" s="47" t="e">
        <f aca="false">MAX($D$3,(1+P53-VLOOKUP(VALUE(D54),$J$18:$Q53,7,TRUE()))*$D$3)</f>
        <v>#N/A</v>
      </c>
      <c r="F54" s="47" t="e">
        <f aca="false">MAX($D$4,(1+Q53-VLOOKUP(VALUE(D54),$M$18:$Q53,5,TRUE()))*$D$4)</f>
        <v>#N/A</v>
      </c>
      <c r="G54" s="48" t="n">
        <v>0.5</v>
      </c>
      <c r="H54" s="46" t="e">
        <f aca="true">IF((B54=1),(IF((F54&lt;E54),1,(IF((F54=E54),(IF(RAND()&lt;G54,1,0)),0)))),(IF((RAND()&lt;G54),1,0)))</f>
        <v>#N/A</v>
      </c>
      <c r="I54" s="46" t="e">
        <f aca="true">IF((H54=1),0,$D$3+$D$5*(RAND()-0.5))</f>
        <v>#N/A</v>
      </c>
      <c r="J54" s="46" t="e">
        <f aca="false">I54+MAX(D54,J53)</f>
        <v>#N/A</v>
      </c>
      <c r="K54" s="46" t="e">
        <f aca="false">IF((H54=0),J54-D54,0)</f>
        <v>#N/A</v>
      </c>
      <c r="L54" s="46" t="e">
        <f aca="true">IF(($H54=0),0,$D$4+$D$5*(RAND()-0.5))</f>
        <v>#N/A</v>
      </c>
      <c r="M54" s="46" t="e">
        <f aca="false">L54+MAX(D54,M53)</f>
        <v>#N/A</v>
      </c>
      <c r="N54" s="46" t="e">
        <f aca="false">IF((H54=1),M54-D54,0)</f>
        <v>#N/A</v>
      </c>
      <c r="O54" s="29" t="n">
        <v>37</v>
      </c>
      <c r="P54" s="49" t="e">
        <f aca="false">IF((Arterial=0),P53+1,P53)</f>
        <v>#N/A</v>
      </c>
      <c r="Q54" s="49" t="e">
        <f aca="false">IF((Arterial=1),Q53+1,Q53)</f>
        <v>#N/A</v>
      </c>
      <c r="R54" s="50" t="n">
        <f aca="false">IF((RESET=1),0,R54+K54)</f>
        <v>0</v>
      </c>
      <c r="S54" s="19" t="n">
        <f aca="false">IF(RESET=1,0,S54+N54)</f>
        <v>0</v>
      </c>
      <c r="T54" s="0" t="n">
        <f aca="false">IF(RESET=1,0,T54+IF(H54=0,1,0))</f>
        <v>0</v>
      </c>
      <c r="U54" s="0" t="n">
        <f aca="false">IF(RESET=1,0,U54+H54)</f>
        <v>0</v>
      </c>
      <c r="V54" s="19" t="n">
        <f aca="false">R54/(T54+0.00001)</f>
        <v>0</v>
      </c>
      <c r="W54" s="19" t="n">
        <f aca="false">S54/(U54+0.0001)</f>
        <v>0</v>
      </c>
      <c r="X54" s="47" t="e">
        <f aca="false">IF(Informed=1,K54,0)</f>
        <v>#N/A</v>
      </c>
      <c r="Y54" s="47" t="n">
        <f aca="false">IF(Informed=0,K54,0)</f>
        <v>0</v>
      </c>
      <c r="Z54" s="47" t="e">
        <f aca="false">IF(Informed=1,N54,0)</f>
        <v>#N/A</v>
      </c>
      <c r="AA54" s="47" t="n">
        <f aca="false">IF(Informed=0,N54,0)</f>
        <v>0</v>
      </c>
      <c r="AB54" s="51" t="e">
        <f aca="false">IF(Arterial=0,IF(Informed=1,1,0),0)</f>
        <v>#N/A</v>
      </c>
      <c r="AC54" s="51" t="e">
        <f aca="false">IF(Arterial=0,IF(Informed=0,1,0),0)</f>
        <v>#N/A</v>
      </c>
      <c r="AD54" s="51" t="e">
        <f aca="false">IF(Arterial=1,IF(Informed=1,1,0),0)</f>
        <v>#N/A</v>
      </c>
      <c r="AE54" s="51" t="e">
        <f aca="false">IF(Arterial=1,IF(Informed=0,1,0),0)</f>
        <v>#N/A</v>
      </c>
      <c r="AF54" s="44" t="e">
        <f aca="false">IF(AB54=1,(X54-G$1030)^2,0)</f>
        <v>#N/A</v>
      </c>
      <c r="AG54" s="44" t="e">
        <f aca="false">IF(AC54=1,(Y54-H$1030)^2,0)</f>
        <v>#N/A</v>
      </c>
      <c r="AH54" s="44" t="e">
        <f aca="false">IF(AD54=1,(Z54-I$1030)^2,0)</f>
        <v>#N/A</v>
      </c>
      <c r="AI54" s="44" t="e">
        <f aca="false">IF(AE54=1,(AA54-J$1030)^2,0)</f>
        <v>#N/A</v>
      </c>
    </row>
    <row r="55" customFormat="false" ht="12" hidden="false" customHeight="false" outlineLevel="0" collapsed="false">
      <c r="A55" s="29" t="n">
        <v>38</v>
      </c>
      <c r="B55" s="45" t="n">
        <f aca="true">IF(RAND()&lt;$D$8,1,0)</f>
        <v>1</v>
      </c>
      <c r="C55" s="34" t="n">
        <f aca="true">-LN(RAND())/$D$2</f>
        <v>3.29303091268831</v>
      </c>
      <c r="D55" s="46" t="n">
        <f aca="false">D54+C55</f>
        <v>47.3790522153134</v>
      </c>
      <c r="E55" s="47" t="e">
        <f aca="false">MAX($D$3,(1+P54-VLOOKUP(VALUE(D55),$J$18:$Q54,7,TRUE()))*$D$3)</f>
        <v>#N/A</v>
      </c>
      <c r="F55" s="47" t="e">
        <f aca="false">MAX($D$4,(1+Q54-VLOOKUP(VALUE(D55),$M$18:$Q54,5,TRUE()))*$D$4)</f>
        <v>#N/A</v>
      </c>
      <c r="G55" s="48" t="n">
        <v>0.5</v>
      </c>
      <c r="H55" s="46" t="e">
        <f aca="true">IF((B55=1),(IF((F55&lt;E55),1,(IF((F55=E55),(IF(RAND()&lt;G55,1,0)),0)))),(IF((RAND()&lt;G55),1,0)))</f>
        <v>#N/A</v>
      </c>
      <c r="I55" s="46" t="e">
        <f aca="true">IF((H55=1),0,$D$3+$D$5*(RAND()-0.5))</f>
        <v>#N/A</v>
      </c>
      <c r="J55" s="46" t="e">
        <f aca="false">I55+MAX(D55,J54)</f>
        <v>#N/A</v>
      </c>
      <c r="K55" s="46" t="e">
        <f aca="false">IF((H55=0),J55-D55,0)</f>
        <v>#N/A</v>
      </c>
      <c r="L55" s="46" t="e">
        <f aca="true">IF(($H55=0),0,$D$4+$D$5*(RAND()-0.5))</f>
        <v>#N/A</v>
      </c>
      <c r="M55" s="46" t="e">
        <f aca="false">L55+MAX(D55,M54)</f>
        <v>#N/A</v>
      </c>
      <c r="N55" s="46" t="e">
        <f aca="false">IF((H55=1),M55-D55,0)</f>
        <v>#N/A</v>
      </c>
      <c r="O55" s="29" t="n">
        <v>38</v>
      </c>
      <c r="P55" s="49" t="e">
        <f aca="false">IF((Arterial=0),P54+1,P54)</f>
        <v>#N/A</v>
      </c>
      <c r="Q55" s="49" t="e">
        <f aca="false">IF((Arterial=1),Q54+1,Q54)</f>
        <v>#N/A</v>
      </c>
      <c r="R55" s="50" t="n">
        <f aca="false">IF((RESET=1),0,R55+K55)</f>
        <v>0</v>
      </c>
      <c r="S55" s="19" t="n">
        <f aca="false">IF(RESET=1,0,S55+N55)</f>
        <v>0</v>
      </c>
      <c r="T55" s="0" t="n">
        <f aca="false">IF(RESET=1,0,T55+IF(H55=0,1,0))</f>
        <v>0</v>
      </c>
      <c r="U55" s="0" t="n">
        <f aca="false">IF(RESET=1,0,U55+H55)</f>
        <v>0</v>
      </c>
      <c r="V55" s="19" t="n">
        <f aca="false">R55/(T55+0.00001)</f>
        <v>0</v>
      </c>
      <c r="W55" s="19" t="n">
        <f aca="false">S55/(U55+0.0001)</f>
        <v>0</v>
      </c>
      <c r="X55" s="47" t="e">
        <f aca="false">IF(Informed=1,K55,0)</f>
        <v>#N/A</v>
      </c>
      <c r="Y55" s="47" t="n">
        <f aca="false">IF(Informed=0,K55,0)</f>
        <v>0</v>
      </c>
      <c r="Z55" s="47" t="e">
        <f aca="false">IF(Informed=1,N55,0)</f>
        <v>#N/A</v>
      </c>
      <c r="AA55" s="47" t="n">
        <f aca="false">IF(Informed=0,N55,0)</f>
        <v>0</v>
      </c>
      <c r="AB55" s="51" t="e">
        <f aca="false">IF(Arterial=0,IF(Informed=1,1,0),0)</f>
        <v>#N/A</v>
      </c>
      <c r="AC55" s="51" t="e">
        <f aca="false">IF(Arterial=0,IF(Informed=0,1,0),0)</f>
        <v>#N/A</v>
      </c>
      <c r="AD55" s="51" t="e">
        <f aca="false">IF(Arterial=1,IF(Informed=1,1,0),0)</f>
        <v>#N/A</v>
      </c>
      <c r="AE55" s="51" t="e">
        <f aca="false">IF(Arterial=1,IF(Informed=0,1,0),0)</f>
        <v>#N/A</v>
      </c>
      <c r="AF55" s="44" t="e">
        <f aca="false">IF(AB55=1,(X55-G$1030)^2,0)</f>
        <v>#N/A</v>
      </c>
      <c r="AG55" s="44" t="e">
        <f aca="false">IF(AC55=1,(Y55-H$1030)^2,0)</f>
        <v>#N/A</v>
      </c>
      <c r="AH55" s="44" t="e">
        <f aca="false">IF(AD55=1,(Z55-I$1030)^2,0)</f>
        <v>#N/A</v>
      </c>
      <c r="AI55" s="44" t="e">
        <f aca="false">IF(AE55=1,(AA55-J$1030)^2,0)</f>
        <v>#N/A</v>
      </c>
    </row>
    <row r="56" customFormat="false" ht="12" hidden="false" customHeight="false" outlineLevel="0" collapsed="false">
      <c r="A56" s="29" t="n">
        <v>39</v>
      </c>
      <c r="B56" s="45" t="n">
        <f aca="true">IF(RAND()&lt;$D$8,1,0)</f>
        <v>1</v>
      </c>
      <c r="C56" s="34" t="n">
        <f aca="true">-LN(RAND())/$D$2</f>
        <v>0.216289797145042</v>
      </c>
      <c r="D56" s="46" t="n">
        <f aca="false">D55+C56</f>
        <v>47.5953420124585</v>
      </c>
      <c r="E56" s="47" t="e">
        <f aca="false">MAX($D$3,(1+P55-VLOOKUP(VALUE(D56),$J$18:$Q55,7,TRUE()))*$D$3)</f>
        <v>#N/A</v>
      </c>
      <c r="F56" s="47" t="e">
        <f aca="false">MAX($D$4,(1+Q55-VLOOKUP(VALUE(D56),$M$18:$Q55,5,TRUE()))*$D$4)</f>
        <v>#N/A</v>
      </c>
      <c r="G56" s="48" t="n">
        <v>0.5</v>
      </c>
      <c r="H56" s="46" t="e">
        <f aca="true">IF((B56=1),(IF((F56&lt;E56),1,(IF((F56=E56),(IF(RAND()&lt;G56,1,0)),0)))),(IF((RAND()&lt;G56),1,0)))</f>
        <v>#N/A</v>
      </c>
      <c r="I56" s="46" t="e">
        <f aca="true">IF((H56=1),0,$D$3+$D$5*(RAND()-0.5))</f>
        <v>#N/A</v>
      </c>
      <c r="J56" s="46" t="e">
        <f aca="false">I56+MAX(D56,J55)</f>
        <v>#N/A</v>
      </c>
      <c r="K56" s="46" t="e">
        <f aca="false">IF((H56=0),J56-D56,0)</f>
        <v>#N/A</v>
      </c>
      <c r="L56" s="46" t="e">
        <f aca="true">IF(($H56=0),0,$D$4+$D$5*(RAND()-0.5))</f>
        <v>#N/A</v>
      </c>
      <c r="M56" s="46" t="e">
        <f aca="false">L56+MAX(D56,M55)</f>
        <v>#N/A</v>
      </c>
      <c r="N56" s="46" t="e">
        <f aca="false">IF((H56=1),M56-D56,0)</f>
        <v>#N/A</v>
      </c>
      <c r="O56" s="29" t="n">
        <v>39</v>
      </c>
      <c r="P56" s="49" t="e">
        <f aca="false">IF((Arterial=0),P55+1,P55)</f>
        <v>#N/A</v>
      </c>
      <c r="Q56" s="49" t="e">
        <f aca="false">IF((Arterial=1),Q55+1,Q55)</f>
        <v>#N/A</v>
      </c>
      <c r="R56" s="50" t="n">
        <f aca="false">IF((RESET=1),0,R56+K56)</f>
        <v>0</v>
      </c>
      <c r="S56" s="19" t="n">
        <f aca="false">IF(RESET=1,0,S56+N56)</f>
        <v>0</v>
      </c>
      <c r="T56" s="0" t="n">
        <f aca="false">IF(RESET=1,0,T56+IF(H56=0,1,0))</f>
        <v>0</v>
      </c>
      <c r="U56" s="0" t="n">
        <f aca="false">IF(RESET=1,0,U56+H56)</f>
        <v>0</v>
      </c>
      <c r="V56" s="19" t="n">
        <f aca="false">R56/(T56+0.00001)</f>
        <v>0</v>
      </c>
      <c r="W56" s="19" t="n">
        <f aca="false">S56/(U56+0.0001)</f>
        <v>0</v>
      </c>
      <c r="X56" s="47" t="e">
        <f aca="false">IF(Informed=1,K56,0)</f>
        <v>#N/A</v>
      </c>
      <c r="Y56" s="47" t="n">
        <f aca="false">IF(Informed=0,K56,0)</f>
        <v>0</v>
      </c>
      <c r="Z56" s="47" t="e">
        <f aca="false">IF(Informed=1,N56,0)</f>
        <v>#N/A</v>
      </c>
      <c r="AA56" s="47" t="n">
        <f aca="false">IF(Informed=0,N56,0)</f>
        <v>0</v>
      </c>
      <c r="AB56" s="51" t="e">
        <f aca="false">IF(Arterial=0,IF(Informed=1,1,0),0)</f>
        <v>#N/A</v>
      </c>
      <c r="AC56" s="51" t="e">
        <f aca="false">IF(Arterial=0,IF(Informed=0,1,0),0)</f>
        <v>#N/A</v>
      </c>
      <c r="AD56" s="51" t="e">
        <f aca="false">IF(Arterial=1,IF(Informed=1,1,0),0)</f>
        <v>#N/A</v>
      </c>
      <c r="AE56" s="51" t="e">
        <f aca="false">IF(Arterial=1,IF(Informed=0,1,0),0)</f>
        <v>#N/A</v>
      </c>
      <c r="AF56" s="44" t="e">
        <f aca="false">IF(AB56=1,(X56-G$1030)^2,0)</f>
        <v>#N/A</v>
      </c>
      <c r="AG56" s="44" t="e">
        <f aca="false">IF(AC56=1,(Y56-H$1030)^2,0)</f>
        <v>#N/A</v>
      </c>
      <c r="AH56" s="44" t="e">
        <f aca="false">IF(AD56=1,(Z56-I$1030)^2,0)</f>
        <v>#N/A</v>
      </c>
      <c r="AI56" s="44" t="e">
        <f aca="false">IF(AE56=1,(AA56-J$1030)^2,0)</f>
        <v>#N/A</v>
      </c>
    </row>
    <row r="57" customFormat="false" ht="12" hidden="false" customHeight="false" outlineLevel="0" collapsed="false">
      <c r="A57" s="29" t="n">
        <v>40</v>
      </c>
      <c r="B57" s="45" t="n">
        <f aca="true">IF(RAND()&lt;$D$8,1,0)</f>
        <v>1</v>
      </c>
      <c r="C57" s="34" t="n">
        <f aca="true">-LN(RAND())/$D$2</f>
        <v>0.618240083383604</v>
      </c>
      <c r="D57" s="46" t="n">
        <f aca="false">D56+C57</f>
        <v>48.2135820958421</v>
      </c>
      <c r="E57" s="47" t="e">
        <f aca="false">MAX($D$3,(1+P56-VLOOKUP(VALUE(D57),$J$18:$Q56,7,TRUE()))*$D$3)</f>
        <v>#N/A</v>
      </c>
      <c r="F57" s="47" t="e">
        <f aca="false">MAX($D$4,(1+Q56-VLOOKUP(VALUE(D57),$M$18:$Q56,5,TRUE()))*$D$4)</f>
        <v>#N/A</v>
      </c>
      <c r="G57" s="48" t="n">
        <v>0.5</v>
      </c>
      <c r="H57" s="46" t="e">
        <f aca="true">IF((B57=1),(IF((F57&lt;E57),1,(IF((F57=E57),(IF(RAND()&lt;G57,1,0)),0)))),(IF((RAND()&lt;G57),1,0)))</f>
        <v>#N/A</v>
      </c>
      <c r="I57" s="46" t="e">
        <f aca="true">IF((H57=1),0,$D$3+$D$5*(RAND()-0.5))</f>
        <v>#N/A</v>
      </c>
      <c r="J57" s="46" t="e">
        <f aca="false">I57+MAX(D57,J56)</f>
        <v>#N/A</v>
      </c>
      <c r="K57" s="46" t="e">
        <f aca="false">IF((H57=0),J57-D57,0)</f>
        <v>#N/A</v>
      </c>
      <c r="L57" s="46" t="e">
        <f aca="true">IF(($H57=0),0,$D$4+$D$5*(RAND()-0.5))</f>
        <v>#N/A</v>
      </c>
      <c r="M57" s="46" t="e">
        <f aca="false">L57+MAX(D57,M56)</f>
        <v>#N/A</v>
      </c>
      <c r="N57" s="46" t="e">
        <f aca="false">IF((H57=1),M57-D57,0)</f>
        <v>#N/A</v>
      </c>
      <c r="O57" s="29" t="n">
        <v>40</v>
      </c>
      <c r="P57" s="49" t="e">
        <f aca="false">IF((Arterial=0),P56+1,P56)</f>
        <v>#N/A</v>
      </c>
      <c r="Q57" s="49" t="e">
        <f aca="false">IF((Arterial=1),Q56+1,Q56)</f>
        <v>#N/A</v>
      </c>
      <c r="R57" s="50" t="n">
        <f aca="false">IF((RESET=1),0,R57+K57)</f>
        <v>0</v>
      </c>
      <c r="S57" s="19" t="n">
        <f aca="false">IF(RESET=1,0,S57+N57)</f>
        <v>0</v>
      </c>
      <c r="T57" s="0" t="n">
        <f aca="false">IF(RESET=1,0,T57+IF(H57=0,1,0))</f>
        <v>0</v>
      </c>
      <c r="U57" s="0" t="n">
        <f aca="false">IF(RESET=1,0,U57+H57)</f>
        <v>0</v>
      </c>
      <c r="V57" s="19" t="n">
        <f aca="false">R57/(T57+0.00001)</f>
        <v>0</v>
      </c>
      <c r="W57" s="19" t="n">
        <f aca="false">S57/(U57+0.0001)</f>
        <v>0</v>
      </c>
      <c r="X57" s="47" t="e">
        <f aca="false">IF(Informed=1,K57,0)</f>
        <v>#N/A</v>
      </c>
      <c r="Y57" s="47" t="n">
        <f aca="false">IF(Informed=0,K57,0)</f>
        <v>0</v>
      </c>
      <c r="Z57" s="47" t="e">
        <f aca="false">IF(Informed=1,N57,0)</f>
        <v>#N/A</v>
      </c>
      <c r="AA57" s="47" t="n">
        <f aca="false">IF(Informed=0,N57,0)</f>
        <v>0</v>
      </c>
      <c r="AB57" s="51" t="e">
        <f aca="false">IF(Arterial=0,IF(Informed=1,1,0),0)</f>
        <v>#N/A</v>
      </c>
      <c r="AC57" s="51" t="e">
        <f aca="false">IF(Arterial=0,IF(Informed=0,1,0),0)</f>
        <v>#N/A</v>
      </c>
      <c r="AD57" s="51" t="e">
        <f aca="false">IF(Arterial=1,IF(Informed=1,1,0),0)</f>
        <v>#N/A</v>
      </c>
      <c r="AE57" s="51" t="e">
        <f aca="false">IF(Arterial=1,IF(Informed=0,1,0),0)</f>
        <v>#N/A</v>
      </c>
      <c r="AF57" s="44" t="e">
        <f aca="false">IF(AB57=1,(X57-G$1030)^2,0)</f>
        <v>#N/A</v>
      </c>
      <c r="AG57" s="44" t="e">
        <f aca="false">IF(AC57=1,(Y57-H$1030)^2,0)</f>
        <v>#N/A</v>
      </c>
      <c r="AH57" s="44" t="e">
        <f aca="false">IF(AD57=1,(Z57-I$1030)^2,0)</f>
        <v>#N/A</v>
      </c>
      <c r="AI57" s="44" t="e">
        <f aca="false">IF(AE57=1,(AA57-J$1030)^2,0)</f>
        <v>#N/A</v>
      </c>
    </row>
    <row r="58" customFormat="false" ht="12" hidden="false" customHeight="false" outlineLevel="0" collapsed="false">
      <c r="A58" s="29" t="n">
        <v>41</v>
      </c>
      <c r="B58" s="45" t="n">
        <f aca="true">IF(RAND()&lt;$D$8,1,0)</f>
        <v>1</v>
      </c>
      <c r="C58" s="34" t="n">
        <f aca="true">-LN(RAND())/$D$2</f>
        <v>0.363989829448128</v>
      </c>
      <c r="D58" s="46" t="n">
        <f aca="false">D57+C58</f>
        <v>48.5775719252902</v>
      </c>
      <c r="E58" s="47" t="e">
        <f aca="false">MAX($D$3,(1+P57-VLOOKUP(VALUE(D58),$J$18:$Q57,7,TRUE()))*$D$3)</f>
        <v>#N/A</v>
      </c>
      <c r="F58" s="47" t="e">
        <f aca="false">MAX($D$4,(1+Q57-VLOOKUP(VALUE(D58),$M$18:$Q57,5,TRUE()))*$D$4)</f>
        <v>#N/A</v>
      </c>
      <c r="G58" s="48" t="n">
        <v>0.5</v>
      </c>
      <c r="H58" s="46" t="e">
        <f aca="true">IF((B58=1),(IF((F58&lt;E58),1,(IF((F58=E58),(IF(RAND()&lt;G58,1,0)),0)))),(IF((RAND()&lt;G58),1,0)))</f>
        <v>#N/A</v>
      </c>
      <c r="I58" s="46" t="e">
        <f aca="true">IF((H58=1),0,$D$3+$D$5*(RAND()-0.5))</f>
        <v>#N/A</v>
      </c>
      <c r="J58" s="46" t="e">
        <f aca="false">I58+MAX(D58,J57)</f>
        <v>#N/A</v>
      </c>
      <c r="K58" s="46" t="e">
        <f aca="false">IF((H58=0),J58-D58,0)</f>
        <v>#N/A</v>
      </c>
      <c r="L58" s="46" t="e">
        <f aca="true">IF(($H58=0),0,$D$4+$D$5*(RAND()-0.5))</f>
        <v>#N/A</v>
      </c>
      <c r="M58" s="46" t="e">
        <f aca="false">L58+MAX(D58,M57)</f>
        <v>#N/A</v>
      </c>
      <c r="N58" s="46" t="e">
        <f aca="false">IF((H58=1),M58-D58,0)</f>
        <v>#N/A</v>
      </c>
      <c r="O58" s="29" t="n">
        <v>41</v>
      </c>
      <c r="P58" s="49" t="e">
        <f aca="false">IF((Arterial=0),P57+1,P57)</f>
        <v>#N/A</v>
      </c>
      <c r="Q58" s="49" t="e">
        <f aca="false">IF((Arterial=1),Q57+1,Q57)</f>
        <v>#N/A</v>
      </c>
      <c r="R58" s="50" t="n">
        <f aca="false">IF((RESET=1),0,R58+K58)</f>
        <v>0</v>
      </c>
      <c r="S58" s="19" t="n">
        <f aca="false">IF(RESET=1,0,S58+N58)</f>
        <v>0</v>
      </c>
      <c r="T58" s="0" t="n">
        <f aca="false">IF(RESET=1,0,T58+IF(H58=0,1,0))</f>
        <v>0</v>
      </c>
      <c r="U58" s="0" t="n">
        <f aca="false">IF(RESET=1,0,U58+H58)</f>
        <v>0</v>
      </c>
      <c r="V58" s="19" t="n">
        <f aca="false">R58/(T58+0.00001)</f>
        <v>0</v>
      </c>
      <c r="W58" s="19" t="n">
        <f aca="false">S58/(U58+0.0001)</f>
        <v>0</v>
      </c>
      <c r="X58" s="47" t="e">
        <f aca="false">IF(Informed=1,K58,0)</f>
        <v>#N/A</v>
      </c>
      <c r="Y58" s="47" t="n">
        <f aca="false">IF(Informed=0,K58,0)</f>
        <v>0</v>
      </c>
      <c r="Z58" s="47" t="e">
        <f aca="false">IF(Informed=1,N58,0)</f>
        <v>#N/A</v>
      </c>
      <c r="AA58" s="47" t="n">
        <f aca="false">IF(Informed=0,N58,0)</f>
        <v>0</v>
      </c>
      <c r="AB58" s="51" t="e">
        <f aca="false">IF(Arterial=0,IF(Informed=1,1,0),0)</f>
        <v>#N/A</v>
      </c>
      <c r="AC58" s="51" t="e">
        <f aca="false">IF(Arterial=0,IF(Informed=0,1,0),0)</f>
        <v>#N/A</v>
      </c>
      <c r="AD58" s="51" t="e">
        <f aca="false">IF(Arterial=1,IF(Informed=1,1,0),0)</f>
        <v>#N/A</v>
      </c>
      <c r="AE58" s="51" t="e">
        <f aca="false">IF(Arterial=1,IF(Informed=0,1,0),0)</f>
        <v>#N/A</v>
      </c>
      <c r="AF58" s="44" t="e">
        <f aca="false">IF(AB58=1,(X58-G$1030)^2,0)</f>
        <v>#N/A</v>
      </c>
      <c r="AG58" s="44" t="e">
        <f aca="false">IF(AC58=1,(Y58-H$1030)^2,0)</f>
        <v>#N/A</v>
      </c>
      <c r="AH58" s="44" t="e">
        <f aca="false">IF(AD58=1,(Z58-I$1030)^2,0)</f>
        <v>#N/A</v>
      </c>
      <c r="AI58" s="44" t="e">
        <f aca="false">IF(AE58=1,(AA58-J$1030)^2,0)</f>
        <v>#N/A</v>
      </c>
    </row>
    <row r="59" customFormat="false" ht="12" hidden="false" customHeight="false" outlineLevel="0" collapsed="false">
      <c r="A59" s="29" t="n">
        <v>42</v>
      </c>
      <c r="B59" s="45" t="n">
        <f aca="true">IF(RAND()&lt;$D$8,1,0)</f>
        <v>1</v>
      </c>
      <c r="C59" s="34" t="n">
        <f aca="true">-LN(RAND())/$D$2</f>
        <v>1.42448066960417</v>
      </c>
      <c r="D59" s="46" t="n">
        <f aca="false">D58+C59</f>
        <v>50.0020525948944</v>
      </c>
      <c r="E59" s="47" t="e">
        <f aca="false">MAX($D$3,(1+P58-VLOOKUP(VALUE(D59),$J$18:$Q58,7,TRUE()))*$D$3)</f>
        <v>#N/A</v>
      </c>
      <c r="F59" s="47" t="e">
        <f aca="false">MAX($D$4,(1+Q58-VLOOKUP(VALUE(D59),$M$18:$Q58,5,TRUE()))*$D$4)</f>
        <v>#N/A</v>
      </c>
      <c r="G59" s="48" t="n">
        <v>0.5</v>
      </c>
      <c r="H59" s="46" t="e">
        <f aca="true">IF((B59=1),(IF((F59&lt;E59),1,(IF((F59=E59),(IF(RAND()&lt;G59,1,0)),0)))),(IF((RAND()&lt;G59),1,0)))</f>
        <v>#N/A</v>
      </c>
      <c r="I59" s="46" t="e">
        <f aca="true">IF((H59=1),0,$D$3+$D$5*(RAND()-0.5))</f>
        <v>#N/A</v>
      </c>
      <c r="J59" s="46" t="e">
        <f aca="false">I59+MAX(D59,J58)</f>
        <v>#N/A</v>
      </c>
      <c r="K59" s="46" t="e">
        <f aca="false">IF((H59=0),J59-D59,0)</f>
        <v>#N/A</v>
      </c>
      <c r="L59" s="46" t="e">
        <f aca="true">IF(($H59=0),0,$D$4+$D$5*(RAND()-0.5))</f>
        <v>#N/A</v>
      </c>
      <c r="M59" s="46" t="e">
        <f aca="false">L59+MAX(D59,M58)</f>
        <v>#N/A</v>
      </c>
      <c r="N59" s="46" t="e">
        <f aca="false">IF((H59=1),M59-D59,0)</f>
        <v>#N/A</v>
      </c>
      <c r="O59" s="29" t="n">
        <v>42</v>
      </c>
      <c r="P59" s="49" t="e">
        <f aca="false">IF((Arterial=0),P58+1,P58)</f>
        <v>#N/A</v>
      </c>
      <c r="Q59" s="49" t="e">
        <f aca="false">IF((Arterial=1),Q58+1,Q58)</f>
        <v>#N/A</v>
      </c>
      <c r="R59" s="50" t="n">
        <f aca="false">IF((RESET=1),0,R59+K59)</f>
        <v>0</v>
      </c>
      <c r="S59" s="19" t="n">
        <f aca="false">IF(RESET=1,0,S59+N59)</f>
        <v>0</v>
      </c>
      <c r="T59" s="0" t="n">
        <f aca="false">IF(RESET=1,0,T59+IF(H59=0,1,0))</f>
        <v>0</v>
      </c>
      <c r="U59" s="0" t="n">
        <f aca="false">IF(RESET=1,0,U59+H59)</f>
        <v>0</v>
      </c>
      <c r="V59" s="19" t="n">
        <f aca="false">R59/(T59+0.00001)</f>
        <v>0</v>
      </c>
      <c r="W59" s="19" t="n">
        <f aca="false">S59/(U59+0.0001)</f>
        <v>0</v>
      </c>
      <c r="X59" s="47" t="e">
        <f aca="false">IF(Informed=1,K59,0)</f>
        <v>#N/A</v>
      </c>
      <c r="Y59" s="47" t="n">
        <f aca="false">IF(Informed=0,K59,0)</f>
        <v>0</v>
      </c>
      <c r="Z59" s="47" t="e">
        <f aca="false">IF(Informed=1,N59,0)</f>
        <v>#N/A</v>
      </c>
      <c r="AA59" s="47" t="n">
        <f aca="false">IF(Informed=0,N59,0)</f>
        <v>0</v>
      </c>
      <c r="AB59" s="51" t="e">
        <f aca="false">IF(Arterial=0,IF(Informed=1,1,0),0)</f>
        <v>#N/A</v>
      </c>
      <c r="AC59" s="51" t="e">
        <f aca="false">IF(Arterial=0,IF(Informed=0,1,0),0)</f>
        <v>#N/A</v>
      </c>
      <c r="AD59" s="51" t="e">
        <f aca="false">IF(Arterial=1,IF(Informed=1,1,0),0)</f>
        <v>#N/A</v>
      </c>
      <c r="AE59" s="51" t="e">
        <f aca="false">IF(Arterial=1,IF(Informed=0,1,0),0)</f>
        <v>#N/A</v>
      </c>
      <c r="AF59" s="44" t="e">
        <f aca="false">IF(AB59=1,(X59-G$1030)^2,0)</f>
        <v>#N/A</v>
      </c>
      <c r="AG59" s="44" t="e">
        <f aca="false">IF(AC59=1,(Y59-H$1030)^2,0)</f>
        <v>#N/A</v>
      </c>
      <c r="AH59" s="44" t="e">
        <f aca="false">IF(AD59=1,(Z59-I$1030)^2,0)</f>
        <v>#N/A</v>
      </c>
      <c r="AI59" s="44" t="e">
        <f aca="false">IF(AE59=1,(AA59-J$1030)^2,0)</f>
        <v>#N/A</v>
      </c>
    </row>
    <row r="60" customFormat="false" ht="12" hidden="false" customHeight="false" outlineLevel="0" collapsed="false">
      <c r="A60" s="29" t="n">
        <v>43</v>
      </c>
      <c r="B60" s="45" t="n">
        <f aca="true">IF(RAND()&lt;$D$8,1,0)</f>
        <v>1</v>
      </c>
      <c r="C60" s="34" t="n">
        <f aca="true">-LN(RAND())/$D$2</f>
        <v>2.08084249826783</v>
      </c>
      <c r="D60" s="46" t="n">
        <f aca="false">D59+C60</f>
        <v>52.0828950931622</v>
      </c>
      <c r="E60" s="47" t="e">
        <f aca="false">MAX($D$3,(1+P59-VLOOKUP(VALUE(D60),$J$18:$Q59,7,TRUE()))*$D$3)</f>
        <v>#N/A</v>
      </c>
      <c r="F60" s="47" t="e">
        <f aca="false">MAX($D$4,(1+Q59-VLOOKUP(VALUE(D60),$M$18:$Q59,5,TRUE()))*$D$4)</f>
        <v>#N/A</v>
      </c>
      <c r="G60" s="48" t="n">
        <v>0.5</v>
      </c>
      <c r="H60" s="46" t="e">
        <f aca="true">IF((B60=1),(IF((F60&lt;E60),1,(IF((F60=E60),(IF(RAND()&lt;G60,1,0)),0)))),(IF((RAND()&lt;G60),1,0)))</f>
        <v>#N/A</v>
      </c>
      <c r="I60" s="46" t="e">
        <f aca="true">IF((H60=1),0,$D$3+$D$5*(RAND()-0.5))</f>
        <v>#N/A</v>
      </c>
      <c r="J60" s="46" t="e">
        <f aca="false">I60+MAX(D60,J59)</f>
        <v>#N/A</v>
      </c>
      <c r="K60" s="46" t="e">
        <f aca="false">IF((H60=0),J60-D60,0)</f>
        <v>#N/A</v>
      </c>
      <c r="L60" s="46" t="e">
        <f aca="true">IF(($H60=0),0,$D$4+$D$5*(RAND()-0.5))</f>
        <v>#N/A</v>
      </c>
      <c r="M60" s="46" t="e">
        <f aca="false">L60+MAX(D60,M59)</f>
        <v>#N/A</v>
      </c>
      <c r="N60" s="46" t="e">
        <f aca="false">IF((H60=1),M60-D60,0)</f>
        <v>#N/A</v>
      </c>
      <c r="O60" s="29" t="n">
        <v>43</v>
      </c>
      <c r="P60" s="49" t="e">
        <f aca="false">IF((Arterial=0),P59+1,P59)</f>
        <v>#N/A</v>
      </c>
      <c r="Q60" s="49" t="e">
        <f aca="false">IF((Arterial=1),Q59+1,Q59)</f>
        <v>#N/A</v>
      </c>
      <c r="R60" s="50" t="n">
        <f aca="false">IF((RESET=1),0,R60+K60)</f>
        <v>0</v>
      </c>
      <c r="S60" s="19" t="n">
        <f aca="false">IF(RESET=1,0,S60+N60)</f>
        <v>0</v>
      </c>
      <c r="T60" s="0" t="n">
        <f aca="false">IF(RESET=1,0,T60+IF(H60=0,1,0))</f>
        <v>0</v>
      </c>
      <c r="U60" s="0" t="n">
        <f aca="false">IF(RESET=1,0,U60+H60)</f>
        <v>0</v>
      </c>
      <c r="V60" s="19" t="n">
        <f aca="false">R60/(T60+0.00001)</f>
        <v>0</v>
      </c>
      <c r="W60" s="19" t="n">
        <f aca="false">S60/(U60+0.0001)</f>
        <v>0</v>
      </c>
      <c r="X60" s="47" t="e">
        <f aca="false">IF(Informed=1,K60,0)</f>
        <v>#N/A</v>
      </c>
      <c r="Y60" s="47" t="n">
        <f aca="false">IF(Informed=0,K60,0)</f>
        <v>0</v>
      </c>
      <c r="Z60" s="47" t="e">
        <f aca="false">IF(Informed=1,N60,0)</f>
        <v>#N/A</v>
      </c>
      <c r="AA60" s="47" t="n">
        <f aca="false">IF(Informed=0,N60,0)</f>
        <v>0</v>
      </c>
      <c r="AB60" s="51" t="e">
        <f aca="false">IF(Arterial=0,IF(Informed=1,1,0),0)</f>
        <v>#N/A</v>
      </c>
      <c r="AC60" s="51" t="e">
        <f aca="false">IF(Arterial=0,IF(Informed=0,1,0),0)</f>
        <v>#N/A</v>
      </c>
      <c r="AD60" s="51" t="e">
        <f aca="false">IF(Arterial=1,IF(Informed=1,1,0),0)</f>
        <v>#N/A</v>
      </c>
      <c r="AE60" s="51" t="e">
        <f aca="false">IF(Arterial=1,IF(Informed=0,1,0),0)</f>
        <v>#N/A</v>
      </c>
      <c r="AF60" s="44" t="e">
        <f aca="false">IF(AB60=1,(X60-G$1030)^2,0)</f>
        <v>#N/A</v>
      </c>
      <c r="AG60" s="44" t="e">
        <f aca="false">IF(AC60=1,(Y60-H$1030)^2,0)</f>
        <v>#N/A</v>
      </c>
      <c r="AH60" s="44" t="e">
        <f aca="false">IF(AD60=1,(Z60-I$1030)^2,0)</f>
        <v>#N/A</v>
      </c>
      <c r="AI60" s="44" t="e">
        <f aca="false">IF(AE60=1,(AA60-J$1030)^2,0)</f>
        <v>#N/A</v>
      </c>
    </row>
    <row r="61" customFormat="false" ht="12" hidden="false" customHeight="false" outlineLevel="0" collapsed="false">
      <c r="A61" s="29" t="n">
        <v>44</v>
      </c>
      <c r="B61" s="45" t="n">
        <f aca="true">IF(RAND()&lt;$D$8,1,0)</f>
        <v>1</v>
      </c>
      <c r="C61" s="34" t="n">
        <f aca="true">-LN(RAND())/$D$2</f>
        <v>0.0466196574014431</v>
      </c>
      <c r="D61" s="46" t="n">
        <f aca="false">D60+C61</f>
        <v>52.1295147505637</v>
      </c>
      <c r="E61" s="47" t="e">
        <f aca="false">MAX($D$3,(1+P60-VLOOKUP(VALUE(D61),$J$18:$Q60,7,TRUE()))*$D$3)</f>
        <v>#N/A</v>
      </c>
      <c r="F61" s="47" t="e">
        <f aca="false">MAX($D$4,(1+Q60-VLOOKUP(VALUE(D61),$M$18:$Q60,5,TRUE()))*$D$4)</f>
        <v>#N/A</v>
      </c>
      <c r="G61" s="48" t="n">
        <v>0.5</v>
      </c>
      <c r="H61" s="46" t="e">
        <f aca="true">IF((B61=1),(IF((F61&lt;E61),1,(IF((F61=E61),(IF(RAND()&lt;G61,1,0)),0)))),(IF((RAND()&lt;G61),1,0)))</f>
        <v>#N/A</v>
      </c>
      <c r="I61" s="46" t="e">
        <f aca="true">IF((H61=1),0,$D$3+$D$5*(RAND()-0.5))</f>
        <v>#N/A</v>
      </c>
      <c r="J61" s="46" t="e">
        <f aca="false">I61+MAX(D61,J60)</f>
        <v>#N/A</v>
      </c>
      <c r="K61" s="46" t="e">
        <f aca="false">IF((H61=0),J61-D61,0)</f>
        <v>#N/A</v>
      </c>
      <c r="L61" s="46" t="e">
        <f aca="true">IF(($H61=0),0,$D$4+$D$5*(RAND()-0.5))</f>
        <v>#N/A</v>
      </c>
      <c r="M61" s="46" t="e">
        <f aca="false">L61+MAX(D61,M60)</f>
        <v>#N/A</v>
      </c>
      <c r="N61" s="46" t="e">
        <f aca="false">IF((H61=1),M61-D61,0)</f>
        <v>#N/A</v>
      </c>
      <c r="O61" s="29" t="n">
        <v>44</v>
      </c>
      <c r="P61" s="49" t="e">
        <f aca="false">IF((Arterial=0),P60+1,P60)</f>
        <v>#N/A</v>
      </c>
      <c r="Q61" s="49" t="e">
        <f aca="false">IF((Arterial=1),Q60+1,Q60)</f>
        <v>#N/A</v>
      </c>
      <c r="R61" s="50" t="n">
        <f aca="false">IF((RESET=1),0,R61+K61)</f>
        <v>0</v>
      </c>
      <c r="S61" s="19" t="n">
        <f aca="false">IF(RESET=1,0,S61+N61)</f>
        <v>0</v>
      </c>
      <c r="T61" s="0" t="n">
        <f aca="false">IF(RESET=1,0,T61+IF(H61=0,1,0))</f>
        <v>0</v>
      </c>
      <c r="U61" s="0" t="n">
        <f aca="false">IF(RESET=1,0,U61+H61)</f>
        <v>0</v>
      </c>
      <c r="V61" s="19" t="n">
        <f aca="false">R61/(T61+0.00001)</f>
        <v>0</v>
      </c>
      <c r="W61" s="19" t="n">
        <f aca="false">S61/(U61+0.0001)</f>
        <v>0</v>
      </c>
      <c r="X61" s="47" t="e">
        <f aca="false">IF(Informed=1,K61,0)</f>
        <v>#N/A</v>
      </c>
      <c r="Y61" s="47" t="n">
        <f aca="false">IF(Informed=0,K61,0)</f>
        <v>0</v>
      </c>
      <c r="Z61" s="47" t="e">
        <f aca="false">IF(Informed=1,N61,0)</f>
        <v>#N/A</v>
      </c>
      <c r="AA61" s="47" t="n">
        <f aca="false">IF(Informed=0,N61,0)</f>
        <v>0</v>
      </c>
      <c r="AB61" s="51" t="e">
        <f aca="false">IF(Arterial=0,IF(Informed=1,1,0),0)</f>
        <v>#N/A</v>
      </c>
      <c r="AC61" s="51" t="e">
        <f aca="false">IF(Arterial=0,IF(Informed=0,1,0),0)</f>
        <v>#N/A</v>
      </c>
      <c r="AD61" s="51" t="e">
        <f aca="false">IF(Arterial=1,IF(Informed=1,1,0),0)</f>
        <v>#N/A</v>
      </c>
      <c r="AE61" s="51" t="e">
        <f aca="false">IF(Arterial=1,IF(Informed=0,1,0),0)</f>
        <v>#N/A</v>
      </c>
      <c r="AF61" s="44" t="e">
        <f aca="false">IF(AB61=1,(X61-G$1030)^2,0)</f>
        <v>#N/A</v>
      </c>
      <c r="AG61" s="44" t="e">
        <f aca="false">IF(AC61=1,(Y61-H$1030)^2,0)</f>
        <v>#N/A</v>
      </c>
      <c r="AH61" s="44" t="e">
        <f aca="false">IF(AD61=1,(Z61-I$1030)^2,0)</f>
        <v>#N/A</v>
      </c>
      <c r="AI61" s="44" t="e">
        <f aca="false">IF(AE61=1,(AA61-J$1030)^2,0)</f>
        <v>#N/A</v>
      </c>
    </row>
    <row r="62" customFormat="false" ht="12" hidden="false" customHeight="false" outlineLevel="0" collapsed="false">
      <c r="A62" s="29" t="n">
        <v>45</v>
      </c>
      <c r="B62" s="45" t="n">
        <f aca="true">IF(RAND()&lt;$D$8,1,0)</f>
        <v>1</v>
      </c>
      <c r="C62" s="34" t="n">
        <f aca="true">-LN(RAND())/$D$2</f>
        <v>4.23468798424692</v>
      </c>
      <c r="D62" s="46" t="n">
        <f aca="false">D61+C62</f>
        <v>56.3642027348106</v>
      </c>
      <c r="E62" s="47" t="e">
        <f aca="false">MAX($D$3,(1+P61-VLOOKUP(VALUE(D62),$J$18:$Q61,7,TRUE()))*$D$3)</f>
        <v>#N/A</v>
      </c>
      <c r="F62" s="47" t="e">
        <f aca="false">MAX($D$4,(1+Q61-VLOOKUP(VALUE(D62),$M$18:$Q61,5,TRUE()))*$D$4)</f>
        <v>#N/A</v>
      </c>
      <c r="G62" s="48" t="n">
        <v>0.5</v>
      </c>
      <c r="H62" s="46" t="e">
        <f aca="true">IF((B62=1),(IF((F62&lt;E62),1,(IF((F62=E62),(IF(RAND()&lt;G62,1,0)),0)))),(IF((RAND()&lt;G62),1,0)))</f>
        <v>#N/A</v>
      </c>
      <c r="I62" s="46" t="e">
        <f aca="true">IF((H62=1),0,$D$3+$D$5*(RAND()-0.5))</f>
        <v>#N/A</v>
      </c>
      <c r="J62" s="46" t="e">
        <f aca="false">I62+MAX(D62,J61)</f>
        <v>#N/A</v>
      </c>
      <c r="K62" s="46" t="e">
        <f aca="false">IF((H62=0),J62-D62,0)</f>
        <v>#N/A</v>
      </c>
      <c r="L62" s="46" t="e">
        <f aca="true">IF(($H62=0),0,$D$4+$D$5*(RAND()-0.5))</f>
        <v>#N/A</v>
      </c>
      <c r="M62" s="46" t="e">
        <f aca="false">L62+MAX(D62,M61)</f>
        <v>#N/A</v>
      </c>
      <c r="N62" s="46" t="e">
        <f aca="false">IF((H62=1),M62-D62,0)</f>
        <v>#N/A</v>
      </c>
      <c r="O62" s="29" t="n">
        <v>45</v>
      </c>
      <c r="P62" s="49" t="e">
        <f aca="false">IF((Arterial=0),P61+1,P61)</f>
        <v>#N/A</v>
      </c>
      <c r="Q62" s="49" t="e">
        <f aca="false">IF((Arterial=1),Q61+1,Q61)</f>
        <v>#N/A</v>
      </c>
      <c r="R62" s="50" t="n">
        <f aca="false">IF((RESET=1),0,R62+K62)</f>
        <v>0</v>
      </c>
      <c r="S62" s="19" t="n">
        <f aca="false">IF(RESET=1,0,S62+N62)</f>
        <v>0</v>
      </c>
      <c r="T62" s="0" t="n">
        <f aca="false">IF(RESET=1,0,T62+IF(H62=0,1,0))</f>
        <v>0</v>
      </c>
      <c r="U62" s="0" t="n">
        <f aca="false">IF(RESET=1,0,U62+H62)</f>
        <v>0</v>
      </c>
      <c r="V62" s="19" t="n">
        <f aca="false">R62/(T62+0.00001)</f>
        <v>0</v>
      </c>
      <c r="W62" s="19" t="n">
        <f aca="false">S62/(U62+0.0001)</f>
        <v>0</v>
      </c>
      <c r="X62" s="47" t="e">
        <f aca="false">IF(Informed=1,K62,0)</f>
        <v>#N/A</v>
      </c>
      <c r="Y62" s="47" t="n">
        <f aca="false">IF(Informed=0,K62,0)</f>
        <v>0</v>
      </c>
      <c r="Z62" s="47" t="e">
        <f aca="false">IF(Informed=1,N62,0)</f>
        <v>#N/A</v>
      </c>
      <c r="AA62" s="47" t="n">
        <f aca="false">IF(Informed=0,N62,0)</f>
        <v>0</v>
      </c>
      <c r="AB62" s="51" t="e">
        <f aca="false">IF(Arterial=0,IF(Informed=1,1,0),0)</f>
        <v>#N/A</v>
      </c>
      <c r="AC62" s="51" t="e">
        <f aca="false">IF(Arterial=0,IF(Informed=0,1,0),0)</f>
        <v>#N/A</v>
      </c>
      <c r="AD62" s="51" t="e">
        <f aca="false">IF(Arterial=1,IF(Informed=1,1,0),0)</f>
        <v>#N/A</v>
      </c>
      <c r="AE62" s="51" t="e">
        <f aca="false">IF(Arterial=1,IF(Informed=0,1,0),0)</f>
        <v>#N/A</v>
      </c>
      <c r="AF62" s="44" t="e">
        <f aca="false">IF(AB62=1,(X62-G$1030)^2,0)</f>
        <v>#N/A</v>
      </c>
      <c r="AG62" s="44" t="e">
        <f aca="false">IF(AC62=1,(Y62-H$1030)^2,0)</f>
        <v>#N/A</v>
      </c>
      <c r="AH62" s="44" t="e">
        <f aca="false">IF(AD62=1,(Z62-I$1030)^2,0)</f>
        <v>#N/A</v>
      </c>
      <c r="AI62" s="44" t="e">
        <f aca="false">IF(AE62=1,(AA62-J$1030)^2,0)</f>
        <v>#N/A</v>
      </c>
    </row>
    <row r="63" customFormat="false" ht="12" hidden="false" customHeight="false" outlineLevel="0" collapsed="false">
      <c r="A63" s="29" t="n">
        <v>46</v>
      </c>
      <c r="B63" s="45" t="n">
        <f aca="true">IF(RAND()&lt;$D$8,1,0)</f>
        <v>1</v>
      </c>
      <c r="C63" s="34" t="n">
        <f aca="true">-LN(RAND())/$D$2</f>
        <v>3.5344504813948</v>
      </c>
      <c r="D63" s="46" t="n">
        <f aca="false">D62+C63</f>
        <v>59.8986532162054</v>
      </c>
      <c r="E63" s="47" t="e">
        <f aca="false">MAX($D$3,(1+P62-VLOOKUP(VALUE(D63),$J$18:$Q62,7,TRUE()))*$D$3)</f>
        <v>#N/A</v>
      </c>
      <c r="F63" s="47" t="e">
        <f aca="false">MAX($D$4,(1+Q62-VLOOKUP(VALUE(D63),$M$18:$Q62,5,TRUE()))*$D$4)</f>
        <v>#N/A</v>
      </c>
      <c r="G63" s="48" t="n">
        <v>0.5</v>
      </c>
      <c r="H63" s="46" t="e">
        <f aca="true">IF((B63=1),(IF((F63&lt;E63),1,(IF((F63=E63),(IF(RAND()&lt;G63,1,0)),0)))),(IF((RAND()&lt;G63),1,0)))</f>
        <v>#N/A</v>
      </c>
      <c r="I63" s="46" t="e">
        <f aca="true">IF((H63=1),0,$D$3+$D$5*(RAND()-0.5))</f>
        <v>#N/A</v>
      </c>
      <c r="J63" s="46" t="e">
        <f aca="false">I63+MAX(D63,J62)</f>
        <v>#N/A</v>
      </c>
      <c r="K63" s="46" t="e">
        <f aca="false">IF((H63=0),J63-D63,0)</f>
        <v>#N/A</v>
      </c>
      <c r="L63" s="46" t="e">
        <f aca="true">IF(($H63=0),0,$D$4+$D$5*(RAND()-0.5))</f>
        <v>#N/A</v>
      </c>
      <c r="M63" s="46" t="e">
        <f aca="false">L63+MAX(D63,M62)</f>
        <v>#N/A</v>
      </c>
      <c r="N63" s="46" t="e">
        <f aca="false">IF((H63=1),M63-D63,0)</f>
        <v>#N/A</v>
      </c>
      <c r="O63" s="29" t="n">
        <v>46</v>
      </c>
      <c r="P63" s="49" t="e">
        <f aca="false">IF((Arterial=0),P62+1,P62)</f>
        <v>#N/A</v>
      </c>
      <c r="Q63" s="49" t="e">
        <f aca="false">IF((Arterial=1),Q62+1,Q62)</f>
        <v>#N/A</v>
      </c>
      <c r="R63" s="50" t="n">
        <f aca="false">IF((RESET=1),0,R63+K63)</f>
        <v>0</v>
      </c>
      <c r="S63" s="19" t="n">
        <f aca="false">IF(RESET=1,0,S63+N63)</f>
        <v>0</v>
      </c>
      <c r="T63" s="0" t="n">
        <f aca="false">IF(RESET=1,0,T63+IF(H63=0,1,0))</f>
        <v>0</v>
      </c>
      <c r="U63" s="0" t="n">
        <f aca="false">IF(RESET=1,0,U63+H63)</f>
        <v>0</v>
      </c>
      <c r="V63" s="19" t="n">
        <f aca="false">R63/(T63+0.00001)</f>
        <v>0</v>
      </c>
      <c r="W63" s="19" t="n">
        <f aca="false">S63/(U63+0.0001)</f>
        <v>0</v>
      </c>
      <c r="X63" s="47" t="e">
        <f aca="false">IF(Informed=1,K63,0)</f>
        <v>#N/A</v>
      </c>
      <c r="Y63" s="47" t="n">
        <f aca="false">IF(Informed=0,K63,0)</f>
        <v>0</v>
      </c>
      <c r="Z63" s="47" t="e">
        <f aca="false">IF(Informed=1,N63,0)</f>
        <v>#N/A</v>
      </c>
      <c r="AA63" s="47" t="n">
        <f aca="false">IF(Informed=0,N63,0)</f>
        <v>0</v>
      </c>
      <c r="AB63" s="51" t="e">
        <f aca="false">IF(Arterial=0,IF(Informed=1,1,0),0)</f>
        <v>#N/A</v>
      </c>
      <c r="AC63" s="51" t="e">
        <f aca="false">IF(Arterial=0,IF(Informed=0,1,0),0)</f>
        <v>#N/A</v>
      </c>
      <c r="AD63" s="51" t="e">
        <f aca="false">IF(Arterial=1,IF(Informed=1,1,0),0)</f>
        <v>#N/A</v>
      </c>
      <c r="AE63" s="51" t="e">
        <f aca="false">IF(Arterial=1,IF(Informed=0,1,0),0)</f>
        <v>#N/A</v>
      </c>
      <c r="AF63" s="44" t="e">
        <f aca="false">IF(AB63=1,(X63-G$1030)^2,0)</f>
        <v>#N/A</v>
      </c>
      <c r="AG63" s="44" t="e">
        <f aca="false">IF(AC63=1,(Y63-H$1030)^2,0)</f>
        <v>#N/A</v>
      </c>
      <c r="AH63" s="44" t="e">
        <f aca="false">IF(AD63=1,(Z63-I$1030)^2,0)</f>
        <v>#N/A</v>
      </c>
      <c r="AI63" s="44" t="e">
        <f aca="false">IF(AE63=1,(AA63-J$1030)^2,0)</f>
        <v>#N/A</v>
      </c>
    </row>
    <row r="64" customFormat="false" ht="12" hidden="false" customHeight="false" outlineLevel="0" collapsed="false">
      <c r="A64" s="29" t="n">
        <v>47</v>
      </c>
      <c r="B64" s="45" t="n">
        <f aca="true">IF(RAND()&lt;$D$8,1,0)</f>
        <v>1</v>
      </c>
      <c r="C64" s="34" t="n">
        <f aca="true">-LN(RAND())/$D$2</f>
        <v>0.702700012218594</v>
      </c>
      <c r="D64" s="46" t="n">
        <f aca="false">D63+C64</f>
        <v>60.601353228424</v>
      </c>
      <c r="E64" s="47" t="e">
        <f aca="false">MAX($D$3,(1+P63-VLOOKUP(VALUE(D64),$J$18:$Q63,7,TRUE()))*$D$3)</f>
        <v>#N/A</v>
      </c>
      <c r="F64" s="47" t="e">
        <f aca="false">MAX($D$4,(1+Q63-VLOOKUP(VALUE(D64),$M$18:$Q63,5,TRUE()))*$D$4)</f>
        <v>#N/A</v>
      </c>
      <c r="G64" s="48" t="n">
        <v>0.5</v>
      </c>
      <c r="H64" s="46" t="e">
        <f aca="true">IF((B64=1),(IF((F64&lt;E64),1,(IF((F64=E64),(IF(RAND()&lt;G64,1,0)),0)))),(IF((RAND()&lt;G64),1,0)))</f>
        <v>#N/A</v>
      </c>
      <c r="I64" s="46" t="e">
        <f aca="true">IF((H64=1),0,$D$3+$D$5*(RAND()-0.5))</f>
        <v>#N/A</v>
      </c>
      <c r="J64" s="46" t="e">
        <f aca="false">I64+MAX(D64,J63)</f>
        <v>#N/A</v>
      </c>
      <c r="K64" s="46" t="e">
        <f aca="false">IF((H64=0),J64-D64,0)</f>
        <v>#N/A</v>
      </c>
      <c r="L64" s="46" t="e">
        <f aca="true">IF(($H64=0),0,$D$4+$D$5*(RAND()-0.5))</f>
        <v>#N/A</v>
      </c>
      <c r="M64" s="46" t="e">
        <f aca="false">L64+MAX(D64,M63)</f>
        <v>#N/A</v>
      </c>
      <c r="N64" s="46" t="e">
        <f aca="false">IF((H64=1),M64-D64,0)</f>
        <v>#N/A</v>
      </c>
      <c r="O64" s="29" t="n">
        <v>47</v>
      </c>
      <c r="P64" s="49" t="e">
        <f aca="false">IF((Arterial=0),P63+1,P63)</f>
        <v>#N/A</v>
      </c>
      <c r="Q64" s="49" t="e">
        <f aca="false">IF((Arterial=1),Q63+1,Q63)</f>
        <v>#N/A</v>
      </c>
      <c r="R64" s="50" t="n">
        <f aca="false">IF((RESET=1),0,R64+K64)</f>
        <v>0</v>
      </c>
      <c r="S64" s="19" t="n">
        <f aca="false">IF(RESET=1,0,S64+N64)</f>
        <v>0</v>
      </c>
      <c r="T64" s="0" t="n">
        <f aca="false">IF(RESET=1,0,T64+IF(H64=0,1,0))</f>
        <v>0</v>
      </c>
      <c r="U64" s="0" t="n">
        <f aca="false">IF(RESET=1,0,U64+H64)</f>
        <v>0</v>
      </c>
      <c r="V64" s="19" t="n">
        <f aca="false">R64/(T64+0.00001)</f>
        <v>0</v>
      </c>
      <c r="W64" s="19" t="n">
        <f aca="false">S64/(U64+0.0001)</f>
        <v>0</v>
      </c>
      <c r="X64" s="47" t="e">
        <f aca="false">IF(Informed=1,K64,0)</f>
        <v>#N/A</v>
      </c>
      <c r="Y64" s="47" t="n">
        <f aca="false">IF(Informed=0,K64,0)</f>
        <v>0</v>
      </c>
      <c r="Z64" s="47" t="e">
        <f aca="false">IF(Informed=1,N64,0)</f>
        <v>#N/A</v>
      </c>
      <c r="AA64" s="47" t="n">
        <f aca="false">IF(Informed=0,N64,0)</f>
        <v>0</v>
      </c>
      <c r="AB64" s="51" t="e">
        <f aca="false">IF(Arterial=0,IF(Informed=1,1,0),0)</f>
        <v>#N/A</v>
      </c>
      <c r="AC64" s="51" t="e">
        <f aca="false">IF(Arterial=0,IF(Informed=0,1,0),0)</f>
        <v>#N/A</v>
      </c>
      <c r="AD64" s="51" t="e">
        <f aca="false">IF(Arterial=1,IF(Informed=1,1,0),0)</f>
        <v>#N/A</v>
      </c>
      <c r="AE64" s="51" t="e">
        <f aca="false">IF(Arterial=1,IF(Informed=0,1,0),0)</f>
        <v>#N/A</v>
      </c>
      <c r="AF64" s="44" t="e">
        <f aca="false">IF(AB64=1,(X64-G$1030)^2,0)</f>
        <v>#N/A</v>
      </c>
      <c r="AG64" s="44" t="e">
        <f aca="false">IF(AC64=1,(Y64-H$1030)^2,0)</f>
        <v>#N/A</v>
      </c>
      <c r="AH64" s="44" t="e">
        <f aca="false">IF(AD64=1,(Z64-I$1030)^2,0)</f>
        <v>#N/A</v>
      </c>
      <c r="AI64" s="44" t="e">
        <f aca="false">IF(AE64=1,(AA64-J$1030)^2,0)</f>
        <v>#N/A</v>
      </c>
    </row>
    <row r="65" customFormat="false" ht="12" hidden="false" customHeight="false" outlineLevel="0" collapsed="false">
      <c r="A65" s="29" t="n">
        <v>48</v>
      </c>
      <c r="B65" s="45" t="n">
        <f aca="true">IF(RAND()&lt;$D$8,1,0)</f>
        <v>1</v>
      </c>
      <c r="C65" s="34" t="n">
        <f aca="true">-LN(RAND())/$D$2</f>
        <v>2.00829282596692</v>
      </c>
      <c r="D65" s="46" t="n">
        <f aca="false">D64+C65</f>
        <v>62.6096460543909</v>
      </c>
      <c r="E65" s="47" t="e">
        <f aca="false">MAX($D$3,(1+P64-VLOOKUP(VALUE(D65),$J$18:$Q64,7,TRUE()))*$D$3)</f>
        <v>#N/A</v>
      </c>
      <c r="F65" s="47" t="e">
        <f aca="false">MAX($D$4,(1+Q64-VLOOKUP(VALUE(D65),$M$18:$Q64,5,TRUE()))*$D$4)</f>
        <v>#N/A</v>
      </c>
      <c r="G65" s="48" t="n">
        <v>0.5</v>
      </c>
      <c r="H65" s="46" t="e">
        <f aca="true">IF((B65=1),(IF((F65&lt;E65),1,(IF((F65=E65),(IF(RAND()&lt;G65,1,0)),0)))),(IF((RAND()&lt;G65),1,0)))</f>
        <v>#N/A</v>
      </c>
      <c r="I65" s="46" t="e">
        <f aca="true">IF((H65=1),0,$D$3+$D$5*(RAND()-0.5))</f>
        <v>#N/A</v>
      </c>
      <c r="J65" s="46" t="e">
        <f aca="false">I65+MAX(D65,J64)</f>
        <v>#N/A</v>
      </c>
      <c r="K65" s="46" t="e">
        <f aca="false">IF((H65=0),J65-D65,0)</f>
        <v>#N/A</v>
      </c>
      <c r="L65" s="46" t="e">
        <f aca="true">IF(($H65=0),0,$D$4+$D$5*(RAND()-0.5))</f>
        <v>#N/A</v>
      </c>
      <c r="M65" s="46" t="e">
        <f aca="false">L65+MAX(D65,M64)</f>
        <v>#N/A</v>
      </c>
      <c r="N65" s="46" t="e">
        <f aca="false">IF((H65=1),M65-D65,0)</f>
        <v>#N/A</v>
      </c>
      <c r="O65" s="29" t="n">
        <v>48</v>
      </c>
      <c r="P65" s="49" t="e">
        <f aca="false">IF((Arterial=0),P64+1,P64)</f>
        <v>#N/A</v>
      </c>
      <c r="Q65" s="49" t="e">
        <f aca="false">IF((Arterial=1),Q64+1,Q64)</f>
        <v>#N/A</v>
      </c>
      <c r="R65" s="50" t="n">
        <f aca="false">IF((RESET=1),0,R65+K65)</f>
        <v>0</v>
      </c>
      <c r="S65" s="19" t="n">
        <f aca="false">IF(RESET=1,0,S65+N65)</f>
        <v>0</v>
      </c>
      <c r="T65" s="0" t="n">
        <f aca="false">IF(RESET=1,0,T65+IF(H65=0,1,0))</f>
        <v>0</v>
      </c>
      <c r="U65" s="0" t="n">
        <f aca="false">IF(RESET=1,0,U65+H65)</f>
        <v>0</v>
      </c>
      <c r="V65" s="19" t="n">
        <f aca="false">R65/(T65+0.00001)</f>
        <v>0</v>
      </c>
      <c r="W65" s="19" t="n">
        <f aca="false">S65/(U65+0.0001)</f>
        <v>0</v>
      </c>
      <c r="X65" s="47" t="e">
        <f aca="false">IF(Informed=1,K65,0)</f>
        <v>#N/A</v>
      </c>
      <c r="Y65" s="47" t="n">
        <f aca="false">IF(Informed=0,K65,0)</f>
        <v>0</v>
      </c>
      <c r="Z65" s="47" t="e">
        <f aca="false">IF(Informed=1,N65,0)</f>
        <v>#N/A</v>
      </c>
      <c r="AA65" s="47" t="n">
        <f aca="false">IF(Informed=0,N65,0)</f>
        <v>0</v>
      </c>
      <c r="AB65" s="51" t="e">
        <f aca="false">IF(Arterial=0,IF(Informed=1,1,0),0)</f>
        <v>#N/A</v>
      </c>
      <c r="AC65" s="51" t="e">
        <f aca="false">IF(Arterial=0,IF(Informed=0,1,0),0)</f>
        <v>#N/A</v>
      </c>
      <c r="AD65" s="51" t="e">
        <f aca="false">IF(Arterial=1,IF(Informed=1,1,0),0)</f>
        <v>#N/A</v>
      </c>
      <c r="AE65" s="51" t="e">
        <f aca="false">IF(Arterial=1,IF(Informed=0,1,0),0)</f>
        <v>#N/A</v>
      </c>
      <c r="AF65" s="44" t="e">
        <f aca="false">IF(AB65=1,(X65-G$1030)^2,0)</f>
        <v>#N/A</v>
      </c>
      <c r="AG65" s="44" t="e">
        <f aca="false">IF(AC65=1,(Y65-H$1030)^2,0)</f>
        <v>#N/A</v>
      </c>
      <c r="AH65" s="44" t="e">
        <f aca="false">IF(AD65=1,(Z65-I$1030)^2,0)</f>
        <v>#N/A</v>
      </c>
      <c r="AI65" s="44" t="e">
        <f aca="false">IF(AE65=1,(AA65-J$1030)^2,0)</f>
        <v>#N/A</v>
      </c>
    </row>
    <row r="66" customFormat="false" ht="12" hidden="false" customHeight="false" outlineLevel="0" collapsed="false">
      <c r="A66" s="29" t="n">
        <v>49</v>
      </c>
      <c r="B66" s="45" t="n">
        <f aca="true">IF(RAND()&lt;$D$8,1,0)</f>
        <v>1</v>
      </c>
      <c r="C66" s="34" t="n">
        <f aca="true">-LN(RAND())/$D$2</f>
        <v>3.54082128702138</v>
      </c>
      <c r="D66" s="46" t="n">
        <f aca="false">D65+C66</f>
        <v>66.1504673414123</v>
      </c>
      <c r="E66" s="47" t="e">
        <f aca="false">MAX($D$3,(1+P65-VLOOKUP(VALUE(D66),$J$18:$Q65,7,TRUE()))*$D$3)</f>
        <v>#N/A</v>
      </c>
      <c r="F66" s="47" t="e">
        <f aca="false">MAX($D$4,(1+Q65-VLOOKUP(VALUE(D66),$M$18:$Q65,5,TRUE()))*$D$4)</f>
        <v>#N/A</v>
      </c>
      <c r="G66" s="48" t="n">
        <v>0.5</v>
      </c>
      <c r="H66" s="46" t="e">
        <f aca="true">IF((B66=1),(IF((F66&lt;E66),1,(IF((F66=E66),(IF(RAND()&lt;G66,1,0)),0)))),(IF((RAND()&lt;G66),1,0)))</f>
        <v>#N/A</v>
      </c>
      <c r="I66" s="46" t="e">
        <f aca="true">IF((H66=1),0,$D$3+$D$5*(RAND()-0.5))</f>
        <v>#N/A</v>
      </c>
      <c r="J66" s="46" t="e">
        <f aca="false">I66+MAX(D66,J65)</f>
        <v>#N/A</v>
      </c>
      <c r="K66" s="46" t="e">
        <f aca="false">IF((H66=0),J66-D66,0)</f>
        <v>#N/A</v>
      </c>
      <c r="L66" s="46" t="e">
        <f aca="true">IF(($H66=0),0,$D$4+$D$5*(RAND()-0.5))</f>
        <v>#N/A</v>
      </c>
      <c r="M66" s="46" t="e">
        <f aca="false">L66+MAX(D66,M65)</f>
        <v>#N/A</v>
      </c>
      <c r="N66" s="46" t="e">
        <f aca="false">IF((H66=1),M66-D66,0)</f>
        <v>#N/A</v>
      </c>
      <c r="O66" s="29" t="n">
        <v>49</v>
      </c>
      <c r="P66" s="49" t="e">
        <f aca="false">IF((Arterial=0),P65+1,P65)</f>
        <v>#N/A</v>
      </c>
      <c r="Q66" s="49" t="e">
        <f aca="false">IF((Arterial=1),Q65+1,Q65)</f>
        <v>#N/A</v>
      </c>
      <c r="R66" s="50" t="n">
        <f aca="false">IF((RESET=1),0,R66+K66)</f>
        <v>0</v>
      </c>
      <c r="S66" s="19" t="n">
        <f aca="false">IF(RESET=1,0,S66+N66)</f>
        <v>0</v>
      </c>
      <c r="T66" s="0" t="n">
        <f aca="false">IF(RESET=1,0,T66+IF(H66=0,1,0))</f>
        <v>0</v>
      </c>
      <c r="U66" s="0" t="n">
        <f aca="false">IF(RESET=1,0,U66+H66)</f>
        <v>0</v>
      </c>
      <c r="V66" s="19" t="n">
        <f aca="false">R66/(T66+0.00001)</f>
        <v>0</v>
      </c>
      <c r="W66" s="19" t="n">
        <f aca="false">S66/(U66+0.0001)</f>
        <v>0</v>
      </c>
      <c r="X66" s="47" t="e">
        <f aca="false">IF(Informed=1,K66,0)</f>
        <v>#N/A</v>
      </c>
      <c r="Y66" s="47" t="n">
        <f aca="false">IF(Informed=0,K66,0)</f>
        <v>0</v>
      </c>
      <c r="Z66" s="47" t="e">
        <f aca="false">IF(Informed=1,N66,0)</f>
        <v>#N/A</v>
      </c>
      <c r="AA66" s="47" t="n">
        <f aca="false">IF(Informed=0,N66,0)</f>
        <v>0</v>
      </c>
      <c r="AB66" s="51" t="e">
        <f aca="false">IF(Arterial=0,IF(Informed=1,1,0),0)</f>
        <v>#N/A</v>
      </c>
      <c r="AC66" s="51" t="e">
        <f aca="false">IF(Arterial=0,IF(Informed=0,1,0),0)</f>
        <v>#N/A</v>
      </c>
      <c r="AD66" s="51" t="e">
        <f aca="false">IF(Arterial=1,IF(Informed=1,1,0),0)</f>
        <v>#N/A</v>
      </c>
      <c r="AE66" s="51" t="e">
        <f aca="false">IF(Arterial=1,IF(Informed=0,1,0),0)</f>
        <v>#N/A</v>
      </c>
      <c r="AF66" s="44" t="e">
        <f aca="false">IF(AB66=1,(X66-G$1030)^2,0)</f>
        <v>#N/A</v>
      </c>
      <c r="AG66" s="44" t="e">
        <f aca="false">IF(AC66=1,(Y66-H$1030)^2,0)</f>
        <v>#N/A</v>
      </c>
      <c r="AH66" s="44" t="e">
        <f aca="false">IF(AD66=1,(Z66-I$1030)^2,0)</f>
        <v>#N/A</v>
      </c>
      <c r="AI66" s="44" t="e">
        <f aca="false">IF(AE66=1,(AA66-J$1030)^2,0)</f>
        <v>#N/A</v>
      </c>
    </row>
    <row r="67" customFormat="false" ht="12" hidden="false" customHeight="false" outlineLevel="0" collapsed="false">
      <c r="A67" s="29" t="n">
        <v>50</v>
      </c>
      <c r="B67" s="45" t="n">
        <f aca="true">IF(RAND()&lt;$D$8,1,0)</f>
        <v>1</v>
      </c>
      <c r="C67" s="34" t="n">
        <f aca="true">-LN(RAND())/$D$2</f>
        <v>4.80526875507783</v>
      </c>
      <c r="D67" s="46" t="n">
        <f aca="false">D66+C67</f>
        <v>70.9557360964901</v>
      </c>
      <c r="E67" s="47" t="e">
        <f aca="false">MAX($D$3,(1+P66-VLOOKUP(VALUE(D67),$J$18:$Q66,7,TRUE()))*$D$3)</f>
        <v>#N/A</v>
      </c>
      <c r="F67" s="47" t="e">
        <f aca="false">MAX($D$4,(1+Q66-VLOOKUP(VALUE(D67),$M$18:$Q66,5,TRUE()))*$D$4)</f>
        <v>#N/A</v>
      </c>
      <c r="G67" s="48" t="n">
        <v>0.5</v>
      </c>
      <c r="H67" s="46" t="e">
        <f aca="true">IF((B67=1),(IF((F67&lt;E67),1,(IF((F67=E67),(IF(RAND()&lt;G67,1,0)),0)))),(IF((RAND()&lt;G67),1,0)))</f>
        <v>#N/A</v>
      </c>
      <c r="I67" s="46" t="e">
        <f aca="true">IF((H67=1),0,$D$3+$D$5*(RAND()-0.5))</f>
        <v>#N/A</v>
      </c>
      <c r="J67" s="46" t="e">
        <f aca="false">I67+MAX(D67,J66)</f>
        <v>#N/A</v>
      </c>
      <c r="K67" s="46" t="e">
        <f aca="false">IF((H67=0),J67-D67,0)</f>
        <v>#N/A</v>
      </c>
      <c r="L67" s="46" t="e">
        <f aca="true">IF(($H67=0),0,$D$4+$D$5*(RAND()-0.5))</f>
        <v>#N/A</v>
      </c>
      <c r="M67" s="46" t="e">
        <f aca="false">L67+MAX(D67,M66)</f>
        <v>#N/A</v>
      </c>
      <c r="N67" s="46" t="e">
        <f aca="false">IF((H67=1),M67-D67,0)</f>
        <v>#N/A</v>
      </c>
      <c r="O67" s="29" t="n">
        <v>50</v>
      </c>
      <c r="P67" s="49" t="e">
        <f aca="false">IF((Arterial=0),P66+1,P66)</f>
        <v>#N/A</v>
      </c>
      <c r="Q67" s="49" t="e">
        <f aca="false">IF((Arterial=1),Q66+1,Q66)</f>
        <v>#N/A</v>
      </c>
      <c r="R67" s="50" t="n">
        <f aca="false">IF((RESET=1),0,R67+K67)</f>
        <v>0</v>
      </c>
      <c r="S67" s="19" t="n">
        <f aca="false">IF(RESET=1,0,S67+N67)</f>
        <v>0</v>
      </c>
      <c r="T67" s="0" t="n">
        <f aca="false">IF(RESET=1,0,T67+IF(H67=0,1,0))</f>
        <v>0</v>
      </c>
      <c r="U67" s="0" t="n">
        <f aca="false">IF(RESET=1,0,U67+H67)</f>
        <v>0</v>
      </c>
      <c r="V67" s="19" t="n">
        <f aca="false">R67/(T67+0.00001)</f>
        <v>0</v>
      </c>
      <c r="W67" s="19" t="n">
        <f aca="false">S67/(U67+0.0001)</f>
        <v>0</v>
      </c>
      <c r="X67" s="47" t="e">
        <f aca="false">IF(Informed=1,K67,0)</f>
        <v>#N/A</v>
      </c>
      <c r="Y67" s="47" t="n">
        <f aca="false">IF(Informed=0,K67,0)</f>
        <v>0</v>
      </c>
      <c r="Z67" s="47" t="e">
        <f aca="false">IF(Informed=1,N67,0)</f>
        <v>#N/A</v>
      </c>
      <c r="AA67" s="47" t="n">
        <f aca="false">IF(Informed=0,N67,0)</f>
        <v>0</v>
      </c>
      <c r="AB67" s="51" t="e">
        <f aca="false">IF(Arterial=0,IF(Informed=1,1,0),0)</f>
        <v>#N/A</v>
      </c>
      <c r="AC67" s="51" t="e">
        <f aca="false">IF(Arterial=0,IF(Informed=0,1,0),0)</f>
        <v>#N/A</v>
      </c>
      <c r="AD67" s="51" t="e">
        <f aca="false">IF(Arterial=1,IF(Informed=1,1,0),0)</f>
        <v>#N/A</v>
      </c>
      <c r="AE67" s="51" t="e">
        <f aca="false">IF(Arterial=1,IF(Informed=0,1,0),0)</f>
        <v>#N/A</v>
      </c>
      <c r="AF67" s="44" t="e">
        <f aca="false">IF(AB67=1,(X67-G$1030)^2,0)</f>
        <v>#N/A</v>
      </c>
      <c r="AG67" s="44" t="e">
        <f aca="false">IF(AC67=1,(Y67-H$1030)^2,0)</f>
        <v>#N/A</v>
      </c>
      <c r="AH67" s="44" t="e">
        <f aca="false">IF(AD67=1,(Z67-I$1030)^2,0)</f>
        <v>#N/A</v>
      </c>
      <c r="AI67" s="44" t="e">
        <f aca="false">IF(AE67=1,(AA67-J$1030)^2,0)</f>
        <v>#N/A</v>
      </c>
    </row>
    <row r="68" customFormat="false" ht="12" hidden="false" customHeight="false" outlineLevel="0" collapsed="false">
      <c r="A68" s="29" t="n">
        <v>51</v>
      </c>
      <c r="B68" s="45" t="n">
        <f aca="true">IF(RAND()&lt;$D$8,1,0)</f>
        <v>1</v>
      </c>
      <c r="C68" s="34" t="n">
        <f aca="true">-LN(RAND())/$D$2</f>
        <v>1.47869461184433</v>
      </c>
      <c r="D68" s="46" t="n">
        <f aca="false">D67+C68</f>
        <v>72.4344307083344</v>
      </c>
      <c r="E68" s="47" t="e">
        <f aca="false">MAX($D$3,(1+P67-VLOOKUP(VALUE(D68),$J$18:$Q67,7,TRUE()))*$D$3)</f>
        <v>#N/A</v>
      </c>
      <c r="F68" s="47" t="e">
        <f aca="false">MAX($D$4,(1+Q67-VLOOKUP(VALUE(D68),$M$18:$Q67,5,TRUE()))*$D$4)</f>
        <v>#N/A</v>
      </c>
      <c r="G68" s="48" t="n">
        <v>0.5</v>
      </c>
      <c r="H68" s="46" t="e">
        <f aca="true">IF((B68=1),(IF((F68&lt;E68),1,(IF((F68=E68),(IF(RAND()&lt;G68,1,0)),0)))),(IF((RAND()&lt;G68),1,0)))</f>
        <v>#N/A</v>
      </c>
      <c r="I68" s="46" t="e">
        <f aca="true">IF((H68=1),0,$D$3+$D$5*(RAND()-0.5))</f>
        <v>#N/A</v>
      </c>
      <c r="J68" s="46" t="e">
        <f aca="false">I68+MAX(D68,J67)</f>
        <v>#N/A</v>
      </c>
      <c r="K68" s="46" t="e">
        <f aca="false">IF((H68=0),J68-D68,0)</f>
        <v>#N/A</v>
      </c>
      <c r="L68" s="46" t="e">
        <f aca="true">IF(($H68=0),0,$D$4+$D$5*(RAND()-0.5))</f>
        <v>#N/A</v>
      </c>
      <c r="M68" s="46" t="e">
        <f aca="false">L68+MAX(D68,M67)</f>
        <v>#N/A</v>
      </c>
      <c r="N68" s="46" t="e">
        <f aca="false">IF((H68=1),M68-D68,0)</f>
        <v>#N/A</v>
      </c>
      <c r="O68" s="29" t="n">
        <v>51</v>
      </c>
      <c r="P68" s="49" t="e">
        <f aca="false">IF((Arterial=0),P67+1,P67)</f>
        <v>#N/A</v>
      </c>
      <c r="Q68" s="49" t="e">
        <f aca="false">IF((Arterial=1),Q67+1,Q67)</f>
        <v>#N/A</v>
      </c>
      <c r="R68" s="50" t="n">
        <f aca="false">IF((RESET=1),0,R68+K68)</f>
        <v>0</v>
      </c>
      <c r="S68" s="19" t="n">
        <f aca="false">IF(RESET=1,0,S68+N68)</f>
        <v>0</v>
      </c>
      <c r="T68" s="0" t="n">
        <f aca="false">IF(RESET=1,0,T68+IF(H68=0,1,0))</f>
        <v>0</v>
      </c>
      <c r="U68" s="0" t="n">
        <f aca="false">IF(RESET=1,0,U68+H68)</f>
        <v>0</v>
      </c>
      <c r="V68" s="19" t="n">
        <f aca="false">R68/(T68+0.00001)</f>
        <v>0</v>
      </c>
      <c r="W68" s="19" t="n">
        <f aca="false">S68/(U68+0.0001)</f>
        <v>0</v>
      </c>
      <c r="X68" s="47" t="e">
        <f aca="false">IF(Informed=1,K68,0)</f>
        <v>#N/A</v>
      </c>
      <c r="Y68" s="47" t="n">
        <f aca="false">IF(Informed=0,K68,0)</f>
        <v>0</v>
      </c>
      <c r="Z68" s="47" t="e">
        <f aca="false">IF(Informed=1,N68,0)</f>
        <v>#N/A</v>
      </c>
      <c r="AA68" s="47" t="n">
        <f aca="false">IF(Informed=0,N68,0)</f>
        <v>0</v>
      </c>
      <c r="AB68" s="51" t="e">
        <f aca="false">IF(Arterial=0,IF(Informed=1,1,0),0)</f>
        <v>#N/A</v>
      </c>
      <c r="AC68" s="51" t="e">
        <f aca="false">IF(Arterial=0,IF(Informed=0,1,0),0)</f>
        <v>#N/A</v>
      </c>
      <c r="AD68" s="51" t="e">
        <f aca="false">IF(Arterial=1,IF(Informed=1,1,0),0)</f>
        <v>#N/A</v>
      </c>
      <c r="AE68" s="51" t="e">
        <f aca="false">IF(Arterial=1,IF(Informed=0,1,0),0)</f>
        <v>#N/A</v>
      </c>
      <c r="AF68" s="44" t="e">
        <f aca="false">IF(AB68=1,(X68-G$1030)^2,0)</f>
        <v>#N/A</v>
      </c>
      <c r="AG68" s="44" t="e">
        <f aca="false">IF(AC68=1,(Y68-H$1030)^2,0)</f>
        <v>#N/A</v>
      </c>
      <c r="AH68" s="44" t="e">
        <f aca="false">IF(AD68=1,(Z68-I$1030)^2,0)</f>
        <v>#N/A</v>
      </c>
      <c r="AI68" s="44" t="e">
        <f aca="false">IF(AE68=1,(AA68-J$1030)^2,0)</f>
        <v>#N/A</v>
      </c>
    </row>
    <row r="69" customFormat="false" ht="12" hidden="false" customHeight="false" outlineLevel="0" collapsed="false">
      <c r="A69" s="29" t="n">
        <v>52</v>
      </c>
      <c r="B69" s="45" t="n">
        <f aca="true">IF(RAND()&lt;$D$8,1,0)</f>
        <v>1</v>
      </c>
      <c r="C69" s="34" t="n">
        <f aca="true">-LN(RAND())/$D$2</f>
        <v>3.07342940849356</v>
      </c>
      <c r="D69" s="46" t="n">
        <f aca="false">D68+C69</f>
        <v>75.507860116828</v>
      </c>
      <c r="E69" s="47" t="e">
        <f aca="false">MAX($D$3,(1+P68-VLOOKUP(VALUE(D69),$J$18:$Q68,7,TRUE()))*$D$3)</f>
        <v>#N/A</v>
      </c>
      <c r="F69" s="47" t="e">
        <f aca="false">MAX($D$4,(1+Q68-VLOOKUP(VALUE(D69),$M$18:$Q68,5,TRUE()))*$D$4)</f>
        <v>#N/A</v>
      </c>
      <c r="G69" s="48" t="n">
        <v>0.5</v>
      </c>
      <c r="H69" s="46" t="e">
        <f aca="true">IF((B69=1),(IF((F69&lt;E69),1,(IF((F69=E69),(IF(RAND()&lt;G69,1,0)),0)))),(IF((RAND()&lt;G69),1,0)))</f>
        <v>#N/A</v>
      </c>
      <c r="I69" s="46" t="e">
        <f aca="true">IF((H69=1),0,$D$3+$D$5*(RAND()-0.5))</f>
        <v>#N/A</v>
      </c>
      <c r="J69" s="46" t="e">
        <f aca="false">I69+MAX(D69,J68)</f>
        <v>#N/A</v>
      </c>
      <c r="K69" s="46" t="e">
        <f aca="false">IF((H69=0),J69-D69,0)</f>
        <v>#N/A</v>
      </c>
      <c r="L69" s="46" t="e">
        <f aca="true">IF(($H69=0),0,$D$4+$D$5*(RAND()-0.5))</f>
        <v>#N/A</v>
      </c>
      <c r="M69" s="46" t="e">
        <f aca="false">L69+MAX(D69,M68)</f>
        <v>#N/A</v>
      </c>
      <c r="N69" s="46" t="e">
        <f aca="false">IF((H69=1),M69-D69,0)</f>
        <v>#N/A</v>
      </c>
      <c r="O69" s="29" t="n">
        <v>52</v>
      </c>
      <c r="P69" s="49" t="e">
        <f aca="false">IF((Arterial=0),P68+1,P68)</f>
        <v>#N/A</v>
      </c>
      <c r="Q69" s="49" t="e">
        <f aca="false">IF((Arterial=1),Q68+1,Q68)</f>
        <v>#N/A</v>
      </c>
      <c r="R69" s="50" t="n">
        <f aca="false">IF((RESET=1),0,R69+K69)</f>
        <v>0</v>
      </c>
      <c r="S69" s="19" t="n">
        <f aca="false">IF(RESET=1,0,S69+N69)</f>
        <v>0</v>
      </c>
      <c r="T69" s="0" t="n">
        <f aca="false">IF(RESET=1,0,T69+IF(H69=0,1,0))</f>
        <v>0</v>
      </c>
      <c r="U69" s="0" t="n">
        <f aca="false">IF(RESET=1,0,U69+H69)</f>
        <v>0</v>
      </c>
      <c r="V69" s="19" t="n">
        <f aca="false">R69/(T69+0.00001)</f>
        <v>0</v>
      </c>
      <c r="W69" s="19" t="n">
        <f aca="false">S69/(U69+0.0001)</f>
        <v>0</v>
      </c>
      <c r="X69" s="47" t="e">
        <f aca="false">IF(Informed=1,K69,0)</f>
        <v>#N/A</v>
      </c>
      <c r="Y69" s="47" t="n">
        <f aca="false">IF(Informed=0,K69,0)</f>
        <v>0</v>
      </c>
      <c r="Z69" s="47" t="e">
        <f aca="false">IF(Informed=1,N69,0)</f>
        <v>#N/A</v>
      </c>
      <c r="AA69" s="47" t="n">
        <f aca="false">IF(Informed=0,N69,0)</f>
        <v>0</v>
      </c>
      <c r="AB69" s="51" t="e">
        <f aca="false">IF(Arterial=0,IF(Informed=1,1,0),0)</f>
        <v>#N/A</v>
      </c>
      <c r="AC69" s="51" t="e">
        <f aca="false">IF(Arterial=0,IF(Informed=0,1,0),0)</f>
        <v>#N/A</v>
      </c>
      <c r="AD69" s="51" t="e">
        <f aca="false">IF(Arterial=1,IF(Informed=1,1,0),0)</f>
        <v>#N/A</v>
      </c>
      <c r="AE69" s="51" t="e">
        <f aca="false">IF(Arterial=1,IF(Informed=0,1,0),0)</f>
        <v>#N/A</v>
      </c>
      <c r="AF69" s="44" t="e">
        <f aca="false">IF(AB69=1,(X69-G$1030)^2,0)</f>
        <v>#N/A</v>
      </c>
      <c r="AG69" s="44" t="e">
        <f aca="false">IF(AC69=1,(Y69-H$1030)^2,0)</f>
        <v>#N/A</v>
      </c>
      <c r="AH69" s="44" t="e">
        <f aca="false">IF(AD69=1,(Z69-I$1030)^2,0)</f>
        <v>#N/A</v>
      </c>
      <c r="AI69" s="44" t="e">
        <f aca="false">IF(AE69=1,(AA69-J$1030)^2,0)</f>
        <v>#N/A</v>
      </c>
    </row>
    <row r="70" customFormat="false" ht="12" hidden="false" customHeight="false" outlineLevel="0" collapsed="false">
      <c r="A70" s="29" t="n">
        <v>53</v>
      </c>
      <c r="B70" s="45" t="n">
        <f aca="true">IF(RAND()&lt;$D$8,1,0)</f>
        <v>1</v>
      </c>
      <c r="C70" s="34" t="n">
        <f aca="true">-LN(RAND())/$D$2</f>
        <v>0.834676163883459</v>
      </c>
      <c r="D70" s="46" t="n">
        <f aca="false">D69+C70</f>
        <v>76.3425362807115</v>
      </c>
      <c r="E70" s="47" t="e">
        <f aca="false">MAX($D$3,(1+P69-VLOOKUP(VALUE(D70),$J$18:$Q69,7,TRUE()))*$D$3)</f>
        <v>#N/A</v>
      </c>
      <c r="F70" s="47" t="e">
        <f aca="false">MAX($D$4,(1+Q69-VLOOKUP(VALUE(D70),$M$18:$Q69,5,TRUE()))*$D$4)</f>
        <v>#N/A</v>
      </c>
      <c r="G70" s="48" t="n">
        <v>0.5</v>
      </c>
      <c r="H70" s="46" t="e">
        <f aca="true">IF((B70=1),(IF((F70&lt;E70),1,(IF((F70=E70),(IF(RAND()&lt;G70,1,0)),0)))),(IF((RAND()&lt;G70),1,0)))</f>
        <v>#N/A</v>
      </c>
      <c r="I70" s="46" t="e">
        <f aca="true">IF((H70=1),0,$D$3+$D$5*(RAND()-0.5))</f>
        <v>#N/A</v>
      </c>
      <c r="J70" s="46" t="e">
        <f aca="false">I70+MAX(D70,J69)</f>
        <v>#N/A</v>
      </c>
      <c r="K70" s="46" t="e">
        <f aca="false">IF((H70=0),J70-D70,0)</f>
        <v>#N/A</v>
      </c>
      <c r="L70" s="46" t="e">
        <f aca="true">IF(($H70=0),0,$D$4+$D$5*(RAND()-0.5))</f>
        <v>#N/A</v>
      </c>
      <c r="M70" s="46" t="e">
        <f aca="false">L70+MAX(D70,M69)</f>
        <v>#N/A</v>
      </c>
      <c r="N70" s="46" t="e">
        <f aca="false">IF((H70=1),M70-D70,0)</f>
        <v>#N/A</v>
      </c>
      <c r="O70" s="29" t="n">
        <v>53</v>
      </c>
      <c r="P70" s="49" t="e">
        <f aca="false">IF((Arterial=0),P69+1,P69)</f>
        <v>#N/A</v>
      </c>
      <c r="Q70" s="49" t="e">
        <f aca="false">IF((Arterial=1),Q69+1,Q69)</f>
        <v>#N/A</v>
      </c>
      <c r="R70" s="50" t="n">
        <f aca="false">IF((RESET=1),0,R70+K70)</f>
        <v>0</v>
      </c>
      <c r="S70" s="19" t="n">
        <f aca="false">IF(RESET=1,0,S70+N70)</f>
        <v>0</v>
      </c>
      <c r="T70" s="0" t="n">
        <f aca="false">IF(RESET=1,0,T70+IF(H70=0,1,0))</f>
        <v>0</v>
      </c>
      <c r="U70" s="0" t="n">
        <f aca="false">IF(RESET=1,0,U70+H70)</f>
        <v>0</v>
      </c>
      <c r="V70" s="19" t="n">
        <f aca="false">R70/(T70+0.00001)</f>
        <v>0</v>
      </c>
      <c r="W70" s="19" t="n">
        <f aca="false">S70/(U70+0.0001)</f>
        <v>0</v>
      </c>
      <c r="X70" s="47" t="e">
        <f aca="false">IF(Informed=1,K70,0)</f>
        <v>#N/A</v>
      </c>
      <c r="Y70" s="47" t="n">
        <f aca="false">IF(Informed=0,K70,0)</f>
        <v>0</v>
      </c>
      <c r="Z70" s="47" t="e">
        <f aca="false">IF(Informed=1,N70,0)</f>
        <v>#N/A</v>
      </c>
      <c r="AA70" s="47" t="n">
        <f aca="false">IF(Informed=0,N70,0)</f>
        <v>0</v>
      </c>
      <c r="AB70" s="51" t="e">
        <f aca="false">IF(Arterial=0,IF(Informed=1,1,0),0)</f>
        <v>#N/A</v>
      </c>
      <c r="AC70" s="51" t="e">
        <f aca="false">IF(Arterial=0,IF(Informed=0,1,0),0)</f>
        <v>#N/A</v>
      </c>
      <c r="AD70" s="51" t="e">
        <f aca="false">IF(Arterial=1,IF(Informed=1,1,0),0)</f>
        <v>#N/A</v>
      </c>
      <c r="AE70" s="51" t="e">
        <f aca="false">IF(Arterial=1,IF(Informed=0,1,0),0)</f>
        <v>#N/A</v>
      </c>
      <c r="AF70" s="44" t="e">
        <f aca="false">IF(AB70=1,(X70-G$1030)^2,0)</f>
        <v>#N/A</v>
      </c>
      <c r="AG70" s="44" t="e">
        <f aca="false">IF(AC70=1,(Y70-H$1030)^2,0)</f>
        <v>#N/A</v>
      </c>
      <c r="AH70" s="44" t="e">
        <f aca="false">IF(AD70=1,(Z70-I$1030)^2,0)</f>
        <v>#N/A</v>
      </c>
      <c r="AI70" s="44" t="e">
        <f aca="false">IF(AE70=1,(AA70-J$1030)^2,0)</f>
        <v>#N/A</v>
      </c>
    </row>
    <row r="71" customFormat="false" ht="12" hidden="false" customHeight="false" outlineLevel="0" collapsed="false">
      <c r="A71" s="29" t="n">
        <v>54</v>
      </c>
      <c r="B71" s="45" t="n">
        <f aca="true">IF(RAND()&lt;$D$8,1,0)</f>
        <v>1</v>
      </c>
      <c r="C71" s="34" t="n">
        <f aca="true">-LN(RAND())/$D$2</f>
        <v>4.59754312945802</v>
      </c>
      <c r="D71" s="46" t="n">
        <f aca="false">D70+C71</f>
        <v>80.9400794101695</v>
      </c>
      <c r="E71" s="47" t="e">
        <f aca="false">MAX($D$3,(1+P70-VLOOKUP(VALUE(D71),$J$18:$Q70,7,TRUE()))*$D$3)</f>
        <v>#N/A</v>
      </c>
      <c r="F71" s="47" t="e">
        <f aca="false">MAX($D$4,(1+Q70-VLOOKUP(VALUE(D71),$M$18:$Q70,5,TRUE()))*$D$4)</f>
        <v>#N/A</v>
      </c>
      <c r="G71" s="48" t="n">
        <v>0.5</v>
      </c>
      <c r="H71" s="46" t="e">
        <f aca="true">IF((B71=1),(IF((F71&lt;E71),1,(IF((F71=E71),(IF(RAND()&lt;G71,1,0)),0)))),(IF((RAND()&lt;G71),1,0)))</f>
        <v>#N/A</v>
      </c>
      <c r="I71" s="46" t="e">
        <f aca="true">IF((H71=1),0,$D$3+$D$5*(RAND()-0.5))</f>
        <v>#N/A</v>
      </c>
      <c r="J71" s="46" t="e">
        <f aca="false">I71+MAX(D71,J70)</f>
        <v>#N/A</v>
      </c>
      <c r="K71" s="46" t="e">
        <f aca="false">IF((H71=0),J71-D71,0)</f>
        <v>#N/A</v>
      </c>
      <c r="L71" s="46" t="e">
        <f aca="true">IF(($H71=0),0,$D$4+$D$5*(RAND()-0.5))</f>
        <v>#N/A</v>
      </c>
      <c r="M71" s="46" t="e">
        <f aca="false">L71+MAX(D71,M70)</f>
        <v>#N/A</v>
      </c>
      <c r="N71" s="46" t="e">
        <f aca="false">IF((H71=1),M71-D71,0)</f>
        <v>#N/A</v>
      </c>
      <c r="O71" s="29" t="n">
        <v>54</v>
      </c>
      <c r="P71" s="49" t="e">
        <f aca="false">IF((Arterial=0),P70+1,P70)</f>
        <v>#N/A</v>
      </c>
      <c r="Q71" s="49" t="e">
        <f aca="false">IF((Arterial=1),Q70+1,Q70)</f>
        <v>#N/A</v>
      </c>
      <c r="R71" s="50" t="n">
        <f aca="false">IF((RESET=1),0,R71+K71)</f>
        <v>0</v>
      </c>
      <c r="S71" s="19" t="n">
        <f aca="false">IF(RESET=1,0,S71+N71)</f>
        <v>0</v>
      </c>
      <c r="T71" s="0" t="n">
        <f aca="false">IF(RESET=1,0,T71+IF(H71=0,1,0))</f>
        <v>0</v>
      </c>
      <c r="U71" s="0" t="n">
        <f aca="false">IF(RESET=1,0,U71+H71)</f>
        <v>0</v>
      </c>
      <c r="V71" s="19" t="n">
        <f aca="false">R71/(T71+0.00001)</f>
        <v>0</v>
      </c>
      <c r="W71" s="19" t="n">
        <f aca="false">S71/(U71+0.0001)</f>
        <v>0</v>
      </c>
      <c r="X71" s="47" t="e">
        <f aca="false">IF(Informed=1,K71,0)</f>
        <v>#N/A</v>
      </c>
      <c r="Y71" s="47" t="n">
        <f aca="false">IF(Informed=0,K71,0)</f>
        <v>0</v>
      </c>
      <c r="Z71" s="47" t="e">
        <f aca="false">IF(Informed=1,N71,0)</f>
        <v>#N/A</v>
      </c>
      <c r="AA71" s="47" t="n">
        <f aca="false">IF(Informed=0,N71,0)</f>
        <v>0</v>
      </c>
      <c r="AB71" s="51" t="e">
        <f aca="false">IF(Arterial=0,IF(Informed=1,1,0),0)</f>
        <v>#N/A</v>
      </c>
      <c r="AC71" s="51" t="e">
        <f aca="false">IF(Arterial=0,IF(Informed=0,1,0),0)</f>
        <v>#N/A</v>
      </c>
      <c r="AD71" s="51" t="e">
        <f aca="false">IF(Arterial=1,IF(Informed=1,1,0),0)</f>
        <v>#N/A</v>
      </c>
      <c r="AE71" s="51" t="e">
        <f aca="false">IF(Arterial=1,IF(Informed=0,1,0),0)</f>
        <v>#N/A</v>
      </c>
      <c r="AF71" s="44" t="e">
        <f aca="false">IF(AB71=1,(X71-G$1030)^2,0)</f>
        <v>#N/A</v>
      </c>
      <c r="AG71" s="44" t="e">
        <f aca="false">IF(AC71=1,(Y71-H$1030)^2,0)</f>
        <v>#N/A</v>
      </c>
      <c r="AH71" s="44" t="e">
        <f aca="false">IF(AD71=1,(Z71-I$1030)^2,0)</f>
        <v>#N/A</v>
      </c>
      <c r="AI71" s="44" t="e">
        <f aca="false">IF(AE71=1,(AA71-J$1030)^2,0)</f>
        <v>#N/A</v>
      </c>
    </row>
    <row r="72" customFormat="false" ht="12" hidden="false" customHeight="false" outlineLevel="0" collapsed="false">
      <c r="A72" s="29" t="n">
        <v>55</v>
      </c>
      <c r="B72" s="45" t="n">
        <f aca="true">IF(RAND()&lt;$D$8,1,0)</f>
        <v>1</v>
      </c>
      <c r="C72" s="34" t="n">
        <f aca="true">-LN(RAND())/$D$2</f>
        <v>1.30881622453138</v>
      </c>
      <c r="D72" s="46" t="n">
        <f aca="false">D71+C72</f>
        <v>82.2488956347009</v>
      </c>
      <c r="E72" s="47" t="e">
        <f aca="false">MAX($D$3,(1+P71-VLOOKUP(VALUE(D72),$J$18:$Q71,7,TRUE()))*$D$3)</f>
        <v>#N/A</v>
      </c>
      <c r="F72" s="47" t="e">
        <f aca="false">MAX($D$4,(1+Q71-VLOOKUP(VALUE(D72),$M$18:$Q71,5,TRUE()))*$D$4)</f>
        <v>#N/A</v>
      </c>
      <c r="G72" s="48" t="n">
        <v>0.5</v>
      </c>
      <c r="H72" s="46" t="e">
        <f aca="true">IF((B72=1),(IF((F72&lt;E72),1,(IF((F72=E72),(IF(RAND()&lt;G72,1,0)),0)))),(IF((RAND()&lt;G72),1,0)))</f>
        <v>#N/A</v>
      </c>
      <c r="I72" s="46" t="e">
        <f aca="true">IF((H72=1),0,$D$3+$D$5*(RAND()-0.5))</f>
        <v>#N/A</v>
      </c>
      <c r="J72" s="46" t="e">
        <f aca="false">I72+MAX(D72,J71)</f>
        <v>#N/A</v>
      </c>
      <c r="K72" s="46" t="e">
        <f aca="false">IF((H72=0),J72-D72,0)</f>
        <v>#N/A</v>
      </c>
      <c r="L72" s="46" t="e">
        <f aca="true">IF(($H72=0),0,$D$4+$D$5*(RAND()-0.5))</f>
        <v>#N/A</v>
      </c>
      <c r="M72" s="46" t="e">
        <f aca="false">L72+MAX(D72,M71)</f>
        <v>#N/A</v>
      </c>
      <c r="N72" s="46" t="e">
        <f aca="false">IF((H72=1),M72-D72,0)</f>
        <v>#N/A</v>
      </c>
      <c r="O72" s="29" t="n">
        <v>55</v>
      </c>
      <c r="P72" s="49" t="e">
        <f aca="false">IF((Arterial=0),P71+1,P71)</f>
        <v>#N/A</v>
      </c>
      <c r="Q72" s="49" t="e">
        <f aca="false">IF((Arterial=1),Q71+1,Q71)</f>
        <v>#N/A</v>
      </c>
      <c r="R72" s="50" t="n">
        <f aca="false">IF((RESET=1),0,R72+K72)</f>
        <v>0</v>
      </c>
      <c r="S72" s="19" t="n">
        <f aca="false">IF(RESET=1,0,S72+N72)</f>
        <v>0</v>
      </c>
      <c r="T72" s="0" t="n">
        <f aca="false">IF(RESET=1,0,T72+IF(H72=0,1,0))</f>
        <v>0</v>
      </c>
      <c r="U72" s="0" t="n">
        <f aca="false">IF(RESET=1,0,U72+H72)</f>
        <v>0</v>
      </c>
      <c r="V72" s="19" t="n">
        <f aca="false">R72/(T72+0.00001)</f>
        <v>0</v>
      </c>
      <c r="W72" s="19" t="n">
        <f aca="false">S72/(U72+0.0001)</f>
        <v>0</v>
      </c>
      <c r="X72" s="47" t="e">
        <f aca="false">IF(Informed=1,K72,0)</f>
        <v>#N/A</v>
      </c>
      <c r="Y72" s="47" t="n">
        <f aca="false">IF(Informed=0,K72,0)</f>
        <v>0</v>
      </c>
      <c r="Z72" s="47" t="e">
        <f aca="false">IF(Informed=1,N72,0)</f>
        <v>#N/A</v>
      </c>
      <c r="AA72" s="47" t="n">
        <f aca="false">IF(Informed=0,N72,0)</f>
        <v>0</v>
      </c>
      <c r="AB72" s="51" t="e">
        <f aca="false">IF(Arterial=0,IF(Informed=1,1,0),0)</f>
        <v>#N/A</v>
      </c>
      <c r="AC72" s="51" t="e">
        <f aca="false">IF(Arterial=0,IF(Informed=0,1,0),0)</f>
        <v>#N/A</v>
      </c>
      <c r="AD72" s="51" t="e">
        <f aca="false">IF(Arterial=1,IF(Informed=1,1,0),0)</f>
        <v>#N/A</v>
      </c>
      <c r="AE72" s="51" t="e">
        <f aca="false">IF(Arterial=1,IF(Informed=0,1,0),0)</f>
        <v>#N/A</v>
      </c>
      <c r="AF72" s="44" t="e">
        <f aca="false">IF(AB72=1,(X72-G$1030)^2,0)</f>
        <v>#N/A</v>
      </c>
      <c r="AG72" s="44" t="e">
        <f aca="false">IF(AC72=1,(Y72-H$1030)^2,0)</f>
        <v>#N/A</v>
      </c>
      <c r="AH72" s="44" t="e">
        <f aca="false">IF(AD72=1,(Z72-I$1030)^2,0)</f>
        <v>#N/A</v>
      </c>
      <c r="AI72" s="44" t="e">
        <f aca="false">IF(AE72=1,(AA72-J$1030)^2,0)</f>
        <v>#N/A</v>
      </c>
    </row>
    <row r="73" customFormat="false" ht="12" hidden="false" customHeight="false" outlineLevel="0" collapsed="false">
      <c r="A73" s="29" t="n">
        <v>56</v>
      </c>
      <c r="B73" s="45" t="n">
        <f aca="true">IF(RAND()&lt;$D$8,1,0)</f>
        <v>1</v>
      </c>
      <c r="C73" s="34" t="n">
        <f aca="true">-LN(RAND())/$D$2</f>
        <v>0.259777792795713</v>
      </c>
      <c r="D73" s="46" t="n">
        <f aca="false">D72+C73</f>
        <v>82.5086734274966</v>
      </c>
      <c r="E73" s="47" t="e">
        <f aca="false">MAX($D$3,(1+P72-VLOOKUP(VALUE(D73),$J$18:$Q72,7,TRUE()))*$D$3)</f>
        <v>#N/A</v>
      </c>
      <c r="F73" s="47" t="e">
        <f aca="false">MAX($D$4,(1+Q72-VLOOKUP(VALUE(D73),$M$18:$Q72,5,TRUE()))*$D$4)</f>
        <v>#N/A</v>
      </c>
      <c r="G73" s="48" t="n">
        <v>0.5</v>
      </c>
      <c r="H73" s="46" t="e">
        <f aca="true">IF((B73=1),(IF((F73&lt;E73),1,(IF((F73=E73),(IF(RAND()&lt;G73,1,0)),0)))),(IF((RAND()&lt;G73),1,0)))</f>
        <v>#N/A</v>
      </c>
      <c r="I73" s="46" t="e">
        <f aca="true">IF((H73=1),0,$D$3+$D$5*(RAND()-0.5))</f>
        <v>#N/A</v>
      </c>
      <c r="J73" s="46" t="e">
        <f aca="false">I73+MAX(D73,J72)</f>
        <v>#N/A</v>
      </c>
      <c r="K73" s="46" t="e">
        <f aca="false">IF((H73=0),J73-D73,0)</f>
        <v>#N/A</v>
      </c>
      <c r="L73" s="46" t="e">
        <f aca="true">IF(($H73=0),0,$D$4+$D$5*(RAND()-0.5))</f>
        <v>#N/A</v>
      </c>
      <c r="M73" s="46" t="e">
        <f aca="false">L73+MAX(D73,M72)</f>
        <v>#N/A</v>
      </c>
      <c r="N73" s="46" t="e">
        <f aca="false">IF((H73=1),M73-D73,0)</f>
        <v>#N/A</v>
      </c>
      <c r="O73" s="29" t="n">
        <v>56</v>
      </c>
      <c r="P73" s="49" t="e">
        <f aca="false">IF((Arterial=0),P72+1,P72)</f>
        <v>#N/A</v>
      </c>
      <c r="Q73" s="49" t="e">
        <f aca="false">IF((Arterial=1),Q72+1,Q72)</f>
        <v>#N/A</v>
      </c>
      <c r="R73" s="50" t="n">
        <f aca="false">IF((RESET=1),0,R73+K73)</f>
        <v>0</v>
      </c>
      <c r="S73" s="19" t="n">
        <f aca="false">IF(RESET=1,0,S73+N73)</f>
        <v>0</v>
      </c>
      <c r="T73" s="0" t="n">
        <f aca="false">IF(RESET=1,0,T73+IF(H73=0,1,0))</f>
        <v>0</v>
      </c>
      <c r="U73" s="0" t="n">
        <f aca="false">IF(RESET=1,0,U73+H73)</f>
        <v>0</v>
      </c>
      <c r="V73" s="19" t="n">
        <f aca="false">R73/(T73+0.00001)</f>
        <v>0</v>
      </c>
      <c r="W73" s="19" t="n">
        <f aca="false">S73/(U73+0.0001)</f>
        <v>0</v>
      </c>
      <c r="X73" s="47" t="e">
        <f aca="false">IF(Informed=1,K73,0)</f>
        <v>#N/A</v>
      </c>
      <c r="Y73" s="47" t="n">
        <f aca="false">IF(Informed=0,K73,0)</f>
        <v>0</v>
      </c>
      <c r="Z73" s="47" t="e">
        <f aca="false">IF(Informed=1,N73,0)</f>
        <v>#N/A</v>
      </c>
      <c r="AA73" s="47" t="n">
        <f aca="false">IF(Informed=0,N73,0)</f>
        <v>0</v>
      </c>
      <c r="AB73" s="51" t="e">
        <f aca="false">IF(Arterial=0,IF(Informed=1,1,0),0)</f>
        <v>#N/A</v>
      </c>
      <c r="AC73" s="51" t="e">
        <f aca="false">IF(Arterial=0,IF(Informed=0,1,0),0)</f>
        <v>#N/A</v>
      </c>
      <c r="AD73" s="51" t="e">
        <f aca="false">IF(Arterial=1,IF(Informed=1,1,0),0)</f>
        <v>#N/A</v>
      </c>
      <c r="AE73" s="51" t="e">
        <f aca="false">IF(Arterial=1,IF(Informed=0,1,0),0)</f>
        <v>#N/A</v>
      </c>
      <c r="AF73" s="44" t="e">
        <f aca="false">IF(AB73=1,(X73-G$1030)^2,0)</f>
        <v>#N/A</v>
      </c>
      <c r="AG73" s="44" t="e">
        <f aca="false">IF(AC73=1,(Y73-H$1030)^2,0)</f>
        <v>#N/A</v>
      </c>
      <c r="AH73" s="44" t="e">
        <f aca="false">IF(AD73=1,(Z73-I$1030)^2,0)</f>
        <v>#N/A</v>
      </c>
      <c r="AI73" s="44" t="e">
        <f aca="false">IF(AE73=1,(AA73-J$1030)^2,0)</f>
        <v>#N/A</v>
      </c>
    </row>
    <row r="74" customFormat="false" ht="12" hidden="false" customHeight="false" outlineLevel="0" collapsed="false">
      <c r="A74" s="29" t="n">
        <v>57</v>
      </c>
      <c r="B74" s="45" t="n">
        <f aca="true">IF(RAND()&lt;$D$8,1,0)</f>
        <v>1</v>
      </c>
      <c r="C74" s="34" t="n">
        <f aca="true">-LN(RAND())/$D$2</f>
        <v>0.137742661399284</v>
      </c>
      <c r="D74" s="46" t="n">
        <f aca="false">D73+C74</f>
        <v>82.6464160888959</v>
      </c>
      <c r="E74" s="47" t="e">
        <f aca="false">MAX($D$3,(1+P73-VLOOKUP(VALUE(D74),$J$18:$Q73,7,TRUE()))*$D$3)</f>
        <v>#N/A</v>
      </c>
      <c r="F74" s="47" t="e">
        <f aca="false">MAX($D$4,(1+Q73-VLOOKUP(VALUE(D74),$M$18:$Q73,5,TRUE()))*$D$4)</f>
        <v>#N/A</v>
      </c>
      <c r="G74" s="48" t="n">
        <v>0.5</v>
      </c>
      <c r="H74" s="46" t="e">
        <f aca="true">IF((B74=1),(IF((F74&lt;E74),1,(IF((F74=E74),(IF(RAND()&lt;G74,1,0)),0)))),(IF((RAND()&lt;G74),1,0)))</f>
        <v>#N/A</v>
      </c>
      <c r="I74" s="46" t="e">
        <f aca="true">IF((H74=1),0,$D$3+$D$5*(RAND()-0.5))</f>
        <v>#N/A</v>
      </c>
      <c r="J74" s="46" t="e">
        <f aca="false">I74+MAX(D74,J73)</f>
        <v>#N/A</v>
      </c>
      <c r="K74" s="46" t="e">
        <f aca="false">IF((H74=0),J74-D74,0)</f>
        <v>#N/A</v>
      </c>
      <c r="L74" s="46" t="e">
        <f aca="true">IF(($H74=0),0,$D$4+$D$5*(RAND()-0.5))</f>
        <v>#N/A</v>
      </c>
      <c r="M74" s="46" t="e">
        <f aca="false">L74+MAX(D74,M73)</f>
        <v>#N/A</v>
      </c>
      <c r="N74" s="46" t="e">
        <f aca="false">IF((H74=1),M74-D74,0)</f>
        <v>#N/A</v>
      </c>
      <c r="O74" s="29" t="n">
        <v>57</v>
      </c>
      <c r="P74" s="49" t="e">
        <f aca="false">IF((Arterial=0),P73+1,P73)</f>
        <v>#N/A</v>
      </c>
      <c r="Q74" s="49" t="e">
        <f aca="false">IF((Arterial=1),Q73+1,Q73)</f>
        <v>#N/A</v>
      </c>
      <c r="R74" s="50" t="n">
        <f aca="false">IF((RESET=1),0,R74+K74)</f>
        <v>0</v>
      </c>
      <c r="S74" s="19" t="n">
        <f aca="false">IF(RESET=1,0,S74+N74)</f>
        <v>0</v>
      </c>
      <c r="T74" s="0" t="n">
        <f aca="false">IF(RESET=1,0,T74+IF(H74=0,1,0))</f>
        <v>0</v>
      </c>
      <c r="U74" s="0" t="n">
        <f aca="false">IF(RESET=1,0,U74+H74)</f>
        <v>0</v>
      </c>
      <c r="V74" s="19" t="n">
        <f aca="false">R74/(T74+0.00001)</f>
        <v>0</v>
      </c>
      <c r="W74" s="19" t="n">
        <f aca="false">S74/(U74+0.0001)</f>
        <v>0</v>
      </c>
      <c r="X74" s="47" t="e">
        <f aca="false">IF(Informed=1,K74,0)</f>
        <v>#N/A</v>
      </c>
      <c r="Y74" s="47" t="n">
        <f aca="false">IF(Informed=0,K74,0)</f>
        <v>0</v>
      </c>
      <c r="Z74" s="47" t="e">
        <f aca="false">IF(Informed=1,N74,0)</f>
        <v>#N/A</v>
      </c>
      <c r="AA74" s="47" t="n">
        <f aca="false">IF(Informed=0,N74,0)</f>
        <v>0</v>
      </c>
      <c r="AB74" s="51" t="e">
        <f aca="false">IF(Arterial=0,IF(Informed=1,1,0),0)</f>
        <v>#N/A</v>
      </c>
      <c r="AC74" s="51" t="e">
        <f aca="false">IF(Arterial=0,IF(Informed=0,1,0),0)</f>
        <v>#N/A</v>
      </c>
      <c r="AD74" s="51" t="e">
        <f aca="false">IF(Arterial=1,IF(Informed=1,1,0),0)</f>
        <v>#N/A</v>
      </c>
      <c r="AE74" s="51" t="e">
        <f aca="false">IF(Arterial=1,IF(Informed=0,1,0),0)</f>
        <v>#N/A</v>
      </c>
      <c r="AF74" s="44" t="e">
        <f aca="false">IF(AB74=1,(X74-G$1030)^2,0)</f>
        <v>#N/A</v>
      </c>
      <c r="AG74" s="44" t="e">
        <f aca="false">IF(AC74=1,(Y74-H$1030)^2,0)</f>
        <v>#N/A</v>
      </c>
      <c r="AH74" s="44" t="e">
        <f aca="false">IF(AD74=1,(Z74-I$1030)^2,0)</f>
        <v>#N/A</v>
      </c>
      <c r="AI74" s="44" t="e">
        <f aca="false">IF(AE74=1,(AA74-J$1030)^2,0)</f>
        <v>#N/A</v>
      </c>
    </row>
    <row r="75" customFormat="false" ht="12" hidden="false" customHeight="false" outlineLevel="0" collapsed="false">
      <c r="A75" s="29" t="n">
        <v>58</v>
      </c>
      <c r="B75" s="45" t="n">
        <f aca="true">IF(RAND()&lt;$D$8,1,0)</f>
        <v>1</v>
      </c>
      <c r="C75" s="34" t="n">
        <f aca="true">-LN(RAND())/$D$2</f>
        <v>1.75468630432705</v>
      </c>
      <c r="D75" s="46" t="n">
        <f aca="false">D74+C75</f>
        <v>84.4011023932229</v>
      </c>
      <c r="E75" s="47" t="e">
        <f aca="false">MAX($D$3,(1+P74-VLOOKUP(VALUE(D75),$J$18:$Q74,7,TRUE()))*$D$3)</f>
        <v>#N/A</v>
      </c>
      <c r="F75" s="47" t="e">
        <f aca="false">MAX($D$4,(1+Q74-VLOOKUP(VALUE(D75),$M$18:$Q74,5,TRUE()))*$D$4)</f>
        <v>#N/A</v>
      </c>
      <c r="G75" s="48" t="n">
        <v>0.5</v>
      </c>
      <c r="H75" s="46" t="e">
        <f aca="true">IF((B75=1),(IF((F75&lt;E75),1,(IF((F75=E75),(IF(RAND()&lt;G75,1,0)),0)))),(IF((RAND()&lt;G75),1,0)))</f>
        <v>#N/A</v>
      </c>
      <c r="I75" s="46" t="e">
        <f aca="true">IF((H75=1),0,$D$3+$D$5*(RAND()-0.5))</f>
        <v>#N/A</v>
      </c>
      <c r="J75" s="46" t="e">
        <f aca="false">I75+MAX(D75,J74)</f>
        <v>#N/A</v>
      </c>
      <c r="K75" s="46" t="e">
        <f aca="false">IF((H75=0),J75-D75,0)</f>
        <v>#N/A</v>
      </c>
      <c r="L75" s="46" t="e">
        <f aca="true">IF(($H75=0),0,$D$4+$D$5*(RAND()-0.5))</f>
        <v>#N/A</v>
      </c>
      <c r="M75" s="46" t="e">
        <f aca="false">L75+MAX(D75,M74)</f>
        <v>#N/A</v>
      </c>
      <c r="N75" s="46" t="e">
        <f aca="false">IF((H75=1),M75-D75,0)</f>
        <v>#N/A</v>
      </c>
      <c r="O75" s="29" t="n">
        <v>58</v>
      </c>
      <c r="P75" s="49" t="e">
        <f aca="false">IF((Arterial=0),P74+1,P74)</f>
        <v>#N/A</v>
      </c>
      <c r="Q75" s="49" t="e">
        <f aca="false">IF((Arterial=1),Q74+1,Q74)</f>
        <v>#N/A</v>
      </c>
      <c r="R75" s="50" t="n">
        <f aca="false">IF((RESET=1),0,R75+K75)</f>
        <v>0</v>
      </c>
      <c r="S75" s="19" t="n">
        <f aca="false">IF(RESET=1,0,S75+N75)</f>
        <v>0</v>
      </c>
      <c r="T75" s="0" t="n">
        <f aca="false">IF(RESET=1,0,T75+IF(H75=0,1,0))</f>
        <v>0</v>
      </c>
      <c r="U75" s="0" t="n">
        <f aca="false">IF(RESET=1,0,U75+H75)</f>
        <v>0</v>
      </c>
      <c r="V75" s="19" t="n">
        <f aca="false">R75/(T75+0.00001)</f>
        <v>0</v>
      </c>
      <c r="W75" s="19" t="n">
        <f aca="false">S75/(U75+0.0001)</f>
        <v>0</v>
      </c>
      <c r="X75" s="47" t="e">
        <f aca="false">IF(Informed=1,K75,0)</f>
        <v>#N/A</v>
      </c>
      <c r="Y75" s="47" t="n">
        <f aca="false">IF(Informed=0,K75,0)</f>
        <v>0</v>
      </c>
      <c r="Z75" s="47" t="e">
        <f aca="false">IF(Informed=1,N75,0)</f>
        <v>#N/A</v>
      </c>
      <c r="AA75" s="47" t="n">
        <f aca="false">IF(Informed=0,N75,0)</f>
        <v>0</v>
      </c>
      <c r="AB75" s="51" t="e">
        <f aca="false">IF(Arterial=0,IF(Informed=1,1,0),0)</f>
        <v>#N/A</v>
      </c>
      <c r="AC75" s="51" t="e">
        <f aca="false">IF(Arterial=0,IF(Informed=0,1,0),0)</f>
        <v>#N/A</v>
      </c>
      <c r="AD75" s="51" t="e">
        <f aca="false">IF(Arterial=1,IF(Informed=1,1,0),0)</f>
        <v>#N/A</v>
      </c>
      <c r="AE75" s="51" t="e">
        <f aca="false">IF(Arterial=1,IF(Informed=0,1,0),0)</f>
        <v>#N/A</v>
      </c>
      <c r="AF75" s="44" t="e">
        <f aca="false">IF(AB75=1,(X75-G$1030)^2,0)</f>
        <v>#N/A</v>
      </c>
      <c r="AG75" s="44" t="e">
        <f aca="false">IF(AC75=1,(Y75-H$1030)^2,0)</f>
        <v>#N/A</v>
      </c>
      <c r="AH75" s="44" t="e">
        <f aca="false">IF(AD75=1,(Z75-I$1030)^2,0)</f>
        <v>#N/A</v>
      </c>
      <c r="AI75" s="44" t="e">
        <f aca="false">IF(AE75=1,(AA75-J$1030)^2,0)</f>
        <v>#N/A</v>
      </c>
    </row>
    <row r="76" customFormat="false" ht="12" hidden="false" customHeight="false" outlineLevel="0" collapsed="false">
      <c r="A76" s="29" t="n">
        <v>59</v>
      </c>
      <c r="B76" s="45" t="n">
        <f aca="true">IF(RAND()&lt;$D$8,1,0)</f>
        <v>1</v>
      </c>
      <c r="C76" s="34" t="n">
        <f aca="true">-LN(RAND())/$D$2</f>
        <v>0.277714548349345</v>
      </c>
      <c r="D76" s="46" t="n">
        <f aca="false">D75+C76</f>
        <v>84.6788169415723</v>
      </c>
      <c r="E76" s="47" t="e">
        <f aca="false">MAX($D$3,(1+P75-VLOOKUP(VALUE(D76),$J$18:$Q75,7,TRUE()))*$D$3)</f>
        <v>#N/A</v>
      </c>
      <c r="F76" s="47" t="e">
        <f aca="false">MAX($D$4,(1+Q75-VLOOKUP(VALUE(D76),$M$18:$Q75,5,TRUE()))*$D$4)</f>
        <v>#N/A</v>
      </c>
      <c r="G76" s="48" t="n">
        <v>0.5</v>
      </c>
      <c r="H76" s="46" t="e">
        <f aca="true">IF((B76=1),(IF((F76&lt;E76),1,(IF((F76=E76),(IF(RAND()&lt;G76,1,0)),0)))),(IF((RAND()&lt;G76),1,0)))</f>
        <v>#N/A</v>
      </c>
      <c r="I76" s="46" t="e">
        <f aca="true">IF((H76=1),0,$D$3+$D$5*(RAND()-0.5))</f>
        <v>#N/A</v>
      </c>
      <c r="J76" s="46" t="e">
        <f aca="false">I76+MAX(D76,J75)</f>
        <v>#N/A</v>
      </c>
      <c r="K76" s="46" t="e">
        <f aca="false">IF((H76=0),J76-D76,0)</f>
        <v>#N/A</v>
      </c>
      <c r="L76" s="46" t="e">
        <f aca="true">IF(($H76=0),0,$D$4+$D$5*(RAND()-0.5))</f>
        <v>#N/A</v>
      </c>
      <c r="M76" s="46" t="e">
        <f aca="false">L76+MAX(D76,M75)</f>
        <v>#N/A</v>
      </c>
      <c r="N76" s="46" t="e">
        <f aca="false">IF((H76=1),M76-D76,0)</f>
        <v>#N/A</v>
      </c>
      <c r="O76" s="29" t="n">
        <v>59</v>
      </c>
      <c r="P76" s="49" t="e">
        <f aca="false">IF((Arterial=0),P75+1,P75)</f>
        <v>#N/A</v>
      </c>
      <c r="Q76" s="49" t="e">
        <f aca="false">IF((Arterial=1),Q75+1,Q75)</f>
        <v>#N/A</v>
      </c>
      <c r="R76" s="50" t="n">
        <f aca="false">IF((RESET=1),0,R76+K76)</f>
        <v>0</v>
      </c>
      <c r="S76" s="19" t="n">
        <f aca="false">IF(RESET=1,0,S76+N76)</f>
        <v>0</v>
      </c>
      <c r="T76" s="0" t="n">
        <f aca="false">IF(RESET=1,0,T76+IF(H76=0,1,0))</f>
        <v>0</v>
      </c>
      <c r="U76" s="0" t="n">
        <f aca="false">IF(RESET=1,0,U76+H76)</f>
        <v>0</v>
      </c>
      <c r="V76" s="19" t="n">
        <f aca="false">R76/(T76+0.00001)</f>
        <v>0</v>
      </c>
      <c r="W76" s="19" t="n">
        <f aca="false">S76/(U76+0.0001)</f>
        <v>0</v>
      </c>
      <c r="X76" s="47" t="e">
        <f aca="false">IF(Informed=1,K76,0)</f>
        <v>#N/A</v>
      </c>
      <c r="Y76" s="47" t="n">
        <f aca="false">IF(Informed=0,K76,0)</f>
        <v>0</v>
      </c>
      <c r="Z76" s="47" t="e">
        <f aca="false">IF(Informed=1,N76,0)</f>
        <v>#N/A</v>
      </c>
      <c r="AA76" s="47" t="n">
        <f aca="false">IF(Informed=0,N76,0)</f>
        <v>0</v>
      </c>
      <c r="AB76" s="51" t="e">
        <f aca="false">IF(Arterial=0,IF(Informed=1,1,0),0)</f>
        <v>#N/A</v>
      </c>
      <c r="AC76" s="51" t="e">
        <f aca="false">IF(Arterial=0,IF(Informed=0,1,0),0)</f>
        <v>#N/A</v>
      </c>
      <c r="AD76" s="51" t="e">
        <f aca="false">IF(Arterial=1,IF(Informed=1,1,0),0)</f>
        <v>#N/A</v>
      </c>
      <c r="AE76" s="51" t="e">
        <f aca="false">IF(Arterial=1,IF(Informed=0,1,0),0)</f>
        <v>#N/A</v>
      </c>
      <c r="AF76" s="44" t="e">
        <f aca="false">IF(AB76=1,(X76-G$1030)^2,0)</f>
        <v>#N/A</v>
      </c>
      <c r="AG76" s="44" t="e">
        <f aca="false">IF(AC76=1,(Y76-H$1030)^2,0)</f>
        <v>#N/A</v>
      </c>
      <c r="AH76" s="44" t="e">
        <f aca="false">IF(AD76=1,(Z76-I$1030)^2,0)</f>
        <v>#N/A</v>
      </c>
      <c r="AI76" s="44" t="e">
        <f aca="false">IF(AE76=1,(AA76-J$1030)^2,0)</f>
        <v>#N/A</v>
      </c>
    </row>
    <row r="77" customFormat="false" ht="12" hidden="false" customHeight="false" outlineLevel="0" collapsed="false">
      <c r="A77" s="29" t="n">
        <v>60</v>
      </c>
      <c r="B77" s="45" t="n">
        <f aca="true">IF(RAND()&lt;$D$8,1,0)</f>
        <v>1</v>
      </c>
      <c r="C77" s="34" t="n">
        <f aca="true">-LN(RAND())/$D$2</f>
        <v>2.43582850725498</v>
      </c>
      <c r="D77" s="46" t="n">
        <f aca="false">D76+C77</f>
        <v>87.1146454488273</v>
      </c>
      <c r="E77" s="47" t="e">
        <f aca="false">MAX($D$3,(1+P76-VLOOKUP(VALUE(D77),$J$18:$Q76,7,TRUE()))*$D$3)</f>
        <v>#N/A</v>
      </c>
      <c r="F77" s="47" t="e">
        <f aca="false">MAX($D$4,(1+Q76-VLOOKUP(VALUE(D77),$M$18:$Q76,5,TRUE()))*$D$4)</f>
        <v>#N/A</v>
      </c>
      <c r="G77" s="48" t="n">
        <v>0.5</v>
      </c>
      <c r="H77" s="46" t="e">
        <f aca="true">IF((B77=1),(IF((F77&lt;E77),1,(IF((F77=E77),(IF(RAND()&lt;G77,1,0)),0)))),(IF((RAND()&lt;G77),1,0)))</f>
        <v>#N/A</v>
      </c>
      <c r="I77" s="46" t="e">
        <f aca="true">IF((H77=1),0,$D$3+$D$5*(RAND()-0.5))</f>
        <v>#N/A</v>
      </c>
      <c r="J77" s="46" t="e">
        <f aca="false">I77+MAX(D77,J76)</f>
        <v>#N/A</v>
      </c>
      <c r="K77" s="46" t="e">
        <f aca="false">IF((H77=0),J77-D77,0)</f>
        <v>#N/A</v>
      </c>
      <c r="L77" s="46" t="e">
        <f aca="true">IF(($H77=0),0,$D$4+$D$5*(RAND()-0.5))</f>
        <v>#N/A</v>
      </c>
      <c r="M77" s="46" t="e">
        <f aca="false">L77+MAX(D77,M76)</f>
        <v>#N/A</v>
      </c>
      <c r="N77" s="46" t="e">
        <f aca="false">IF((H77=1),M77-D77,0)</f>
        <v>#N/A</v>
      </c>
      <c r="O77" s="29" t="n">
        <v>60</v>
      </c>
      <c r="P77" s="49" t="e">
        <f aca="false">IF((Arterial=0),P76+1,P76)</f>
        <v>#N/A</v>
      </c>
      <c r="Q77" s="49" t="e">
        <f aca="false">IF((Arterial=1),Q76+1,Q76)</f>
        <v>#N/A</v>
      </c>
      <c r="R77" s="50" t="n">
        <f aca="false">IF((RESET=1),0,R77+K77)</f>
        <v>0</v>
      </c>
      <c r="S77" s="19" t="n">
        <f aca="false">IF(RESET=1,0,S77+N77)</f>
        <v>0</v>
      </c>
      <c r="T77" s="0" t="n">
        <f aca="false">IF(RESET=1,0,T77+IF(H77=0,1,0))</f>
        <v>0</v>
      </c>
      <c r="U77" s="0" t="n">
        <f aca="false">IF(RESET=1,0,U77+H77)</f>
        <v>0</v>
      </c>
      <c r="V77" s="19" t="n">
        <f aca="false">R77/(T77+0.00001)</f>
        <v>0</v>
      </c>
      <c r="W77" s="19" t="n">
        <f aca="false">S77/(U77+0.0001)</f>
        <v>0</v>
      </c>
      <c r="X77" s="47" t="e">
        <f aca="false">IF(Informed=1,K77,0)</f>
        <v>#N/A</v>
      </c>
      <c r="Y77" s="47" t="n">
        <f aca="false">IF(Informed=0,K77,0)</f>
        <v>0</v>
      </c>
      <c r="Z77" s="47" t="e">
        <f aca="false">IF(Informed=1,N77,0)</f>
        <v>#N/A</v>
      </c>
      <c r="AA77" s="47" t="n">
        <f aca="false">IF(Informed=0,N77,0)</f>
        <v>0</v>
      </c>
      <c r="AB77" s="51" t="e">
        <f aca="false">IF(Arterial=0,IF(Informed=1,1,0),0)</f>
        <v>#N/A</v>
      </c>
      <c r="AC77" s="51" t="e">
        <f aca="false">IF(Arterial=0,IF(Informed=0,1,0),0)</f>
        <v>#N/A</v>
      </c>
      <c r="AD77" s="51" t="e">
        <f aca="false">IF(Arterial=1,IF(Informed=1,1,0),0)</f>
        <v>#N/A</v>
      </c>
      <c r="AE77" s="51" t="e">
        <f aca="false">IF(Arterial=1,IF(Informed=0,1,0),0)</f>
        <v>#N/A</v>
      </c>
      <c r="AF77" s="44" t="e">
        <f aca="false">IF(AB77=1,(X77-G$1030)^2,0)</f>
        <v>#N/A</v>
      </c>
      <c r="AG77" s="44" t="e">
        <f aca="false">IF(AC77=1,(Y77-H$1030)^2,0)</f>
        <v>#N/A</v>
      </c>
      <c r="AH77" s="44" t="e">
        <f aca="false">IF(AD77=1,(Z77-I$1030)^2,0)</f>
        <v>#N/A</v>
      </c>
      <c r="AI77" s="44" t="e">
        <f aca="false">IF(AE77=1,(AA77-J$1030)^2,0)</f>
        <v>#N/A</v>
      </c>
    </row>
    <row r="78" customFormat="false" ht="12" hidden="false" customHeight="false" outlineLevel="0" collapsed="false">
      <c r="A78" s="29" t="n">
        <v>61</v>
      </c>
      <c r="B78" s="45" t="n">
        <f aca="true">IF(RAND()&lt;$D$8,1,0)</f>
        <v>1</v>
      </c>
      <c r="C78" s="34" t="n">
        <f aca="true">-LN(RAND())/$D$2</f>
        <v>0.41150400362297</v>
      </c>
      <c r="D78" s="46" t="n">
        <f aca="false">D77+C78</f>
        <v>87.5261494524502</v>
      </c>
      <c r="E78" s="47" t="e">
        <f aca="false">MAX($D$3,(1+P77-VLOOKUP(VALUE(D78),$J$18:$Q77,7,TRUE()))*$D$3)</f>
        <v>#N/A</v>
      </c>
      <c r="F78" s="47" t="e">
        <f aca="false">MAX($D$4,(1+Q77-VLOOKUP(VALUE(D78),$M$18:$Q77,5,TRUE()))*$D$4)</f>
        <v>#N/A</v>
      </c>
      <c r="G78" s="48" t="n">
        <v>0.5</v>
      </c>
      <c r="H78" s="46" t="e">
        <f aca="true">IF((B78=1),(IF((F78&lt;E78),1,(IF((F78=E78),(IF(RAND()&lt;G78,1,0)),0)))),(IF((RAND()&lt;G78),1,0)))</f>
        <v>#N/A</v>
      </c>
      <c r="I78" s="46" t="e">
        <f aca="true">IF((H78=1),0,$D$3+$D$5*(RAND()-0.5))</f>
        <v>#N/A</v>
      </c>
      <c r="J78" s="46" t="e">
        <f aca="false">I78+MAX(D78,J77)</f>
        <v>#N/A</v>
      </c>
      <c r="K78" s="46" t="e">
        <f aca="false">IF((H78=0),J78-D78,0)</f>
        <v>#N/A</v>
      </c>
      <c r="L78" s="46" t="e">
        <f aca="true">IF(($H78=0),0,$D$4+$D$5*(RAND()-0.5))</f>
        <v>#N/A</v>
      </c>
      <c r="M78" s="46" t="e">
        <f aca="false">L78+MAX(D78,M77)</f>
        <v>#N/A</v>
      </c>
      <c r="N78" s="46" t="e">
        <f aca="false">IF((H78=1),M78-D78,0)</f>
        <v>#N/A</v>
      </c>
      <c r="O78" s="29" t="n">
        <v>61</v>
      </c>
      <c r="P78" s="49" t="e">
        <f aca="false">IF((Arterial=0),P77+1,P77)</f>
        <v>#N/A</v>
      </c>
      <c r="Q78" s="49" t="e">
        <f aca="false">IF((Arterial=1),Q77+1,Q77)</f>
        <v>#N/A</v>
      </c>
      <c r="R78" s="50" t="n">
        <f aca="false">IF((RESET=1),0,R78+K78)</f>
        <v>0</v>
      </c>
      <c r="S78" s="19" t="n">
        <f aca="false">IF(RESET=1,0,S78+N78)</f>
        <v>0</v>
      </c>
      <c r="T78" s="0" t="n">
        <f aca="false">IF(RESET=1,0,T78+IF(H78=0,1,0))</f>
        <v>0</v>
      </c>
      <c r="U78" s="0" t="n">
        <f aca="false">IF(RESET=1,0,U78+H78)</f>
        <v>0</v>
      </c>
      <c r="V78" s="19" t="n">
        <f aca="false">R78/(T78+0.00001)</f>
        <v>0</v>
      </c>
      <c r="W78" s="19" t="n">
        <f aca="false">S78/(U78+0.0001)</f>
        <v>0</v>
      </c>
      <c r="X78" s="47" t="e">
        <f aca="false">IF(Informed=1,K78,0)</f>
        <v>#N/A</v>
      </c>
      <c r="Y78" s="47" t="n">
        <f aca="false">IF(Informed=0,K78,0)</f>
        <v>0</v>
      </c>
      <c r="Z78" s="47" t="e">
        <f aca="false">IF(Informed=1,N78,0)</f>
        <v>#N/A</v>
      </c>
      <c r="AA78" s="47" t="n">
        <f aca="false">IF(Informed=0,N78,0)</f>
        <v>0</v>
      </c>
      <c r="AB78" s="51" t="e">
        <f aca="false">IF(Arterial=0,IF(Informed=1,1,0),0)</f>
        <v>#N/A</v>
      </c>
      <c r="AC78" s="51" t="e">
        <f aca="false">IF(Arterial=0,IF(Informed=0,1,0),0)</f>
        <v>#N/A</v>
      </c>
      <c r="AD78" s="51" t="e">
        <f aca="false">IF(Arterial=1,IF(Informed=1,1,0),0)</f>
        <v>#N/A</v>
      </c>
      <c r="AE78" s="51" t="e">
        <f aca="false">IF(Arterial=1,IF(Informed=0,1,0),0)</f>
        <v>#N/A</v>
      </c>
      <c r="AF78" s="44" t="e">
        <f aca="false">IF(AB78=1,(X78-G$1030)^2,0)</f>
        <v>#N/A</v>
      </c>
      <c r="AG78" s="44" t="e">
        <f aca="false">IF(AC78=1,(Y78-H$1030)^2,0)</f>
        <v>#N/A</v>
      </c>
      <c r="AH78" s="44" t="e">
        <f aca="false">IF(AD78=1,(Z78-I$1030)^2,0)</f>
        <v>#N/A</v>
      </c>
      <c r="AI78" s="44" t="e">
        <f aca="false">IF(AE78=1,(AA78-J$1030)^2,0)</f>
        <v>#N/A</v>
      </c>
    </row>
    <row r="79" customFormat="false" ht="12" hidden="false" customHeight="false" outlineLevel="0" collapsed="false">
      <c r="A79" s="29" t="n">
        <v>62</v>
      </c>
      <c r="B79" s="45" t="n">
        <f aca="true">IF(RAND()&lt;$D$8,1,0)</f>
        <v>1</v>
      </c>
      <c r="C79" s="34" t="n">
        <f aca="true">-LN(RAND())/$D$2</f>
        <v>0.290971728521413</v>
      </c>
      <c r="D79" s="46" t="n">
        <f aca="false">D78+C79</f>
        <v>87.8171211809716</v>
      </c>
      <c r="E79" s="47" t="e">
        <f aca="false">MAX($D$3,(1+P78-VLOOKUP(VALUE(D79),$J$18:$Q78,7,TRUE()))*$D$3)</f>
        <v>#N/A</v>
      </c>
      <c r="F79" s="47" t="e">
        <f aca="false">MAX($D$4,(1+Q78-VLOOKUP(VALUE(D79),$M$18:$Q78,5,TRUE()))*$D$4)</f>
        <v>#N/A</v>
      </c>
      <c r="G79" s="48" t="n">
        <v>0.5</v>
      </c>
      <c r="H79" s="46" t="e">
        <f aca="true">IF((B79=1),(IF((F79&lt;E79),1,(IF((F79=E79),(IF(RAND()&lt;G79,1,0)),0)))),(IF((RAND()&lt;G79),1,0)))</f>
        <v>#N/A</v>
      </c>
      <c r="I79" s="46" t="e">
        <f aca="true">IF((H79=1),0,$D$3+$D$5*(RAND()-0.5))</f>
        <v>#N/A</v>
      </c>
      <c r="J79" s="46" t="e">
        <f aca="false">I79+MAX(D79,J78)</f>
        <v>#N/A</v>
      </c>
      <c r="K79" s="46" t="e">
        <f aca="false">IF((H79=0),J79-D79,0)</f>
        <v>#N/A</v>
      </c>
      <c r="L79" s="46" t="e">
        <f aca="true">IF(($H79=0),0,$D$4+$D$5*(RAND()-0.5))</f>
        <v>#N/A</v>
      </c>
      <c r="M79" s="46" t="e">
        <f aca="false">L79+MAX(D79,M78)</f>
        <v>#N/A</v>
      </c>
      <c r="N79" s="46" t="e">
        <f aca="false">IF((H79=1),M79-D79,0)</f>
        <v>#N/A</v>
      </c>
      <c r="O79" s="29" t="n">
        <v>62</v>
      </c>
      <c r="P79" s="49" t="e">
        <f aca="false">IF((Arterial=0),P78+1,P78)</f>
        <v>#N/A</v>
      </c>
      <c r="Q79" s="49" t="e">
        <f aca="false">IF((Arterial=1),Q78+1,Q78)</f>
        <v>#N/A</v>
      </c>
      <c r="R79" s="50" t="n">
        <f aca="false">IF((RESET=1),0,R79+K79)</f>
        <v>0</v>
      </c>
      <c r="S79" s="19" t="n">
        <f aca="false">IF(RESET=1,0,S79+N79)</f>
        <v>0</v>
      </c>
      <c r="T79" s="0" t="n">
        <f aca="false">IF(RESET=1,0,T79+IF(H79=0,1,0))</f>
        <v>0</v>
      </c>
      <c r="U79" s="0" t="n">
        <f aca="false">IF(RESET=1,0,U79+H79)</f>
        <v>0</v>
      </c>
      <c r="V79" s="19" t="n">
        <f aca="false">R79/(T79+0.00001)</f>
        <v>0</v>
      </c>
      <c r="W79" s="19" t="n">
        <f aca="false">S79/(U79+0.0001)</f>
        <v>0</v>
      </c>
      <c r="X79" s="47" t="e">
        <f aca="false">IF(Informed=1,K79,0)</f>
        <v>#N/A</v>
      </c>
      <c r="Y79" s="47" t="n">
        <f aca="false">IF(Informed=0,K79,0)</f>
        <v>0</v>
      </c>
      <c r="Z79" s="47" t="e">
        <f aca="false">IF(Informed=1,N79,0)</f>
        <v>#N/A</v>
      </c>
      <c r="AA79" s="47" t="n">
        <f aca="false">IF(Informed=0,N79,0)</f>
        <v>0</v>
      </c>
      <c r="AB79" s="51" t="e">
        <f aca="false">IF(Arterial=0,IF(Informed=1,1,0),0)</f>
        <v>#N/A</v>
      </c>
      <c r="AC79" s="51" t="e">
        <f aca="false">IF(Arterial=0,IF(Informed=0,1,0),0)</f>
        <v>#N/A</v>
      </c>
      <c r="AD79" s="51" t="e">
        <f aca="false">IF(Arterial=1,IF(Informed=1,1,0),0)</f>
        <v>#N/A</v>
      </c>
      <c r="AE79" s="51" t="e">
        <f aca="false">IF(Arterial=1,IF(Informed=0,1,0),0)</f>
        <v>#N/A</v>
      </c>
      <c r="AF79" s="44" t="e">
        <f aca="false">IF(AB79=1,(X79-G$1030)^2,0)</f>
        <v>#N/A</v>
      </c>
      <c r="AG79" s="44" t="e">
        <f aca="false">IF(AC79=1,(Y79-H$1030)^2,0)</f>
        <v>#N/A</v>
      </c>
      <c r="AH79" s="44" t="e">
        <f aca="false">IF(AD79=1,(Z79-I$1030)^2,0)</f>
        <v>#N/A</v>
      </c>
      <c r="AI79" s="44" t="e">
        <f aca="false">IF(AE79=1,(AA79-J$1030)^2,0)</f>
        <v>#N/A</v>
      </c>
    </row>
    <row r="80" customFormat="false" ht="12" hidden="false" customHeight="false" outlineLevel="0" collapsed="false">
      <c r="A80" s="29" t="n">
        <v>63</v>
      </c>
      <c r="B80" s="45" t="n">
        <f aca="true">IF(RAND()&lt;$D$8,1,0)</f>
        <v>1</v>
      </c>
      <c r="C80" s="34" t="n">
        <f aca="true">-LN(RAND())/$D$2</f>
        <v>1.31644630661329</v>
      </c>
      <c r="D80" s="46" t="n">
        <f aca="false">D79+C80</f>
        <v>89.1335674875849</v>
      </c>
      <c r="E80" s="47" t="e">
        <f aca="false">MAX($D$3,(1+P79-VLOOKUP(VALUE(D80),$J$18:$Q79,7,TRUE()))*$D$3)</f>
        <v>#N/A</v>
      </c>
      <c r="F80" s="47" t="e">
        <f aca="false">MAX($D$4,(1+Q79-VLOOKUP(VALUE(D80),$M$18:$Q79,5,TRUE()))*$D$4)</f>
        <v>#N/A</v>
      </c>
      <c r="G80" s="48" t="n">
        <v>0.5</v>
      </c>
      <c r="H80" s="46" t="e">
        <f aca="true">IF((B80=1),(IF((F80&lt;E80),1,(IF((F80=E80),(IF(RAND()&lt;G80,1,0)),0)))),(IF((RAND()&lt;G80),1,0)))</f>
        <v>#N/A</v>
      </c>
      <c r="I80" s="46" t="e">
        <f aca="true">IF((H80=1),0,$D$3+$D$5*(RAND()-0.5))</f>
        <v>#N/A</v>
      </c>
      <c r="J80" s="46" t="e">
        <f aca="false">I80+MAX(D80,J79)</f>
        <v>#N/A</v>
      </c>
      <c r="K80" s="46" t="e">
        <f aca="false">IF((H80=0),J80-D80,0)</f>
        <v>#N/A</v>
      </c>
      <c r="L80" s="46" t="e">
        <f aca="true">IF(($H80=0),0,$D$4+$D$5*(RAND()-0.5))</f>
        <v>#N/A</v>
      </c>
      <c r="M80" s="46" t="e">
        <f aca="false">L80+MAX(D80,M79)</f>
        <v>#N/A</v>
      </c>
      <c r="N80" s="46" t="e">
        <f aca="false">IF((H80=1),M80-D80,0)</f>
        <v>#N/A</v>
      </c>
      <c r="O80" s="29" t="n">
        <v>63</v>
      </c>
      <c r="P80" s="49" t="e">
        <f aca="false">IF((Arterial=0),P79+1,P79)</f>
        <v>#N/A</v>
      </c>
      <c r="Q80" s="49" t="e">
        <f aca="false">IF((Arterial=1),Q79+1,Q79)</f>
        <v>#N/A</v>
      </c>
      <c r="R80" s="50" t="n">
        <f aca="false">IF((RESET=1),0,R80+K80)</f>
        <v>0</v>
      </c>
      <c r="S80" s="19" t="n">
        <f aca="false">IF(RESET=1,0,S80+N80)</f>
        <v>0</v>
      </c>
      <c r="T80" s="0" t="n">
        <f aca="false">IF(RESET=1,0,T80+IF(H80=0,1,0))</f>
        <v>0</v>
      </c>
      <c r="U80" s="0" t="n">
        <f aca="false">IF(RESET=1,0,U80+H80)</f>
        <v>0</v>
      </c>
      <c r="V80" s="19" t="n">
        <f aca="false">R80/(T80+0.00001)</f>
        <v>0</v>
      </c>
      <c r="W80" s="19" t="n">
        <f aca="false">S80/(U80+0.0001)</f>
        <v>0</v>
      </c>
      <c r="X80" s="47" t="e">
        <f aca="false">IF(Informed=1,K80,0)</f>
        <v>#N/A</v>
      </c>
      <c r="Y80" s="47" t="n">
        <f aca="false">IF(Informed=0,K80,0)</f>
        <v>0</v>
      </c>
      <c r="Z80" s="47" t="e">
        <f aca="false">IF(Informed=1,N80,0)</f>
        <v>#N/A</v>
      </c>
      <c r="AA80" s="47" t="n">
        <f aca="false">IF(Informed=0,N80,0)</f>
        <v>0</v>
      </c>
      <c r="AB80" s="51" t="e">
        <f aca="false">IF(Arterial=0,IF(Informed=1,1,0),0)</f>
        <v>#N/A</v>
      </c>
      <c r="AC80" s="51" t="e">
        <f aca="false">IF(Arterial=0,IF(Informed=0,1,0),0)</f>
        <v>#N/A</v>
      </c>
      <c r="AD80" s="51" t="e">
        <f aca="false">IF(Arterial=1,IF(Informed=1,1,0),0)</f>
        <v>#N/A</v>
      </c>
      <c r="AE80" s="51" t="e">
        <f aca="false">IF(Arterial=1,IF(Informed=0,1,0),0)</f>
        <v>#N/A</v>
      </c>
      <c r="AF80" s="44" t="e">
        <f aca="false">IF(AB80=1,(X80-G$1030)^2,0)</f>
        <v>#N/A</v>
      </c>
      <c r="AG80" s="44" t="e">
        <f aca="false">IF(AC80=1,(Y80-H$1030)^2,0)</f>
        <v>#N/A</v>
      </c>
      <c r="AH80" s="44" t="e">
        <f aca="false">IF(AD80=1,(Z80-I$1030)^2,0)</f>
        <v>#N/A</v>
      </c>
      <c r="AI80" s="44" t="e">
        <f aca="false">IF(AE80=1,(AA80-J$1030)^2,0)</f>
        <v>#N/A</v>
      </c>
    </row>
    <row r="81" customFormat="false" ht="12" hidden="false" customHeight="false" outlineLevel="0" collapsed="false">
      <c r="A81" s="29" t="n">
        <v>64</v>
      </c>
      <c r="B81" s="45" t="n">
        <f aca="true">IF(RAND()&lt;$D$8,1,0)</f>
        <v>1</v>
      </c>
      <c r="C81" s="34" t="n">
        <f aca="true">-LN(RAND())/$D$2</f>
        <v>0.293958573041139</v>
      </c>
      <c r="D81" s="46" t="n">
        <f aca="false">D80+C81</f>
        <v>89.4275260606261</v>
      </c>
      <c r="E81" s="47" t="e">
        <f aca="false">MAX($D$3,(1+P80-VLOOKUP(VALUE(D81),$J$18:$Q80,7,TRUE()))*$D$3)</f>
        <v>#N/A</v>
      </c>
      <c r="F81" s="47" t="e">
        <f aca="false">MAX($D$4,(1+Q80-VLOOKUP(VALUE(D81),$M$18:$Q80,5,TRUE()))*$D$4)</f>
        <v>#N/A</v>
      </c>
      <c r="G81" s="48" t="n">
        <v>0.5</v>
      </c>
      <c r="H81" s="46" t="e">
        <f aca="true">IF((B81=1),(IF((F81&lt;E81),1,(IF((F81=E81),(IF(RAND()&lt;G81,1,0)),0)))),(IF((RAND()&lt;G81),1,0)))</f>
        <v>#N/A</v>
      </c>
      <c r="I81" s="46" t="e">
        <f aca="true">IF((H81=1),0,$D$3+$D$5*(RAND()-0.5))</f>
        <v>#N/A</v>
      </c>
      <c r="J81" s="46" t="e">
        <f aca="false">I81+MAX(D81,J80)</f>
        <v>#N/A</v>
      </c>
      <c r="K81" s="46" t="e">
        <f aca="false">IF((H81=0),J81-D81,0)</f>
        <v>#N/A</v>
      </c>
      <c r="L81" s="46" t="e">
        <f aca="true">IF(($H81=0),0,$D$4+$D$5*(RAND()-0.5))</f>
        <v>#N/A</v>
      </c>
      <c r="M81" s="46" t="e">
        <f aca="false">L81+MAX(D81,M80)</f>
        <v>#N/A</v>
      </c>
      <c r="N81" s="46" t="e">
        <f aca="false">IF((H81=1),M81-D81,0)</f>
        <v>#N/A</v>
      </c>
      <c r="O81" s="29" t="n">
        <v>64</v>
      </c>
      <c r="P81" s="49" t="e">
        <f aca="false">IF((Arterial=0),P80+1,P80)</f>
        <v>#N/A</v>
      </c>
      <c r="Q81" s="49" t="e">
        <f aca="false">IF((Arterial=1),Q80+1,Q80)</f>
        <v>#N/A</v>
      </c>
      <c r="R81" s="50" t="n">
        <f aca="false">IF((RESET=1),0,R81+K81)</f>
        <v>0</v>
      </c>
      <c r="S81" s="19" t="n">
        <f aca="false">IF(RESET=1,0,S81+N81)</f>
        <v>0</v>
      </c>
      <c r="T81" s="0" t="n">
        <f aca="false">IF(RESET=1,0,T81+IF(H81=0,1,0))</f>
        <v>0</v>
      </c>
      <c r="U81" s="0" t="n">
        <f aca="false">IF(RESET=1,0,U81+H81)</f>
        <v>0</v>
      </c>
      <c r="V81" s="19" t="n">
        <f aca="false">R81/(T81+0.00001)</f>
        <v>0</v>
      </c>
      <c r="W81" s="19" t="n">
        <f aca="false">S81/(U81+0.0001)</f>
        <v>0</v>
      </c>
      <c r="X81" s="47" t="e">
        <f aca="false">IF(Informed=1,K81,0)</f>
        <v>#N/A</v>
      </c>
      <c r="Y81" s="47" t="n">
        <f aca="false">IF(Informed=0,K81,0)</f>
        <v>0</v>
      </c>
      <c r="Z81" s="47" t="e">
        <f aca="false">IF(Informed=1,N81,0)</f>
        <v>#N/A</v>
      </c>
      <c r="AA81" s="47" t="n">
        <f aca="false">IF(Informed=0,N81,0)</f>
        <v>0</v>
      </c>
      <c r="AB81" s="51" t="e">
        <f aca="false">IF(Arterial=0,IF(Informed=1,1,0),0)</f>
        <v>#N/A</v>
      </c>
      <c r="AC81" s="51" t="e">
        <f aca="false">IF(Arterial=0,IF(Informed=0,1,0),0)</f>
        <v>#N/A</v>
      </c>
      <c r="AD81" s="51" t="e">
        <f aca="false">IF(Arterial=1,IF(Informed=1,1,0),0)</f>
        <v>#N/A</v>
      </c>
      <c r="AE81" s="51" t="e">
        <f aca="false">IF(Arterial=1,IF(Informed=0,1,0),0)</f>
        <v>#N/A</v>
      </c>
      <c r="AF81" s="44" t="e">
        <f aca="false">IF(AB81=1,(X81-G$1030)^2,0)</f>
        <v>#N/A</v>
      </c>
      <c r="AG81" s="44" t="e">
        <f aca="false">IF(AC81=1,(Y81-H$1030)^2,0)</f>
        <v>#N/A</v>
      </c>
      <c r="AH81" s="44" t="e">
        <f aca="false">IF(AD81=1,(Z81-I$1030)^2,0)</f>
        <v>#N/A</v>
      </c>
      <c r="AI81" s="44" t="e">
        <f aca="false">IF(AE81=1,(AA81-J$1030)^2,0)</f>
        <v>#N/A</v>
      </c>
    </row>
    <row r="82" customFormat="false" ht="12" hidden="false" customHeight="false" outlineLevel="0" collapsed="false">
      <c r="A82" s="29" t="n">
        <v>65</v>
      </c>
      <c r="B82" s="45" t="n">
        <f aca="true">IF(RAND()&lt;$D$8,1,0)</f>
        <v>1</v>
      </c>
      <c r="C82" s="34" t="n">
        <f aca="true">-LN(RAND())/$D$2</f>
        <v>1.41856476435734</v>
      </c>
      <c r="D82" s="46" t="n">
        <f aca="false">D81+C82</f>
        <v>90.8460908249834</v>
      </c>
      <c r="E82" s="47" t="e">
        <f aca="false">MAX($D$3,(1+P81-VLOOKUP(VALUE(D82),$J$18:$Q81,7,TRUE()))*$D$3)</f>
        <v>#N/A</v>
      </c>
      <c r="F82" s="47" t="e">
        <f aca="false">MAX($D$4,(1+Q81-VLOOKUP(VALUE(D82),$M$18:$Q81,5,TRUE()))*$D$4)</f>
        <v>#N/A</v>
      </c>
      <c r="G82" s="48" t="n">
        <v>0.5</v>
      </c>
      <c r="H82" s="46" t="e">
        <f aca="true">IF((B82=1),(IF((F82&lt;E82),1,(IF((F82=E82),(IF(RAND()&lt;G82,1,0)),0)))),(IF((RAND()&lt;G82),1,0)))</f>
        <v>#N/A</v>
      </c>
      <c r="I82" s="46" t="e">
        <f aca="true">IF((H82=1),0,$D$3+$D$5*(RAND()-0.5))</f>
        <v>#N/A</v>
      </c>
      <c r="J82" s="46" t="e">
        <f aca="false">I82+MAX(D82,J81)</f>
        <v>#N/A</v>
      </c>
      <c r="K82" s="46" t="e">
        <f aca="false">IF((H82=0),J82-D82,0)</f>
        <v>#N/A</v>
      </c>
      <c r="L82" s="46" t="e">
        <f aca="true">IF(($H82=0),0,$D$4+$D$5*(RAND()-0.5))</f>
        <v>#N/A</v>
      </c>
      <c r="M82" s="46" t="e">
        <f aca="false">L82+MAX(D82,M81)</f>
        <v>#N/A</v>
      </c>
      <c r="N82" s="46" t="e">
        <f aca="false">IF((H82=1),M82-D82,0)</f>
        <v>#N/A</v>
      </c>
      <c r="O82" s="29" t="n">
        <v>65</v>
      </c>
      <c r="P82" s="49" t="e">
        <f aca="false">IF((Arterial=0),P81+1,P81)</f>
        <v>#N/A</v>
      </c>
      <c r="Q82" s="49" t="e">
        <f aca="false">IF((Arterial=1),Q81+1,Q81)</f>
        <v>#N/A</v>
      </c>
      <c r="R82" s="50" t="n">
        <f aca="false">IF((RESET=1),0,R82+K82)</f>
        <v>0</v>
      </c>
      <c r="S82" s="19" t="n">
        <f aca="false">IF(RESET=1,0,S82+N82)</f>
        <v>0</v>
      </c>
      <c r="T82" s="0" t="n">
        <f aca="false">IF(RESET=1,0,T82+IF(H82=0,1,0))</f>
        <v>0</v>
      </c>
      <c r="U82" s="0" t="n">
        <f aca="false">IF(RESET=1,0,U82+H82)</f>
        <v>0</v>
      </c>
      <c r="V82" s="19" t="n">
        <f aca="false">R82/(T82+0.00001)</f>
        <v>0</v>
      </c>
      <c r="W82" s="19" t="n">
        <f aca="false">S82/(U82+0.0001)</f>
        <v>0</v>
      </c>
      <c r="X82" s="47" t="e">
        <f aca="false">IF(Informed=1,K82,0)</f>
        <v>#N/A</v>
      </c>
      <c r="Y82" s="47" t="n">
        <f aca="false">IF(Informed=0,K82,0)</f>
        <v>0</v>
      </c>
      <c r="Z82" s="47" t="e">
        <f aca="false">IF(Informed=1,N82,0)</f>
        <v>#N/A</v>
      </c>
      <c r="AA82" s="47" t="n">
        <f aca="false">IF(Informed=0,N82,0)</f>
        <v>0</v>
      </c>
      <c r="AB82" s="51" t="e">
        <f aca="false">IF(Arterial=0,IF(Informed=1,1,0),0)</f>
        <v>#N/A</v>
      </c>
      <c r="AC82" s="51" t="e">
        <f aca="false">IF(Arterial=0,IF(Informed=0,1,0),0)</f>
        <v>#N/A</v>
      </c>
      <c r="AD82" s="51" t="e">
        <f aca="false">IF(Arterial=1,IF(Informed=1,1,0),0)</f>
        <v>#N/A</v>
      </c>
      <c r="AE82" s="51" t="e">
        <f aca="false">IF(Arterial=1,IF(Informed=0,1,0),0)</f>
        <v>#N/A</v>
      </c>
      <c r="AF82" s="44" t="e">
        <f aca="false">IF(AB82=1,(X82-G$1030)^2,0)</f>
        <v>#N/A</v>
      </c>
      <c r="AG82" s="44" t="e">
        <f aca="false">IF(AC82=1,(Y82-H$1030)^2,0)</f>
        <v>#N/A</v>
      </c>
      <c r="AH82" s="44" t="e">
        <f aca="false">IF(AD82=1,(Z82-I$1030)^2,0)</f>
        <v>#N/A</v>
      </c>
      <c r="AI82" s="44" t="e">
        <f aca="false">IF(AE82=1,(AA82-J$1030)^2,0)</f>
        <v>#N/A</v>
      </c>
    </row>
    <row r="83" customFormat="false" ht="12" hidden="false" customHeight="false" outlineLevel="0" collapsed="false">
      <c r="A83" s="29" t="n">
        <v>66</v>
      </c>
      <c r="B83" s="45" t="n">
        <f aca="true">IF(RAND()&lt;$D$8,1,0)</f>
        <v>1</v>
      </c>
      <c r="C83" s="34" t="n">
        <f aca="true">-LN(RAND())/$D$2</f>
        <v>5.57398327164611</v>
      </c>
      <c r="D83" s="46" t="n">
        <f aca="false">D82+C83</f>
        <v>96.4200740966295</v>
      </c>
      <c r="E83" s="47" t="e">
        <f aca="false">MAX($D$3,(1+P82-VLOOKUP(VALUE(D83),$J$18:$Q82,7,TRUE()))*$D$3)</f>
        <v>#N/A</v>
      </c>
      <c r="F83" s="47" t="e">
        <f aca="false">MAX($D$4,(1+Q82-VLOOKUP(VALUE(D83),$M$18:$Q82,5,TRUE()))*$D$4)</f>
        <v>#N/A</v>
      </c>
      <c r="G83" s="48" t="n">
        <v>0.5</v>
      </c>
      <c r="H83" s="46" t="e">
        <f aca="true">IF((B83=1),(IF((F83&lt;E83),1,(IF((F83=E83),(IF(RAND()&lt;G83,1,0)),0)))),(IF((RAND()&lt;G83),1,0)))</f>
        <v>#N/A</v>
      </c>
      <c r="I83" s="46" t="e">
        <f aca="true">IF((H83=1),0,$D$3+$D$5*(RAND()-0.5))</f>
        <v>#N/A</v>
      </c>
      <c r="J83" s="46" t="e">
        <f aca="false">I83+MAX(D83,J82)</f>
        <v>#N/A</v>
      </c>
      <c r="K83" s="46" t="e">
        <f aca="false">IF((H83=0),J83-D83,0)</f>
        <v>#N/A</v>
      </c>
      <c r="L83" s="46" t="e">
        <f aca="true">IF(($H83=0),0,$D$4+$D$5*(RAND()-0.5))</f>
        <v>#N/A</v>
      </c>
      <c r="M83" s="46" t="e">
        <f aca="false">L83+MAX(D83,M82)</f>
        <v>#N/A</v>
      </c>
      <c r="N83" s="46" t="e">
        <f aca="false">IF((H83=1),M83-D83,0)</f>
        <v>#N/A</v>
      </c>
      <c r="O83" s="29" t="n">
        <v>66</v>
      </c>
      <c r="P83" s="49" t="e">
        <f aca="false">IF((Arterial=0),P82+1,P82)</f>
        <v>#N/A</v>
      </c>
      <c r="Q83" s="49" t="e">
        <f aca="false">IF((Arterial=1),Q82+1,Q82)</f>
        <v>#N/A</v>
      </c>
      <c r="R83" s="50" t="n">
        <f aca="false">IF((RESET=1),0,R83+K83)</f>
        <v>0</v>
      </c>
      <c r="S83" s="19" t="n">
        <f aca="false">IF(RESET=1,0,S83+N83)</f>
        <v>0</v>
      </c>
      <c r="T83" s="0" t="n">
        <f aca="false">IF(RESET=1,0,T83+IF(H83=0,1,0))</f>
        <v>0</v>
      </c>
      <c r="U83" s="0" t="n">
        <f aca="false">IF(RESET=1,0,U83+H83)</f>
        <v>0</v>
      </c>
      <c r="V83" s="19" t="n">
        <f aca="false">R83/(T83+0.00001)</f>
        <v>0</v>
      </c>
      <c r="W83" s="19" t="n">
        <f aca="false">S83/(U83+0.0001)</f>
        <v>0</v>
      </c>
      <c r="X83" s="47" t="e">
        <f aca="false">IF(Informed=1,K83,0)</f>
        <v>#N/A</v>
      </c>
      <c r="Y83" s="47" t="n">
        <f aca="false">IF(Informed=0,K83,0)</f>
        <v>0</v>
      </c>
      <c r="Z83" s="47" t="e">
        <f aca="false">IF(Informed=1,N83,0)</f>
        <v>#N/A</v>
      </c>
      <c r="AA83" s="47" t="n">
        <f aca="false">IF(Informed=0,N83,0)</f>
        <v>0</v>
      </c>
      <c r="AB83" s="51" t="e">
        <f aca="false">IF(Arterial=0,IF(Informed=1,1,0),0)</f>
        <v>#N/A</v>
      </c>
      <c r="AC83" s="51" t="e">
        <f aca="false">IF(Arterial=0,IF(Informed=0,1,0),0)</f>
        <v>#N/A</v>
      </c>
      <c r="AD83" s="51" t="e">
        <f aca="false">IF(Arterial=1,IF(Informed=1,1,0),0)</f>
        <v>#N/A</v>
      </c>
      <c r="AE83" s="51" t="e">
        <f aca="false">IF(Arterial=1,IF(Informed=0,1,0),0)</f>
        <v>#N/A</v>
      </c>
      <c r="AF83" s="44" t="e">
        <f aca="false">IF(AB83=1,(X83-G$1030)^2,0)</f>
        <v>#N/A</v>
      </c>
      <c r="AG83" s="44" t="e">
        <f aca="false">IF(AC83=1,(Y83-H$1030)^2,0)</f>
        <v>#N/A</v>
      </c>
      <c r="AH83" s="44" t="e">
        <f aca="false">IF(AD83=1,(Z83-I$1030)^2,0)</f>
        <v>#N/A</v>
      </c>
      <c r="AI83" s="44" t="e">
        <f aca="false">IF(AE83=1,(AA83-J$1030)^2,0)</f>
        <v>#N/A</v>
      </c>
    </row>
    <row r="84" customFormat="false" ht="12" hidden="false" customHeight="false" outlineLevel="0" collapsed="false">
      <c r="A84" s="29" t="n">
        <v>67</v>
      </c>
      <c r="B84" s="45" t="n">
        <f aca="true">IF(RAND()&lt;$D$8,1,0)</f>
        <v>1</v>
      </c>
      <c r="C84" s="34" t="n">
        <f aca="true">-LN(RAND())/$D$2</f>
        <v>0.0382307214432003</v>
      </c>
      <c r="D84" s="46" t="n">
        <f aca="false">D83+C84</f>
        <v>96.4583048180727</v>
      </c>
      <c r="E84" s="47" t="e">
        <f aca="false">MAX($D$3,(1+P83-VLOOKUP(VALUE(D84),$J$18:$Q83,7,TRUE()))*$D$3)</f>
        <v>#N/A</v>
      </c>
      <c r="F84" s="47" t="e">
        <f aca="false">MAX($D$4,(1+Q83-VLOOKUP(VALUE(D84),$M$18:$Q83,5,TRUE()))*$D$4)</f>
        <v>#N/A</v>
      </c>
      <c r="G84" s="48" t="n">
        <v>0.5</v>
      </c>
      <c r="H84" s="46" t="e">
        <f aca="true">IF((B84=1),(IF((F84&lt;E84),1,(IF((F84=E84),(IF(RAND()&lt;G84,1,0)),0)))),(IF((RAND()&lt;G84),1,0)))</f>
        <v>#N/A</v>
      </c>
      <c r="I84" s="46" t="e">
        <f aca="true">IF((H84=1),0,$D$3+$D$5*(RAND()-0.5))</f>
        <v>#N/A</v>
      </c>
      <c r="J84" s="46" t="e">
        <f aca="false">I84+MAX(D84,J83)</f>
        <v>#N/A</v>
      </c>
      <c r="K84" s="46" t="e">
        <f aca="false">IF((H84=0),J84-D84,0)</f>
        <v>#N/A</v>
      </c>
      <c r="L84" s="46" t="e">
        <f aca="true">IF(($H84=0),0,$D$4+$D$5*(RAND()-0.5))</f>
        <v>#N/A</v>
      </c>
      <c r="M84" s="46" t="e">
        <f aca="false">L84+MAX(D84,M83)</f>
        <v>#N/A</v>
      </c>
      <c r="N84" s="46" t="e">
        <f aca="false">IF((H84=1),M84-D84,0)</f>
        <v>#N/A</v>
      </c>
      <c r="O84" s="29" t="n">
        <v>67</v>
      </c>
      <c r="P84" s="49" t="e">
        <f aca="false">IF((Arterial=0),P83+1,P83)</f>
        <v>#N/A</v>
      </c>
      <c r="Q84" s="49" t="e">
        <f aca="false">IF((Arterial=1),Q83+1,Q83)</f>
        <v>#N/A</v>
      </c>
      <c r="R84" s="50" t="n">
        <f aca="false">IF((RESET=1),0,R84+K84)</f>
        <v>0</v>
      </c>
      <c r="S84" s="19" t="n">
        <f aca="false">IF(RESET=1,0,S84+N84)</f>
        <v>0</v>
      </c>
      <c r="T84" s="0" t="n">
        <f aca="false">IF(RESET=1,0,T84+IF(H84=0,1,0))</f>
        <v>0</v>
      </c>
      <c r="U84" s="0" t="n">
        <f aca="false">IF(RESET=1,0,U84+H84)</f>
        <v>0</v>
      </c>
      <c r="V84" s="19" t="n">
        <f aca="false">R84/(T84+0.00001)</f>
        <v>0</v>
      </c>
      <c r="W84" s="19" t="n">
        <f aca="false">S84/(U84+0.0001)</f>
        <v>0</v>
      </c>
      <c r="X84" s="47" t="e">
        <f aca="false">IF(Informed=1,K84,0)</f>
        <v>#N/A</v>
      </c>
      <c r="Y84" s="47" t="n">
        <f aca="false">IF(Informed=0,K84,0)</f>
        <v>0</v>
      </c>
      <c r="Z84" s="47" t="e">
        <f aca="false">IF(Informed=1,N84,0)</f>
        <v>#N/A</v>
      </c>
      <c r="AA84" s="47" t="n">
        <f aca="false">IF(Informed=0,N84,0)</f>
        <v>0</v>
      </c>
      <c r="AB84" s="51" t="e">
        <f aca="false">IF(Arterial=0,IF(Informed=1,1,0),0)</f>
        <v>#N/A</v>
      </c>
      <c r="AC84" s="51" t="e">
        <f aca="false">IF(Arterial=0,IF(Informed=0,1,0),0)</f>
        <v>#N/A</v>
      </c>
      <c r="AD84" s="51" t="e">
        <f aca="false">IF(Arterial=1,IF(Informed=1,1,0),0)</f>
        <v>#N/A</v>
      </c>
      <c r="AE84" s="51" t="e">
        <f aca="false">IF(Arterial=1,IF(Informed=0,1,0),0)</f>
        <v>#N/A</v>
      </c>
      <c r="AF84" s="44" t="e">
        <f aca="false">IF(AB84=1,(X84-G$1030)^2,0)</f>
        <v>#N/A</v>
      </c>
      <c r="AG84" s="44" t="e">
        <f aca="false">IF(AC84=1,(Y84-H$1030)^2,0)</f>
        <v>#N/A</v>
      </c>
      <c r="AH84" s="44" t="e">
        <f aca="false">IF(AD84=1,(Z84-I$1030)^2,0)</f>
        <v>#N/A</v>
      </c>
      <c r="AI84" s="44" t="e">
        <f aca="false">IF(AE84=1,(AA84-J$1030)^2,0)</f>
        <v>#N/A</v>
      </c>
    </row>
    <row r="85" customFormat="false" ht="12" hidden="false" customHeight="false" outlineLevel="0" collapsed="false">
      <c r="A85" s="29" t="n">
        <v>68</v>
      </c>
      <c r="B85" s="45" t="n">
        <f aca="true">IF(RAND()&lt;$D$8,1,0)</f>
        <v>1</v>
      </c>
      <c r="C85" s="34" t="n">
        <f aca="true">-LN(RAND())/$D$2</f>
        <v>4.29000424116122</v>
      </c>
      <c r="D85" s="46" t="n">
        <f aca="false">D84+C85</f>
        <v>100.748309059234</v>
      </c>
      <c r="E85" s="47" t="e">
        <f aca="false">MAX($D$3,(1+P84-VLOOKUP(VALUE(D85),$J$18:$Q84,7,TRUE()))*$D$3)</f>
        <v>#N/A</v>
      </c>
      <c r="F85" s="47" t="e">
        <f aca="false">MAX($D$4,(1+Q84-VLOOKUP(VALUE(D85),$M$18:$Q84,5,TRUE()))*$D$4)</f>
        <v>#N/A</v>
      </c>
      <c r="G85" s="48" t="n">
        <v>0.5</v>
      </c>
      <c r="H85" s="46" t="e">
        <f aca="true">IF((B85=1),(IF((F85&lt;E85),1,(IF((F85=E85),(IF(RAND()&lt;G85,1,0)),0)))),(IF((RAND()&lt;G85),1,0)))</f>
        <v>#N/A</v>
      </c>
      <c r="I85" s="46" t="e">
        <f aca="true">IF((H85=1),0,$D$3+$D$5*(RAND()-0.5))</f>
        <v>#N/A</v>
      </c>
      <c r="J85" s="46" t="e">
        <f aca="false">I85+MAX(D85,J84)</f>
        <v>#N/A</v>
      </c>
      <c r="K85" s="46" t="e">
        <f aca="false">IF((H85=0),J85-D85,0)</f>
        <v>#N/A</v>
      </c>
      <c r="L85" s="46" t="e">
        <f aca="true">IF(($H85=0),0,$D$4+$D$5*(RAND()-0.5))</f>
        <v>#N/A</v>
      </c>
      <c r="M85" s="46" t="e">
        <f aca="false">L85+MAX(D85,M84)</f>
        <v>#N/A</v>
      </c>
      <c r="N85" s="46" t="e">
        <f aca="false">IF((H85=1),M85-D85,0)</f>
        <v>#N/A</v>
      </c>
      <c r="O85" s="29" t="n">
        <v>68</v>
      </c>
      <c r="P85" s="49" t="e">
        <f aca="false">IF((Arterial=0),P84+1,P84)</f>
        <v>#N/A</v>
      </c>
      <c r="Q85" s="49" t="e">
        <f aca="false">IF((Arterial=1),Q84+1,Q84)</f>
        <v>#N/A</v>
      </c>
      <c r="R85" s="50" t="n">
        <f aca="false">IF((RESET=1),0,R85+K85)</f>
        <v>0</v>
      </c>
      <c r="S85" s="19" t="n">
        <f aca="false">IF(RESET=1,0,S85+N85)</f>
        <v>0</v>
      </c>
      <c r="T85" s="0" t="n">
        <f aca="false">IF(RESET=1,0,T85+IF(H85=0,1,0))</f>
        <v>0</v>
      </c>
      <c r="U85" s="0" t="n">
        <f aca="false">IF(RESET=1,0,U85+H85)</f>
        <v>0</v>
      </c>
      <c r="V85" s="19" t="n">
        <f aca="false">R85/(T85+0.00001)</f>
        <v>0</v>
      </c>
      <c r="W85" s="19" t="n">
        <f aca="false">S85/(U85+0.0001)</f>
        <v>0</v>
      </c>
      <c r="X85" s="47" t="e">
        <f aca="false">IF(Informed=1,K85,0)</f>
        <v>#N/A</v>
      </c>
      <c r="Y85" s="47" t="n">
        <f aca="false">IF(Informed=0,K85,0)</f>
        <v>0</v>
      </c>
      <c r="Z85" s="47" t="e">
        <f aca="false">IF(Informed=1,N85,0)</f>
        <v>#N/A</v>
      </c>
      <c r="AA85" s="47" t="n">
        <f aca="false">IF(Informed=0,N85,0)</f>
        <v>0</v>
      </c>
      <c r="AB85" s="51" t="e">
        <f aca="false">IF(Arterial=0,IF(Informed=1,1,0),0)</f>
        <v>#N/A</v>
      </c>
      <c r="AC85" s="51" t="e">
        <f aca="false">IF(Arterial=0,IF(Informed=0,1,0),0)</f>
        <v>#N/A</v>
      </c>
      <c r="AD85" s="51" t="e">
        <f aca="false">IF(Arterial=1,IF(Informed=1,1,0),0)</f>
        <v>#N/A</v>
      </c>
      <c r="AE85" s="51" t="e">
        <f aca="false">IF(Arterial=1,IF(Informed=0,1,0),0)</f>
        <v>#N/A</v>
      </c>
      <c r="AF85" s="44" t="e">
        <f aca="false">IF(AB85=1,(X85-G$1030)^2,0)</f>
        <v>#N/A</v>
      </c>
      <c r="AG85" s="44" t="e">
        <f aca="false">IF(AC85=1,(Y85-H$1030)^2,0)</f>
        <v>#N/A</v>
      </c>
      <c r="AH85" s="44" t="e">
        <f aca="false">IF(AD85=1,(Z85-I$1030)^2,0)</f>
        <v>#N/A</v>
      </c>
      <c r="AI85" s="44" t="e">
        <f aca="false">IF(AE85=1,(AA85-J$1030)^2,0)</f>
        <v>#N/A</v>
      </c>
    </row>
    <row r="86" customFormat="false" ht="12" hidden="false" customHeight="false" outlineLevel="0" collapsed="false">
      <c r="A86" s="29" t="n">
        <v>69</v>
      </c>
      <c r="B86" s="45" t="n">
        <f aca="true">IF(RAND()&lt;$D$8,1,0)</f>
        <v>1</v>
      </c>
      <c r="C86" s="34" t="n">
        <f aca="true">-LN(RAND())/$D$2</f>
        <v>0.756356267553144</v>
      </c>
      <c r="D86" s="46" t="n">
        <f aca="false">D85+C86</f>
        <v>101.504665326787</v>
      </c>
      <c r="E86" s="47" t="e">
        <f aca="false">MAX($D$3,(1+P85-VLOOKUP(VALUE(D86),$J$18:$Q85,7,TRUE()))*$D$3)</f>
        <v>#N/A</v>
      </c>
      <c r="F86" s="47" t="e">
        <f aca="false">MAX($D$4,(1+Q85-VLOOKUP(VALUE(D86),$M$18:$Q85,5,TRUE()))*$D$4)</f>
        <v>#N/A</v>
      </c>
      <c r="G86" s="48" t="n">
        <v>0.5</v>
      </c>
      <c r="H86" s="46" t="e">
        <f aca="true">IF((B86=1),(IF((F86&lt;E86),1,(IF((F86=E86),(IF(RAND()&lt;G86,1,0)),0)))),(IF((RAND()&lt;G86),1,0)))</f>
        <v>#N/A</v>
      </c>
      <c r="I86" s="46" t="e">
        <f aca="true">IF((H86=1),0,$D$3+$D$5*(RAND()-0.5))</f>
        <v>#N/A</v>
      </c>
      <c r="J86" s="46" t="e">
        <f aca="false">I86+MAX(D86,J85)</f>
        <v>#N/A</v>
      </c>
      <c r="K86" s="46" t="e">
        <f aca="false">IF((H86=0),J86-D86,0)</f>
        <v>#N/A</v>
      </c>
      <c r="L86" s="46" t="e">
        <f aca="true">IF(($H86=0),0,$D$4+$D$5*(RAND()-0.5))</f>
        <v>#N/A</v>
      </c>
      <c r="M86" s="46" t="e">
        <f aca="false">L86+MAX(D86,M85)</f>
        <v>#N/A</v>
      </c>
      <c r="N86" s="46" t="e">
        <f aca="false">IF((H86=1),M86-D86,0)</f>
        <v>#N/A</v>
      </c>
      <c r="O86" s="29" t="n">
        <v>69</v>
      </c>
      <c r="P86" s="49" t="e">
        <f aca="false">IF((Arterial=0),P85+1,P85)</f>
        <v>#N/A</v>
      </c>
      <c r="Q86" s="49" t="e">
        <f aca="false">IF((Arterial=1),Q85+1,Q85)</f>
        <v>#N/A</v>
      </c>
      <c r="R86" s="50" t="n">
        <f aca="false">IF((RESET=1),0,R86+K86)</f>
        <v>0</v>
      </c>
      <c r="S86" s="19" t="n">
        <f aca="false">IF(RESET=1,0,S86+N86)</f>
        <v>0</v>
      </c>
      <c r="T86" s="0" t="n">
        <f aca="false">IF(RESET=1,0,T86+IF(H86=0,1,0))</f>
        <v>0</v>
      </c>
      <c r="U86" s="0" t="n">
        <f aca="false">IF(RESET=1,0,U86+H86)</f>
        <v>0</v>
      </c>
      <c r="V86" s="19" t="n">
        <f aca="false">R86/(T86+0.00001)</f>
        <v>0</v>
      </c>
      <c r="W86" s="19" t="n">
        <f aca="false">S86/(U86+0.0001)</f>
        <v>0</v>
      </c>
      <c r="X86" s="47" t="e">
        <f aca="false">IF(Informed=1,K86,0)</f>
        <v>#N/A</v>
      </c>
      <c r="Y86" s="47" t="n">
        <f aca="false">IF(Informed=0,K86,0)</f>
        <v>0</v>
      </c>
      <c r="Z86" s="47" t="e">
        <f aca="false">IF(Informed=1,N86,0)</f>
        <v>#N/A</v>
      </c>
      <c r="AA86" s="47" t="n">
        <f aca="false">IF(Informed=0,N86,0)</f>
        <v>0</v>
      </c>
      <c r="AB86" s="51" t="e">
        <f aca="false">IF(Arterial=0,IF(Informed=1,1,0),0)</f>
        <v>#N/A</v>
      </c>
      <c r="AC86" s="51" t="e">
        <f aca="false">IF(Arterial=0,IF(Informed=0,1,0),0)</f>
        <v>#N/A</v>
      </c>
      <c r="AD86" s="51" t="e">
        <f aca="false">IF(Arterial=1,IF(Informed=1,1,0),0)</f>
        <v>#N/A</v>
      </c>
      <c r="AE86" s="51" t="e">
        <f aca="false">IF(Arterial=1,IF(Informed=0,1,0),0)</f>
        <v>#N/A</v>
      </c>
      <c r="AF86" s="44" t="e">
        <f aca="false">IF(AB86=1,(X86-G$1030)^2,0)</f>
        <v>#N/A</v>
      </c>
      <c r="AG86" s="44" t="e">
        <f aca="false">IF(AC86=1,(Y86-H$1030)^2,0)</f>
        <v>#N/A</v>
      </c>
      <c r="AH86" s="44" t="e">
        <f aca="false">IF(AD86=1,(Z86-I$1030)^2,0)</f>
        <v>#N/A</v>
      </c>
      <c r="AI86" s="44" t="e">
        <f aca="false">IF(AE86=1,(AA86-J$1030)^2,0)</f>
        <v>#N/A</v>
      </c>
    </row>
    <row r="87" customFormat="false" ht="12" hidden="false" customHeight="false" outlineLevel="0" collapsed="false">
      <c r="A87" s="29" t="n">
        <v>70</v>
      </c>
      <c r="B87" s="45" t="n">
        <f aca="true">IF(RAND()&lt;$D$8,1,0)</f>
        <v>1</v>
      </c>
      <c r="C87" s="34" t="n">
        <f aca="true">-LN(RAND())/$D$2</f>
        <v>0.143012141463415</v>
      </c>
      <c r="D87" s="46" t="n">
        <f aca="false">D86+C87</f>
        <v>101.64767746825</v>
      </c>
      <c r="E87" s="47" t="e">
        <f aca="false">MAX($D$3,(1+P86-VLOOKUP(VALUE(D87),$J$18:$Q86,7,TRUE()))*$D$3)</f>
        <v>#N/A</v>
      </c>
      <c r="F87" s="47" t="e">
        <f aca="false">MAX($D$4,(1+Q86-VLOOKUP(VALUE(D87),$M$18:$Q86,5,TRUE()))*$D$4)</f>
        <v>#N/A</v>
      </c>
      <c r="G87" s="48" t="n">
        <v>0.5</v>
      </c>
      <c r="H87" s="46" t="e">
        <f aca="true">IF((B87=1),(IF((F87&lt;E87),1,(IF((F87=E87),(IF(RAND()&lt;G87,1,0)),0)))),(IF((RAND()&lt;G87),1,0)))</f>
        <v>#N/A</v>
      </c>
      <c r="I87" s="46" t="e">
        <f aca="true">IF((H87=1),0,$D$3+$D$5*(RAND()-0.5))</f>
        <v>#N/A</v>
      </c>
      <c r="J87" s="46" t="e">
        <f aca="false">I87+MAX(D87,J86)</f>
        <v>#N/A</v>
      </c>
      <c r="K87" s="46" t="e">
        <f aca="false">IF((H87=0),J87-D87,0)</f>
        <v>#N/A</v>
      </c>
      <c r="L87" s="46" t="e">
        <f aca="true">IF(($H87=0),0,$D$4+$D$5*(RAND()-0.5))</f>
        <v>#N/A</v>
      </c>
      <c r="M87" s="46" t="e">
        <f aca="false">L87+MAX(D87,M86)</f>
        <v>#N/A</v>
      </c>
      <c r="N87" s="46" t="e">
        <f aca="false">IF((H87=1),M87-D87,0)</f>
        <v>#N/A</v>
      </c>
      <c r="O87" s="29" t="n">
        <v>70</v>
      </c>
      <c r="P87" s="49" t="e">
        <f aca="false">IF((Arterial=0),P86+1,P86)</f>
        <v>#N/A</v>
      </c>
      <c r="Q87" s="49" t="e">
        <f aca="false">IF((Arterial=1),Q86+1,Q86)</f>
        <v>#N/A</v>
      </c>
      <c r="R87" s="50" t="n">
        <f aca="false">IF((RESET=1),0,R87+K87)</f>
        <v>0</v>
      </c>
      <c r="S87" s="19" t="n">
        <f aca="false">IF(RESET=1,0,S87+N87)</f>
        <v>0</v>
      </c>
      <c r="T87" s="0" t="n">
        <f aca="false">IF(RESET=1,0,T87+IF(H87=0,1,0))</f>
        <v>0</v>
      </c>
      <c r="U87" s="0" t="n">
        <f aca="false">IF(RESET=1,0,U87+H87)</f>
        <v>0</v>
      </c>
      <c r="V87" s="19" t="n">
        <f aca="false">R87/(T87+0.00001)</f>
        <v>0</v>
      </c>
      <c r="W87" s="19" t="n">
        <f aca="false">S87/(U87+0.0001)</f>
        <v>0</v>
      </c>
      <c r="X87" s="47" t="e">
        <f aca="false">IF(Informed=1,K87,0)</f>
        <v>#N/A</v>
      </c>
      <c r="Y87" s="47" t="n">
        <f aca="false">IF(Informed=0,K87,0)</f>
        <v>0</v>
      </c>
      <c r="Z87" s="47" t="e">
        <f aca="false">IF(Informed=1,N87,0)</f>
        <v>#N/A</v>
      </c>
      <c r="AA87" s="47" t="n">
        <f aca="false">IF(Informed=0,N87,0)</f>
        <v>0</v>
      </c>
      <c r="AB87" s="51" t="e">
        <f aca="false">IF(Arterial=0,IF(Informed=1,1,0),0)</f>
        <v>#N/A</v>
      </c>
      <c r="AC87" s="51" t="e">
        <f aca="false">IF(Arterial=0,IF(Informed=0,1,0),0)</f>
        <v>#N/A</v>
      </c>
      <c r="AD87" s="51" t="e">
        <f aca="false">IF(Arterial=1,IF(Informed=1,1,0),0)</f>
        <v>#N/A</v>
      </c>
      <c r="AE87" s="51" t="e">
        <f aca="false">IF(Arterial=1,IF(Informed=0,1,0),0)</f>
        <v>#N/A</v>
      </c>
      <c r="AF87" s="44" t="e">
        <f aca="false">IF(AB87=1,(X87-G$1030)^2,0)</f>
        <v>#N/A</v>
      </c>
      <c r="AG87" s="44" t="e">
        <f aca="false">IF(AC87=1,(Y87-H$1030)^2,0)</f>
        <v>#N/A</v>
      </c>
      <c r="AH87" s="44" t="e">
        <f aca="false">IF(AD87=1,(Z87-I$1030)^2,0)</f>
        <v>#N/A</v>
      </c>
      <c r="AI87" s="44" t="e">
        <f aca="false">IF(AE87=1,(AA87-J$1030)^2,0)</f>
        <v>#N/A</v>
      </c>
    </row>
    <row r="88" customFormat="false" ht="12" hidden="false" customHeight="false" outlineLevel="0" collapsed="false">
      <c r="A88" s="29" t="n">
        <v>71</v>
      </c>
      <c r="B88" s="45" t="n">
        <f aca="true">IF(RAND()&lt;$D$8,1,0)</f>
        <v>1</v>
      </c>
      <c r="C88" s="34" t="n">
        <f aca="true">-LN(RAND())/$D$2</f>
        <v>0.383354943008447</v>
      </c>
      <c r="D88" s="46" t="n">
        <f aca="false">D87+C88</f>
        <v>102.031032411259</v>
      </c>
      <c r="E88" s="47" t="e">
        <f aca="false">MAX($D$3,(1+P87-VLOOKUP(VALUE(D88),$J$18:$Q87,7,TRUE()))*$D$3)</f>
        <v>#N/A</v>
      </c>
      <c r="F88" s="47" t="e">
        <f aca="false">MAX($D$4,(1+Q87-VLOOKUP(VALUE(D88),$M$18:$Q87,5,TRUE()))*$D$4)</f>
        <v>#N/A</v>
      </c>
      <c r="G88" s="48" t="n">
        <v>0.5</v>
      </c>
      <c r="H88" s="46" t="e">
        <f aca="true">IF((B88=1),(IF((F88&lt;E88),1,(IF((F88=E88),(IF(RAND()&lt;G88,1,0)),0)))),(IF((RAND()&lt;G88),1,0)))</f>
        <v>#N/A</v>
      </c>
      <c r="I88" s="46" t="e">
        <f aca="true">IF((H88=1),0,$D$3+$D$5*(RAND()-0.5))</f>
        <v>#N/A</v>
      </c>
      <c r="J88" s="46" t="e">
        <f aca="false">I88+MAX(D88,J87)</f>
        <v>#N/A</v>
      </c>
      <c r="K88" s="46" t="e">
        <f aca="false">IF((H88=0),J88-D88,0)</f>
        <v>#N/A</v>
      </c>
      <c r="L88" s="46" t="e">
        <f aca="true">IF(($H88=0),0,$D$4+$D$5*(RAND()-0.5))</f>
        <v>#N/A</v>
      </c>
      <c r="M88" s="46" t="e">
        <f aca="false">L88+MAX(D88,M87)</f>
        <v>#N/A</v>
      </c>
      <c r="N88" s="46" t="e">
        <f aca="false">IF((H88=1),M88-D88,0)</f>
        <v>#N/A</v>
      </c>
      <c r="O88" s="29" t="n">
        <v>71</v>
      </c>
      <c r="P88" s="49" t="e">
        <f aca="false">IF((Arterial=0),P87+1,P87)</f>
        <v>#N/A</v>
      </c>
      <c r="Q88" s="49" t="e">
        <f aca="false">IF((Arterial=1),Q87+1,Q87)</f>
        <v>#N/A</v>
      </c>
      <c r="R88" s="50" t="n">
        <f aca="false">IF((RESET=1),0,R88+K88)</f>
        <v>0</v>
      </c>
      <c r="S88" s="19" t="n">
        <f aca="false">IF(RESET=1,0,S88+N88)</f>
        <v>0</v>
      </c>
      <c r="T88" s="0" t="n">
        <f aca="false">IF(RESET=1,0,T88+IF(H88=0,1,0))</f>
        <v>0</v>
      </c>
      <c r="U88" s="0" t="n">
        <f aca="false">IF(RESET=1,0,U88+H88)</f>
        <v>0</v>
      </c>
      <c r="V88" s="19" t="n">
        <f aca="false">R88/(T88+0.00001)</f>
        <v>0</v>
      </c>
      <c r="W88" s="19" t="n">
        <f aca="false">S88/(U88+0.0001)</f>
        <v>0</v>
      </c>
      <c r="X88" s="47" t="e">
        <f aca="false">IF(Informed=1,K88,0)</f>
        <v>#N/A</v>
      </c>
      <c r="Y88" s="47" t="n">
        <f aca="false">IF(Informed=0,K88,0)</f>
        <v>0</v>
      </c>
      <c r="Z88" s="47" t="e">
        <f aca="false">IF(Informed=1,N88,0)</f>
        <v>#N/A</v>
      </c>
      <c r="AA88" s="47" t="n">
        <f aca="false">IF(Informed=0,N88,0)</f>
        <v>0</v>
      </c>
      <c r="AB88" s="51" t="e">
        <f aca="false">IF(Arterial=0,IF(Informed=1,1,0),0)</f>
        <v>#N/A</v>
      </c>
      <c r="AC88" s="51" t="e">
        <f aca="false">IF(Arterial=0,IF(Informed=0,1,0),0)</f>
        <v>#N/A</v>
      </c>
      <c r="AD88" s="51" t="e">
        <f aca="false">IF(Arterial=1,IF(Informed=1,1,0),0)</f>
        <v>#N/A</v>
      </c>
      <c r="AE88" s="51" t="e">
        <f aca="false">IF(Arterial=1,IF(Informed=0,1,0),0)</f>
        <v>#N/A</v>
      </c>
      <c r="AF88" s="44" t="e">
        <f aca="false">IF(AB88=1,(X88-G$1030)^2,0)</f>
        <v>#N/A</v>
      </c>
      <c r="AG88" s="44" t="e">
        <f aca="false">IF(AC88=1,(Y88-H$1030)^2,0)</f>
        <v>#N/A</v>
      </c>
      <c r="AH88" s="44" t="e">
        <f aca="false">IF(AD88=1,(Z88-I$1030)^2,0)</f>
        <v>#N/A</v>
      </c>
      <c r="AI88" s="44" t="e">
        <f aca="false">IF(AE88=1,(AA88-J$1030)^2,0)</f>
        <v>#N/A</v>
      </c>
    </row>
    <row r="89" customFormat="false" ht="12" hidden="false" customHeight="false" outlineLevel="0" collapsed="false">
      <c r="A89" s="29" t="n">
        <v>72</v>
      </c>
      <c r="B89" s="45" t="n">
        <f aca="true">IF(RAND()&lt;$D$8,1,0)</f>
        <v>1</v>
      </c>
      <c r="C89" s="34" t="n">
        <f aca="true">-LN(RAND())/$D$2</f>
        <v>1.70224403479001</v>
      </c>
      <c r="D89" s="46" t="n">
        <f aca="false">D88+C89</f>
        <v>103.733276446049</v>
      </c>
      <c r="E89" s="47" t="e">
        <f aca="false">MAX($D$3,(1+P88-VLOOKUP(VALUE(D89),$J$18:$Q88,7,TRUE()))*$D$3)</f>
        <v>#N/A</v>
      </c>
      <c r="F89" s="47" t="e">
        <f aca="false">MAX($D$4,(1+Q88-VLOOKUP(VALUE(D89),$M$18:$Q88,5,TRUE()))*$D$4)</f>
        <v>#N/A</v>
      </c>
      <c r="G89" s="48" t="n">
        <v>0.5</v>
      </c>
      <c r="H89" s="46" t="e">
        <f aca="true">IF((B89=1),(IF((F89&lt;E89),1,(IF((F89=E89),(IF(RAND()&lt;G89,1,0)),0)))),(IF((RAND()&lt;G89),1,0)))</f>
        <v>#N/A</v>
      </c>
      <c r="I89" s="46" t="e">
        <f aca="true">IF((H89=1),0,$D$3+$D$5*(RAND()-0.5))</f>
        <v>#N/A</v>
      </c>
      <c r="J89" s="46" t="e">
        <f aca="false">I89+MAX(D89,J88)</f>
        <v>#N/A</v>
      </c>
      <c r="K89" s="46" t="e">
        <f aca="false">IF((H89=0),J89-D89,0)</f>
        <v>#N/A</v>
      </c>
      <c r="L89" s="46" t="e">
        <f aca="true">IF(($H89=0),0,$D$4+$D$5*(RAND()-0.5))</f>
        <v>#N/A</v>
      </c>
      <c r="M89" s="46" t="e">
        <f aca="false">L89+MAX(D89,M88)</f>
        <v>#N/A</v>
      </c>
      <c r="N89" s="46" t="e">
        <f aca="false">IF((H89=1),M89-D89,0)</f>
        <v>#N/A</v>
      </c>
      <c r="O89" s="29" t="n">
        <v>72</v>
      </c>
      <c r="P89" s="49" t="e">
        <f aca="false">IF((Arterial=0),P88+1,P88)</f>
        <v>#N/A</v>
      </c>
      <c r="Q89" s="49" t="e">
        <f aca="false">IF((Arterial=1),Q88+1,Q88)</f>
        <v>#N/A</v>
      </c>
      <c r="R89" s="50" t="n">
        <f aca="false">IF((RESET=1),0,R89+K89)</f>
        <v>0</v>
      </c>
      <c r="S89" s="19" t="n">
        <f aca="false">IF(RESET=1,0,S89+N89)</f>
        <v>0</v>
      </c>
      <c r="T89" s="0" t="n">
        <f aca="false">IF(RESET=1,0,T89+IF(H89=0,1,0))</f>
        <v>0</v>
      </c>
      <c r="U89" s="0" t="n">
        <f aca="false">IF(RESET=1,0,U89+H89)</f>
        <v>0</v>
      </c>
      <c r="V89" s="19" t="n">
        <f aca="false">R89/(T89+0.00001)</f>
        <v>0</v>
      </c>
      <c r="W89" s="19" t="n">
        <f aca="false">S89/(U89+0.0001)</f>
        <v>0</v>
      </c>
      <c r="X89" s="47" t="e">
        <f aca="false">IF(Informed=1,K89,0)</f>
        <v>#N/A</v>
      </c>
      <c r="Y89" s="47" t="n">
        <f aca="false">IF(Informed=0,K89,0)</f>
        <v>0</v>
      </c>
      <c r="Z89" s="47" t="e">
        <f aca="false">IF(Informed=1,N89,0)</f>
        <v>#N/A</v>
      </c>
      <c r="AA89" s="47" t="n">
        <f aca="false">IF(Informed=0,N89,0)</f>
        <v>0</v>
      </c>
      <c r="AB89" s="51" t="e">
        <f aca="false">IF(Arterial=0,IF(Informed=1,1,0),0)</f>
        <v>#N/A</v>
      </c>
      <c r="AC89" s="51" t="e">
        <f aca="false">IF(Arterial=0,IF(Informed=0,1,0),0)</f>
        <v>#N/A</v>
      </c>
      <c r="AD89" s="51" t="e">
        <f aca="false">IF(Arterial=1,IF(Informed=1,1,0),0)</f>
        <v>#N/A</v>
      </c>
      <c r="AE89" s="51" t="e">
        <f aca="false">IF(Arterial=1,IF(Informed=0,1,0),0)</f>
        <v>#N/A</v>
      </c>
      <c r="AF89" s="44" t="e">
        <f aca="false">IF(AB89=1,(X89-G$1030)^2,0)</f>
        <v>#N/A</v>
      </c>
      <c r="AG89" s="44" t="e">
        <f aca="false">IF(AC89=1,(Y89-H$1030)^2,0)</f>
        <v>#N/A</v>
      </c>
      <c r="AH89" s="44" t="e">
        <f aca="false">IF(AD89=1,(Z89-I$1030)^2,0)</f>
        <v>#N/A</v>
      </c>
      <c r="AI89" s="44" t="e">
        <f aca="false">IF(AE89=1,(AA89-J$1030)^2,0)</f>
        <v>#N/A</v>
      </c>
    </row>
    <row r="90" customFormat="false" ht="12" hidden="false" customHeight="false" outlineLevel="0" collapsed="false">
      <c r="A90" s="29" t="n">
        <v>73</v>
      </c>
      <c r="B90" s="45" t="n">
        <f aca="true">IF(RAND()&lt;$D$8,1,0)</f>
        <v>1</v>
      </c>
      <c r="C90" s="34" t="n">
        <f aca="true">-LN(RAND())/$D$2</f>
        <v>2.81464979578298</v>
      </c>
      <c r="D90" s="46" t="n">
        <f aca="false">D89+C90</f>
        <v>106.547926241832</v>
      </c>
      <c r="E90" s="47" t="e">
        <f aca="false">MAX($D$3,(1+P89-VLOOKUP(VALUE(D90),$J$18:$Q89,7,TRUE()))*$D$3)</f>
        <v>#N/A</v>
      </c>
      <c r="F90" s="47" t="e">
        <f aca="false">MAX($D$4,(1+Q89-VLOOKUP(VALUE(D90),$M$18:$Q89,5,TRUE()))*$D$4)</f>
        <v>#N/A</v>
      </c>
      <c r="G90" s="48" t="n">
        <v>0.5</v>
      </c>
      <c r="H90" s="46" t="e">
        <f aca="true">IF((B90=1),(IF((F90&lt;E90),1,(IF((F90=E90),(IF(RAND()&lt;G90,1,0)),0)))),(IF((RAND()&lt;G90),1,0)))</f>
        <v>#N/A</v>
      </c>
      <c r="I90" s="46" t="e">
        <f aca="true">IF((H90=1),0,$D$3+$D$5*(RAND()-0.5))</f>
        <v>#N/A</v>
      </c>
      <c r="J90" s="46" t="e">
        <f aca="false">I90+MAX(D90,J89)</f>
        <v>#N/A</v>
      </c>
      <c r="K90" s="46" t="e">
        <f aca="false">IF((H90=0),J90-D90,0)</f>
        <v>#N/A</v>
      </c>
      <c r="L90" s="46" t="e">
        <f aca="true">IF(($H90=0),0,$D$4+$D$5*(RAND()-0.5))</f>
        <v>#N/A</v>
      </c>
      <c r="M90" s="46" t="e">
        <f aca="false">L90+MAX(D90,M89)</f>
        <v>#N/A</v>
      </c>
      <c r="N90" s="46" t="e">
        <f aca="false">IF((H90=1),M90-D90,0)</f>
        <v>#N/A</v>
      </c>
      <c r="O90" s="29" t="n">
        <v>73</v>
      </c>
      <c r="P90" s="49" t="e">
        <f aca="false">IF((Arterial=0),P89+1,P89)</f>
        <v>#N/A</v>
      </c>
      <c r="Q90" s="49" t="e">
        <f aca="false">IF((Arterial=1),Q89+1,Q89)</f>
        <v>#N/A</v>
      </c>
      <c r="R90" s="50" t="n">
        <f aca="false">IF((RESET=1),0,R90+K90)</f>
        <v>0</v>
      </c>
      <c r="S90" s="19" t="n">
        <f aca="false">IF(RESET=1,0,S90+N90)</f>
        <v>0</v>
      </c>
      <c r="T90" s="0" t="n">
        <f aca="false">IF(RESET=1,0,T90+IF(H90=0,1,0))</f>
        <v>0</v>
      </c>
      <c r="U90" s="0" t="n">
        <f aca="false">IF(RESET=1,0,U90+H90)</f>
        <v>0</v>
      </c>
      <c r="V90" s="19" t="n">
        <f aca="false">R90/(T90+0.00001)</f>
        <v>0</v>
      </c>
      <c r="W90" s="19" t="n">
        <f aca="false">S90/(U90+0.0001)</f>
        <v>0</v>
      </c>
      <c r="X90" s="47" t="e">
        <f aca="false">IF(Informed=1,K90,0)</f>
        <v>#N/A</v>
      </c>
      <c r="Y90" s="47" t="n">
        <f aca="false">IF(Informed=0,K90,0)</f>
        <v>0</v>
      </c>
      <c r="Z90" s="47" t="e">
        <f aca="false">IF(Informed=1,N90,0)</f>
        <v>#N/A</v>
      </c>
      <c r="AA90" s="47" t="n">
        <f aca="false">IF(Informed=0,N90,0)</f>
        <v>0</v>
      </c>
      <c r="AB90" s="51" t="e">
        <f aca="false">IF(Arterial=0,IF(Informed=1,1,0),0)</f>
        <v>#N/A</v>
      </c>
      <c r="AC90" s="51" t="e">
        <f aca="false">IF(Arterial=0,IF(Informed=0,1,0),0)</f>
        <v>#N/A</v>
      </c>
      <c r="AD90" s="51" t="e">
        <f aca="false">IF(Arterial=1,IF(Informed=1,1,0),0)</f>
        <v>#N/A</v>
      </c>
      <c r="AE90" s="51" t="e">
        <f aca="false">IF(Arterial=1,IF(Informed=0,1,0),0)</f>
        <v>#N/A</v>
      </c>
      <c r="AF90" s="44" t="e">
        <f aca="false">IF(AB90=1,(X90-G$1030)^2,0)</f>
        <v>#N/A</v>
      </c>
      <c r="AG90" s="44" t="e">
        <f aca="false">IF(AC90=1,(Y90-H$1030)^2,0)</f>
        <v>#N/A</v>
      </c>
      <c r="AH90" s="44" t="e">
        <f aca="false">IF(AD90=1,(Z90-I$1030)^2,0)</f>
        <v>#N/A</v>
      </c>
      <c r="AI90" s="44" t="e">
        <f aca="false">IF(AE90=1,(AA90-J$1030)^2,0)</f>
        <v>#N/A</v>
      </c>
    </row>
    <row r="91" customFormat="false" ht="12" hidden="false" customHeight="false" outlineLevel="0" collapsed="false">
      <c r="A91" s="29" t="n">
        <v>74</v>
      </c>
      <c r="B91" s="45" t="n">
        <f aca="true">IF(RAND()&lt;$D$8,1,0)</f>
        <v>1</v>
      </c>
      <c r="C91" s="34" t="n">
        <f aca="true">-LN(RAND())/$D$2</f>
        <v>1.96191776207106</v>
      </c>
      <c r="D91" s="46" t="n">
        <f aca="false">D90+C91</f>
        <v>108.509844003903</v>
      </c>
      <c r="E91" s="47" t="e">
        <f aca="false">MAX($D$3,(1+P90-VLOOKUP(VALUE(D91),$J$18:$Q90,7,TRUE()))*$D$3)</f>
        <v>#N/A</v>
      </c>
      <c r="F91" s="47" t="e">
        <f aca="false">MAX($D$4,(1+Q90-VLOOKUP(VALUE(D91),$M$18:$Q90,5,TRUE()))*$D$4)</f>
        <v>#N/A</v>
      </c>
      <c r="G91" s="48" t="n">
        <v>0.5</v>
      </c>
      <c r="H91" s="46" t="e">
        <f aca="true">IF((B91=1),(IF((F91&lt;E91),1,(IF((F91=E91),(IF(RAND()&lt;G91,1,0)),0)))),(IF((RAND()&lt;G91),1,0)))</f>
        <v>#N/A</v>
      </c>
      <c r="I91" s="46" t="e">
        <f aca="true">IF((H91=1),0,$D$3+$D$5*(RAND()-0.5))</f>
        <v>#N/A</v>
      </c>
      <c r="J91" s="46" t="e">
        <f aca="false">I91+MAX(D91,J90)</f>
        <v>#N/A</v>
      </c>
      <c r="K91" s="46" t="e">
        <f aca="false">IF((H91=0),J91-D91,0)</f>
        <v>#N/A</v>
      </c>
      <c r="L91" s="46" t="e">
        <f aca="true">IF(($H91=0),0,$D$4+$D$5*(RAND()-0.5))</f>
        <v>#N/A</v>
      </c>
      <c r="M91" s="46" t="e">
        <f aca="false">L91+MAX(D91,M90)</f>
        <v>#N/A</v>
      </c>
      <c r="N91" s="46" t="e">
        <f aca="false">IF((H91=1),M91-D91,0)</f>
        <v>#N/A</v>
      </c>
      <c r="O91" s="29" t="n">
        <v>74</v>
      </c>
      <c r="P91" s="49" t="e">
        <f aca="false">IF((Arterial=0),P90+1,P90)</f>
        <v>#N/A</v>
      </c>
      <c r="Q91" s="49" t="e">
        <f aca="false">IF((Arterial=1),Q90+1,Q90)</f>
        <v>#N/A</v>
      </c>
      <c r="R91" s="50" t="n">
        <f aca="false">IF((RESET=1),0,R91+K91)</f>
        <v>0</v>
      </c>
      <c r="S91" s="19" t="n">
        <f aca="false">IF(RESET=1,0,S91+N91)</f>
        <v>0</v>
      </c>
      <c r="T91" s="0" t="n">
        <f aca="false">IF(RESET=1,0,T91+IF(H91=0,1,0))</f>
        <v>0</v>
      </c>
      <c r="U91" s="0" t="n">
        <f aca="false">IF(RESET=1,0,U91+H91)</f>
        <v>0</v>
      </c>
      <c r="V91" s="19" t="n">
        <f aca="false">R91/(T91+0.00001)</f>
        <v>0</v>
      </c>
      <c r="W91" s="19" t="n">
        <f aca="false">S91/(U91+0.0001)</f>
        <v>0</v>
      </c>
      <c r="X91" s="47" t="e">
        <f aca="false">IF(Informed=1,K91,0)</f>
        <v>#N/A</v>
      </c>
      <c r="Y91" s="47" t="n">
        <f aca="false">IF(Informed=0,K91,0)</f>
        <v>0</v>
      </c>
      <c r="Z91" s="47" t="e">
        <f aca="false">IF(Informed=1,N91,0)</f>
        <v>#N/A</v>
      </c>
      <c r="AA91" s="47" t="n">
        <f aca="false">IF(Informed=0,N91,0)</f>
        <v>0</v>
      </c>
      <c r="AB91" s="51" t="e">
        <f aca="false">IF(Arterial=0,IF(Informed=1,1,0),0)</f>
        <v>#N/A</v>
      </c>
      <c r="AC91" s="51" t="e">
        <f aca="false">IF(Arterial=0,IF(Informed=0,1,0),0)</f>
        <v>#N/A</v>
      </c>
      <c r="AD91" s="51" t="e">
        <f aca="false">IF(Arterial=1,IF(Informed=1,1,0),0)</f>
        <v>#N/A</v>
      </c>
      <c r="AE91" s="51" t="e">
        <f aca="false">IF(Arterial=1,IF(Informed=0,1,0),0)</f>
        <v>#N/A</v>
      </c>
      <c r="AF91" s="44" t="e">
        <f aca="false">IF(AB91=1,(X91-G$1030)^2,0)</f>
        <v>#N/A</v>
      </c>
      <c r="AG91" s="44" t="e">
        <f aca="false">IF(AC91=1,(Y91-H$1030)^2,0)</f>
        <v>#N/A</v>
      </c>
      <c r="AH91" s="44" t="e">
        <f aca="false">IF(AD91=1,(Z91-I$1030)^2,0)</f>
        <v>#N/A</v>
      </c>
      <c r="AI91" s="44" t="e">
        <f aca="false">IF(AE91=1,(AA91-J$1030)^2,0)</f>
        <v>#N/A</v>
      </c>
    </row>
    <row r="92" customFormat="false" ht="12" hidden="false" customHeight="false" outlineLevel="0" collapsed="false">
      <c r="A92" s="29" t="n">
        <v>75</v>
      </c>
      <c r="B92" s="45" t="n">
        <f aca="true">IF(RAND()&lt;$D$8,1,0)</f>
        <v>1</v>
      </c>
      <c r="C92" s="34" t="n">
        <f aca="true">-LN(RAND())/$D$2</f>
        <v>1.36469262025999</v>
      </c>
      <c r="D92" s="46" t="n">
        <f aca="false">D91+C92</f>
        <v>109.874536624163</v>
      </c>
      <c r="E92" s="47" t="e">
        <f aca="false">MAX($D$3,(1+P91-VLOOKUP(VALUE(D92),$J$18:$Q91,7,TRUE()))*$D$3)</f>
        <v>#N/A</v>
      </c>
      <c r="F92" s="47" t="e">
        <f aca="false">MAX($D$4,(1+Q91-VLOOKUP(VALUE(D92),$M$18:$Q91,5,TRUE()))*$D$4)</f>
        <v>#N/A</v>
      </c>
      <c r="G92" s="48" t="n">
        <v>0.5</v>
      </c>
      <c r="H92" s="46" t="e">
        <f aca="true">IF((B92=1),(IF((F92&lt;E92),1,(IF((F92=E92),(IF(RAND()&lt;G92,1,0)),0)))),(IF((RAND()&lt;G92),1,0)))</f>
        <v>#N/A</v>
      </c>
      <c r="I92" s="46" t="e">
        <f aca="true">IF((H92=1),0,$D$3+$D$5*(RAND()-0.5))</f>
        <v>#N/A</v>
      </c>
      <c r="J92" s="46" t="e">
        <f aca="false">I92+MAX(D92,J91)</f>
        <v>#N/A</v>
      </c>
      <c r="K92" s="46" t="e">
        <f aca="false">IF((H92=0),J92-D92,0)</f>
        <v>#N/A</v>
      </c>
      <c r="L92" s="46" t="e">
        <f aca="true">IF(($H92=0),0,$D$4+$D$5*(RAND()-0.5))</f>
        <v>#N/A</v>
      </c>
      <c r="M92" s="46" t="e">
        <f aca="false">L92+MAX(D92,M91)</f>
        <v>#N/A</v>
      </c>
      <c r="N92" s="46" t="e">
        <f aca="false">IF((H92=1),M92-D92,0)</f>
        <v>#N/A</v>
      </c>
      <c r="O92" s="29" t="n">
        <v>75</v>
      </c>
      <c r="P92" s="49" t="e">
        <f aca="false">IF((Arterial=0),P91+1,P91)</f>
        <v>#N/A</v>
      </c>
      <c r="Q92" s="49" t="e">
        <f aca="false">IF((Arterial=1),Q91+1,Q91)</f>
        <v>#N/A</v>
      </c>
      <c r="R92" s="50" t="n">
        <f aca="false">IF((RESET=1),0,R92+K92)</f>
        <v>0</v>
      </c>
      <c r="S92" s="19" t="n">
        <f aca="false">IF(RESET=1,0,S92+N92)</f>
        <v>0</v>
      </c>
      <c r="T92" s="0" t="n">
        <f aca="false">IF(RESET=1,0,T92+IF(H92=0,1,0))</f>
        <v>0</v>
      </c>
      <c r="U92" s="0" t="n">
        <f aca="false">IF(RESET=1,0,U92+H92)</f>
        <v>0</v>
      </c>
      <c r="V92" s="19" t="n">
        <f aca="false">R92/(T92+0.00001)</f>
        <v>0</v>
      </c>
      <c r="W92" s="19" t="n">
        <f aca="false">S92/(U92+0.0001)</f>
        <v>0</v>
      </c>
      <c r="X92" s="47" t="e">
        <f aca="false">IF(Informed=1,K92,0)</f>
        <v>#N/A</v>
      </c>
      <c r="Y92" s="47" t="n">
        <f aca="false">IF(Informed=0,K92,0)</f>
        <v>0</v>
      </c>
      <c r="Z92" s="47" t="e">
        <f aca="false">IF(Informed=1,N92,0)</f>
        <v>#N/A</v>
      </c>
      <c r="AA92" s="47" t="n">
        <f aca="false">IF(Informed=0,N92,0)</f>
        <v>0</v>
      </c>
      <c r="AB92" s="51" t="e">
        <f aca="false">IF(Arterial=0,IF(Informed=1,1,0),0)</f>
        <v>#N/A</v>
      </c>
      <c r="AC92" s="51" t="e">
        <f aca="false">IF(Arterial=0,IF(Informed=0,1,0),0)</f>
        <v>#N/A</v>
      </c>
      <c r="AD92" s="51" t="e">
        <f aca="false">IF(Arterial=1,IF(Informed=1,1,0),0)</f>
        <v>#N/A</v>
      </c>
      <c r="AE92" s="51" t="e">
        <f aca="false">IF(Arterial=1,IF(Informed=0,1,0),0)</f>
        <v>#N/A</v>
      </c>
      <c r="AF92" s="44" t="e">
        <f aca="false">IF(AB92=1,(X92-G$1030)^2,0)</f>
        <v>#N/A</v>
      </c>
      <c r="AG92" s="44" t="e">
        <f aca="false">IF(AC92=1,(Y92-H$1030)^2,0)</f>
        <v>#N/A</v>
      </c>
      <c r="AH92" s="44" t="e">
        <f aca="false">IF(AD92=1,(Z92-I$1030)^2,0)</f>
        <v>#N/A</v>
      </c>
      <c r="AI92" s="44" t="e">
        <f aca="false">IF(AE92=1,(AA92-J$1030)^2,0)</f>
        <v>#N/A</v>
      </c>
    </row>
    <row r="93" customFormat="false" ht="12" hidden="false" customHeight="false" outlineLevel="0" collapsed="false">
      <c r="A93" s="29" t="n">
        <v>76</v>
      </c>
      <c r="B93" s="45" t="n">
        <f aca="true">IF(RAND()&lt;$D$8,1,0)</f>
        <v>1</v>
      </c>
      <c r="C93" s="34" t="n">
        <f aca="true">-LN(RAND())/$D$2</f>
        <v>2.66413734293313</v>
      </c>
      <c r="D93" s="46" t="n">
        <f aca="false">D92+C93</f>
        <v>112.538673967096</v>
      </c>
      <c r="E93" s="47" t="e">
        <f aca="false">MAX($D$3,(1+P92-VLOOKUP(VALUE(D93),$J$18:$Q92,7,TRUE()))*$D$3)</f>
        <v>#N/A</v>
      </c>
      <c r="F93" s="47" t="e">
        <f aca="false">MAX($D$4,(1+Q92-VLOOKUP(VALUE(D93),$M$18:$Q92,5,TRUE()))*$D$4)</f>
        <v>#N/A</v>
      </c>
      <c r="G93" s="48" t="n">
        <v>0.5</v>
      </c>
      <c r="H93" s="46" t="e">
        <f aca="true">IF((B93=1),(IF((F93&lt;E93),1,(IF((F93=E93),(IF(RAND()&lt;G93,1,0)),0)))),(IF((RAND()&lt;G93),1,0)))</f>
        <v>#N/A</v>
      </c>
      <c r="I93" s="46" t="e">
        <f aca="true">IF((H93=1),0,$D$3+$D$5*(RAND()-0.5))</f>
        <v>#N/A</v>
      </c>
      <c r="J93" s="46" t="e">
        <f aca="false">I93+MAX(D93,J92)</f>
        <v>#N/A</v>
      </c>
      <c r="K93" s="46" t="e">
        <f aca="false">IF((H93=0),J93-D93,0)</f>
        <v>#N/A</v>
      </c>
      <c r="L93" s="46" t="e">
        <f aca="true">IF(($H93=0),0,$D$4+$D$5*(RAND()-0.5))</f>
        <v>#N/A</v>
      </c>
      <c r="M93" s="46" t="e">
        <f aca="false">L93+MAX(D93,M92)</f>
        <v>#N/A</v>
      </c>
      <c r="N93" s="46" t="e">
        <f aca="false">IF((H93=1),M93-D93,0)</f>
        <v>#N/A</v>
      </c>
      <c r="O93" s="29" t="n">
        <v>76</v>
      </c>
      <c r="P93" s="49" t="e">
        <f aca="false">IF((Arterial=0),P92+1,P92)</f>
        <v>#N/A</v>
      </c>
      <c r="Q93" s="49" t="e">
        <f aca="false">IF((Arterial=1),Q92+1,Q92)</f>
        <v>#N/A</v>
      </c>
      <c r="R93" s="50" t="n">
        <f aca="false">IF((RESET=1),0,R93+K93)</f>
        <v>0</v>
      </c>
      <c r="S93" s="19" t="n">
        <f aca="false">IF(RESET=1,0,S93+N93)</f>
        <v>0</v>
      </c>
      <c r="T93" s="0" t="n">
        <f aca="false">IF(RESET=1,0,T93+IF(H93=0,1,0))</f>
        <v>0</v>
      </c>
      <c r="U93" s="0" t="n">
        <f aca="false">IF(RESET=1,0,U93+H93)</f>
        <v>0</v>
      </c>
      <c r="V93" s="19" t="n">
        <f aca="false">R93/(T93+0.00001)</f>
        <v>0</v>
      </c>
      <c r="W93" s="19" t="n">
        <f aca="false">S93/(U93+0.0001)</f>
        <v>0</v>
      </c>
      <c r="X93" s="47" t="e">
        <f aca="false">IF(Informed=1,K93,0)</f>
        <v>#N/A</v>
      </c>
      <c r="Y93" s="47" t="n">
        <f aca="false">IF(Informed=0,K93,0)</f>
        <v>0</v>
      </c>
      <c r="Z93" s="47" t="e">
        <f aca="false">IF(Informed=1,N93,0)</f>
        <v>#N/A</v>
      </c>
      <c r="AA93" s="47" t="n">
        <f aca="false">IF(Informed=0,N93,0)</f>
        <v>0</v>
      </c>
      <c r="AB93" s="51" t="e">
        <f aca="false">IF(Arterial=0,IF(Informed=1,1,0),0)</f>
        <v>#N/A</v>
      </c>
      <c r="AC93" s="51" t="e">
        <f aca="false">IF(Arterial=0,IF(Informed=0,1,0),0)</f>
        <v>#N/A</v>
      </c>
      <c r="AD93" s="51" t="e">
        <f aca="false">IF(Arterial=1,IF(Informed=1,1,0),0)</f>
        <v>#N/A</v>
      </c>
      <c r="AE93" s="51" t="e">
        <f aca="false">IF(Arterial=1,IF(Informed=0,1,0),0)</f>
        <v>#N/A</v>
      </c>
      <c r="AF93" s="44" t="e">
        <f aca="false">IF(AB93=1,(X93-G$1030)^2,0)</f>
        <v>#N/A</v>
      </c>
      <c r="AG93" s="44" t="e">
        <f aca="false">IF(AC93=1,(Y93-H$1030)^2,0)</f>
        <v>#N/A</v>
      </c>
      <c r="AH93" s="44" t="e">
        <f aca="false">IF(AD93=1,(Z93-I$1030)^2,0)</f>
        <v>#N/A</v>
      </c>
      <c r="AI93" s="44" t="e">
        <f aca="false">IF(AE93=1,(AA93-J$1030)^2,0)</f>
        <v>#N/A</v>
      </c>
    </row>
    <row r="94" customFormat="false" ht="12" hidden="false" customHeight="false" outlineLevel="0" collapsed="false">
      <c r="A94" s="29" t="n">
        <v>77</v>
      </c>
      <c r="B94" s="45" t="n">
        <f aca="true">IF(RAND()&lt;$D$8,1,0)</f>
        <v>1</v>
      </c>
      <c r="C94" s="34" t="n">
        <f aca="true">-LN(RAND())/$D$2</f>
        <v>0.105392726529767</v>
      </c>
      <c r="D94" s="46" t="n">
        <f aca="false">D93+C94</f>
        <v>112.644066693626</v>
      </c>
      <c r="E94" s="47" t="e">
        <f aca="false">MAX($D$3,(1+P93-VLOOKUP(VALUE(D94),$J$18:$Q93,7,TRUE()))*$D$3)</f>
        <v>#N/A</v>
      </c>
      <c r="F94" s="47" t="e">
        <f aca="false">MAX($D$4,(1+Q93-VLOOKUP(VALUE(D94),$M$18:$Q93,5,TRUE()))*$D$4)</f>
        <v>#N/A</v>
      </c>
      <c r="G94" s="48" t="n">
        <v>0.5</v>
      </c>
      <c r="H94" s="46" t="e">
        <f aca="true">IF((B94=1),(IF((F94&lt;E94),1,(IF((F94=E94),(IF(RAND()&lt;G94,1,0)),0)))),(IF((RAND()&lt;G94),1,0)))</f>
        <v>#N/A</v>
      </c>
      <c r="I94" s="46" t="e">
        <f aca="true">IF((H94=1),0,$D$3+$D$5*(RAND()-0.5))</f>
        <v>#N/A</v>
      </c>
      <c r="J94" s="46" t="e">
        <f aca="false">I94+MAX(D94,J93)</f>
        <v>#N/A</v>
      </c>
      <c r="K94" s="46" t="e">
        <f aca="false">IF((H94=0),J94-D94,0)</f>
        <v>#N/A</v>
      </c>
      <c r="L94" s="46" t="e">
        <f aca="true">IF(($H94=0),0,$D$4+$D$5*(RAND()-0.5))</f>
        <v>#N/A</v>
      </c>
      <c r="M94" s="46" t="e">
        <f aca="false">L94+MAX(D94,M93)</f>
        <v>#N/A</v>
      </c>
      <c r="N94" s="46" t="e">
        <f aca="false">IF((H94=1),M94-D94,0)</f>
        <v>#N/A</v>
      </c>
      <c r="O94" s="29" t="n">
        <v>77</v>
      </c>
      <c r="P94" s="49" t="e">
        <f aca="false">IF((Arterial=0),P93+1,P93)</f>
        <v>#N/A</v>
      </c>
      <c r="Q94" s="49" t="e">
        <f aca="false">IF((Arterial=1),Q93+1,Q93)</f>
        <v>#N/A</v>
      </c>
      <c r="R94" s="50" t="n">
        <f aca="false">IF((RESET=1),0,R94+K94)</f>
        <v>0</v>
      </c>
      <c r="S94" s="19" t="n">
        <f aca="false">IF(RESET=1,0,S94+N94)</f>
        <v>0</v>
      </c>
      <c r="T94" s="0" t="n">
        <f aca="false">IF(RESET=1,0,T94+IF(H94=0,1,0))</f>
        <v>0</v>
      </c>
      <c r="U94" s="0" t="n">
        <f aca="false">IF(RESET=1,0,U94+H94)</f>
        <v>0</v>
      </c>
      <c r="V94" s="19" t="n">
        <f aca="false">R94/(T94+0.00001)</f>
        <v>0</v>
      </c>
      <c r="W94" s="19" t="n">
        <f aca="false">S94/(U94+0.0001)</f>
        <v>0</v>
      </c>
      <c r="X94" s="47" t="e">
        <f aca="false">IF(Informed=1,K94,0)</f>
        <v>#N/A</v>
      </c>
      <c r="Y94" s="47" t="n">
        <f aca="false">IF(Informed=0,K94,0)</f>
        <v>0</v>
      </c>
      <c r="Z94" s="47" t="e">
        <f aca="false">IF(Informed=1,N94,0)</f>
        <v>#N/A</v>
      </c>
      <c r="AA94" s="47" t="n">
        <f aca="false">IF(Informed=0,N94,0)</f>
        <v>0</v>
      </c>
      <c r="AB94" s="51" t="e">
        <f aca="false">IF(Arterial=0,IF(Informed=1,1,0),0)</f>
        <v>#N/A</v>
      </c>
      <c r="AC94" s="51" t="e">
        <f aca="false">IF(Arterial=0,IF(Informed=0,1,0),0)</f>
        <v>#N/A</v>
      </c>
      <c r="AD94" s="51" t="e">
        <f aca="false">IF(Arterial=1,IF(Informed=1,1,0),0)</f>
        <v>#N/A</v>
      </c>
      <c r="AE94" s="51" t="e">
        <f aca="false">IF(Arterial=1,IF(Informed=0,1,0),0)</f>
        <v>#N/A</v>
      </c>
      <c r="AF94" s="44" t="e">
        <f aca="false">IF(AB94=1,(X94-G$1030)^2,0)</f>
        <v>#N/A</v>
      </c>
      <c r="AG94" s="44" t="e">
        <f aca="false">IF(AC94=1,(Y94-H$1030)^2,0)</f>
        <v>#N/A</v>
      </c>
      <c r="AH94" s="44" t="e">
        <f aca="false">IF(AD94=1,(Z94-I$1030)^2,0)</f>
        <v>#N/A</v>
      </c>
      <c r="AI94" s="44" t="e">
        <f aca="false">IF(AE94=1,(AA94-J$1030)^2,0)</f>
        <v>#N/A</v>
      </c>
    </row>
    <row r="95" customFormat="false" ht="12" hidden="false" customHeight="false" outlineLevel="0" collapsed="false">
      <c r="A95" s="29" t="n">
        <v>78</v>
      </c>
      <c r="B95" s="45" t="n">
        <f aca="true">IF(RAND()&lt;$D$8,1,0)</f>
        <v>1</v>
      </c>
      <c r="C95" s="34" t="n">
        <f aca="true">-LN(RAND())/$D$2</f>
        <v>1.36475569391266</v>
      </c>
      <c r="D95" s="46" t="n">
        <f aca="false">D94+C95</f>
        <v>114.008822387539</v>
      </c>
      <c r="E95" s="47" t="e">
        <f aca="false">MAX($D$3,(1+P94-VLOOKUP(VALUE(D95),$J$18:$Q94,7,TRUE()))*$D$3)</f>
        <v>#N/A</v>
      </c>
      <c r="F95" s="47" t="e">
        <f aca="false">MAX($D$4,(1+Q94-VLOOKUP(VALUE(D95),$M$18:$Q94,5,TRUE()))*$D$4)</f>
        <v>#N/A</v>
      </c>
      <c r="G95" s="48" t="n">
        <v>0.5</v>
      </c>
      <c r="H95" s="46" t="e">
        <f aca="true">IF((B95=1),(IF((F95&lt;E95),1,(IF((F95=E95),(IF(RAND()&lt;G95,1,0)),0)))),(IF((RAND()&lt;G95),1,0)))</f>
        <v>#N/A</v>
      </c>
      <c r="I95" s="46" t="e">
        <f aca="true">IF((H95=1),0,$D$3+$D$5*(RAND()-0.5))</f>
        <v>#N/A</v>
      </c>
      <c r="J95" s="46" t="e">
        <f aca="false">I95+MAX(D95,J94)</f>
        <v>#N/A</v>
      </c>
      <c r="K95" s="46" t="e">
        <f aca="false">IF((H95=0),J95-D95,0)</f>
        <v>#N/A</v>
      </c>
      <c r="L95" s="46" t="e">
        <f aca="true">IF(($H95=0),0,$D$4+$D$5*(RAND()-0.5))</f>
        <v>#N/A</v>
      </c>
      <c r="M95" s="46" t="e">
        <f aca="false">L95+MAX(D95,M94)</f>
        <v>#N/A</v>
      </c>
      <c r="N95" s="46" t="e">
        <f aca="false">IF((H95=1),M95-D95,0)</f>
        <v>#N/A</v>
      </c>
      <c r="O95" s="29" t="n">
        <v>78</v>
      </c>
      <c r="P95" s="49" t="e">
        <f aca="false">IF((Arterial=0),P94+1,P94)</f>
        <v>#N/A</v>
      </c>
      <c r="Q95" s="49" t="e">
        <f aca="false">IF((Arterial=1),Q94+1,Q94)</f>
        <v>#N/A</v>
      </c>
      <c r="R95" s="50" t="n">
        <f aca="false">IF((RESET=1),0,R95+K95)</f>
        <v>0</v>
      </c>
      <c r="S95" s="19" t="n">
        <f aca="false">IF(RESET=1,0,S95+N95)</f>
        <v>0</v>
      </c>
      <c r="T95" s="0" t="n">
        <f aca="false">IF(RESET=1,0,T95+IF(H95=0,1,0))</f>
        <v>0</v>
      </c>
      <c r="U95" s="0" t="n">
        <f aca="false">IF(RESET=1,0,U95+H95)</f>
        <v>0</v>
      </c>
      <c r="V95" s="19" t="n">
        <f aca="false">R95/(T95+0.00001)</f>
        <v>0</v>
      </c>
      <c r="W95" s="19" t="n">
        <f aca="false">S95/(U95+0.0001)</f>
        <v>0</v>
      </c>
      <c r="X95" s="47" t="e">
        <f aca="false">IF(Informed=1,K95,0)</f>
        <v>#N/A</v>
      </c>
      <c r="Y95" s="47" t="n">
        <f aca="false">IF(Informed=0,K95,0)</f>
        <v>0</v>
      </c>
      <c r="Z95" s="47" t="e">
        <f aca="false">IF(Informed=1,N95,0)</f>
        <v>#N/A</v>
      </c>
      <c r="AA95" s="47" t="n">
        <f aca="false">IF(Informed=0,N95,0)</f>
        <v>0</v>
      </c>
      <c r="AB95" s="51" t="e">
        <f aca="false">IF(Arterial=0,IF(Informed=1,1,0),0)</f>
        <v>#N/A</v>
      </c>
      <c r="AC95" s="51" t="e">
        <f aca="false">IF(Arterial=0,IF(Informed=0,1,0),0)</f>
        <v>#N/A</v>
      </c>
      <c r="AD95" s="51" t="e">
        <f aca="false">IF(Arterial=1,IF(Informed=1,1,0),0)</f>
        <v>#N/A</v>
      </c>
      <c r="AE95" s="51" t="e">
        <f aca="false">IF(Arterial=1,IF(Informed=0,1,0),0)</f>
        <v>#N/A</v>
      </c>
      <c r="AF95" s="44" t="e">
        <f aca="false">IF(AB95=1,(X95-G$1030)^2,0)</f>
        <v>#N/A</v>
      </c>
      <c r="AG95" s="44" t="e">
        <f aca="false">IF(AC95=1,(Y95-H$1030)^2,0)</f>
        <v>#N/A</v>
      </c>
      <c r="AH95" s="44" t="e">
        <f aca="false">IF(AD95=1,(Z95-I$1030)^2,0)</f>
        <v>#N/A</v>
      </c>
      <c r="AI95" s="44" t="e">
        <f aca="false">IF(AE95=1,(AA95-J$1030)^2,0)</f>
        <v>#N/A</v>
      </c>
    </row>
    <row r="96" customFormat="false" ht="12" hidden="false" customHeight="false" outlineLevel="0" collapsed="false">
      <c r="A96" s="29" t="n">
        <v>79</v>
      </c>
      <c r="B96" s="45" t="n">
        <f aca="true">IF(RAND()&lt;$D$8,1,0)</f>
        <v>1</v>
      </c>
      <c r="C96" s="34" t="n">
        <f aca="true">-LN(RAND())/$D$2</f>
        <v>2.34303516012173</v>
      </c>
      <c r="D96" s="46" t="n">
        <f aca="false">D95+C96</f>
        <v>116.35185754766</v>
      </c>
      <c r="E96" s="47" t="e">
        <f aca="false">MAX($D$3,(1+P95-VLOOKUP(VALUE(D96),$J$18:$Q95,7,TRUE()))*$D$3)</f>
        <v>#N/A</v>
      </c>
      <c r="F96" s="47" t="e">
        <f aca="false">MAX($D$4,(1+Q95-VLOOKUP(VALUE(D96),$M$18:$Q95,5,TRUE()))*$D$4)</f>
        <v>#N/A</v>
      </c>
      <c r="G96" s="48" t="n">
        <v>0.5</v>
      </c>
      <c r="H96" s="46" t="e">
        <f aca="true">IF((B96=1),(IF((F96&lt;E96),1,(IF((F96=E96),(IF(RAND()&lt;G96,1,0)),0)))),(IF((RAND()&lt;G96),1,0)))</f>
        <v>#N/A</v>
      </c>
      <c r="I96" s="46" t="e">
        <f aca="true">IF((H96=1),0,$D$3+$D$5*(RAND()-0.5))</f>
        <v>#N/A</v>
      </c>
      <c r="J96" s="46" t="e">
        <f aca="false">I96+MAX(D96,J95)</f>
        <v>#N/A</v>
      </c>
      <c r="K96" s="46" t="e">
        <f aca="false">IF((H96=0),J96-D96,0)</f>
        <v>#N/A</v>
      </c>
      <c r="L96" s="46" t="e">
        <f aca="true">IF(($H96=0),0,$D$4+$D$5*(RAND()-0.5))</f>
        <v>#N/A</v>
      </c>
      <c r="M96" s="46" t="e">
        <f aca="false">L96+MAX(D96,M95)</f>
        <v>#N/A</v>
      </c>
      <c r="N96" s="46" t="e">
        <f aca="false">IF((H96=1),M96-D96,0)</f>
        <v>#N/A</v>
      </c>
      <c r="O96" s="29" t="n">
        <v>79</v>
      </c>
      <c r="P96" s="49" t="e">
        <f aca="false">IF((Arterial=0),P95+1,P95)</f>
        <v>#N/A</v>
      </c>
      <c r="Q96" s="49" t="e">
        <f aca="false">IF((Arterial=1),Q95+1,Q95)</f>
        <v>#N/A</v>
      </c>
      <c r="R96" s="50" t="n">
        <f aca="false">IF((RESET=1),0,R96+K96)</f>
        <v>0</v>
      </c>
      <c r="S96" s="19" t="n">
        <f aca="false">IF(RESET=1,0,S96+N96)</f>
        <v>0</v>
      </c>
      <c r="T96" s="0" t="n">
        <f aca="false">IF(RESET=1,0,T96+IF(H96=0,1,0))</f>
        <v>0</v>
      </c>
      <c r="U96" s="0" t="n">
        <f aca="false">IF(RESET=1,0,U96+H96)</f>
        <v>0</v>
      </c>
      <c r="V96" s="19" t="n">
        <f aca="false">R96/(T96+0.00001)</f>
        <v>0</v>
      </c>
      <c r="W96" s="19" t="n">
        <f aca="false">S96/(U96+0.0001)</f>
        <v>0</v>
      </c>
      <c r="X96" s="47" t="e">
        <f aca="false">IF(Informed=1,K96,0)</f>
        <v>#N/A</v>
      </c>
      <c r="Y96" s="47" t="n">
        <f aca="false">IF(Informed=0,K96,0)</f>
        <v>0</v>
      </c>
      <c r="Z96" s="47" t="e">
        <f aca="false">IF(Informed=1,N96,0)</f>
        <v>#N/A</v>
      </c>
      <c r="AA96" s="47" t="n">
        <f aca="false">IF(Informed=0,N96,0)</f>
        <v>0</v>
      </c>
      <c r="AB96" s="51" t="e">
        <f aca="false">IF(Arterial=0,IF(Informed=1,1,0),0)</f>
        <v>#N/A</v>
      </c>
      <c r="AC96" s="51" t="e">
        <f aca="false">IF(Arterial=0,IF(Informed=0,1,0),0)</f>
        <v>#N/A</v>
      </c>
      <c r="AD96" s="51" t="e">
        <f aca="false">IF(Arterial=1,IF(Informed=1,1,0),0)</f>
        <v>#N/A</v>
      </c>
      <c r="AE96" s="51" t="e">
        <f aca="false">IF(Arterial=1,IF(Informed=0,1,0),0)</f>
        <v>#N/A</v>
      </c>
      <c r="AF96" s="44" t="e">
        <f aca="false">IF(AB96=1,(X96-G$1030)^2,0)</f>
        <v>#N/A</v>
      </c>
      <c r="AG96" s="44" t="e">
        <f aca="false">IF(AC96=1,(Y96-H$1030)^2,0)</f>
        <v>#N/A</v>
      </c>
      <c r="AH96" s="44" t="e">
        <f aca="false">IF(AD96=1,(Z96-I$1030)^2,0)</f>
        <v>#N/A</v>
      </c>
      <c r="AI96" s="44" t="e">
        <f aca="false">IF(AE96=1,(AA96-J$1030)^2,0)</f>
        <v>#N/A</v>
      </c>
    </row>
    <row r="97" customFormat="false" ht="12" hidden="false" customHeight="false" outlineLevel="0" collapsed="false">
      <c r="A97" s="29" t="n">
        <v>80</v>
      </c>
      <c r="B97" s="45" t="n">
        <f aca="true">IF(RAND()&lt;$D$8,1,0)</f>
        <v>1</v>
      </c>
      <c r="C97" s="34" t="n">
        <f aca="true">-LN(RAND())/$D$2</f>
        <v>2.5982101760419</v>
      </c>
      <c r="D97" s="46" t="n">
        <f aca="false">D96+C97</f>
        <v>118.950067723702</v>
      </c>
      <c r="E97" s="47" t="e">
        <f aca="false">MAX($D$3,(1+P96-VLOOKUP(VALUE(D97),$J$18:$Q96,7,TRUE()))*$D$3)</f>
        <v>#N/A</v>
      </c>
      <c r="F97" s="47" t="e">
        <f aca="false">MAX($D$4,(1+Q96-VLOOKUP(VALUE(D97),$M$18:$Q96,5,TRUE()))*$D$4)</f>
        <v>#N/A</v>
      </c>
      <c r="G97" s="48" t="n">
        <v>0.5</v>
      </c>
      <c r="H97" s="46" t="e">
        <f aca="true">IF((B97=1),(IF((F97&lt;E97),1,(IF((F97=E97),(IF(RAND()&lt;G97,1,0)),0)))),(IF((RAND()&lt;G97),1,0)))</f>
        <v>#N/A</v>
      </c>
      <c r="I97" s="46" t="e">
        <f aca="true">IF((H97=1),0,$D$3+$D$5*(RAND()-0.5))</f>
        <v>#N/A</v>
      </c>
      <c r="J97" s="46" t="e">
        <f aca="false">I97+MAX(D97,J96)</f>
        <v>#N/A</v>
      </c>
      <c r="K97" s="46" t="e">
        <f aca="false">IF((H97=0),J97-D97,0)</f>
        <v>#N/A</v>
      </c>
      <c r="L97" s="46" t="e">
        <f aca="true">IF(($H97=0),0,$D$4+$D$5*(RAND()-0.5))</f>
        <v>#N/A</v>
      </c>
      <c r="M97" s="46" t="e">
        <f aca="false">L97+MAX(D97,M96)</f>
        <v>#N/A</v>
      </c>
      <c r="N97" s="46" t="e">
        <f aca="false">IF((H97=1),M97-D97,0)</f>
        <v>#N/A</v>
      </c>
      <c r="O97" s="29" t="n">
        <v>80</v>
      </c>
      <c r="P97" s="49" t="e">
        <f aca="false">IF((Arterial=0),P96+1,P96)</f>
        <v>#N/A</v>
      </c>
      <c r="Q97" s="49" t="e">
        <f aca="false">IF((Arterial=1),Q96+1,Q96)</f>
        <v>#N/A</v>
      </c>
      <c r="R97" s="50" t="n">
        <f aca="false">IF((RESET=1),0,R97+K97)</f>
        <v>0</v>
      </c>
      <c r="S97" s="19" t="n">
        <f aca="false">IF(RESET=1,0,S97+N97)</f>
        <v>0</v>
      </c>
      <c r="T97" s="0" t="n">
        <f aca="false">IF(RESET=1,0,T97+IF(H97=0,1,0))</f>
        <v>0</v>
      </c>
      <c r="U97" s="0" t="n">
        <f aca="false">IF(RESET=1,0,U97+H97)</f>
        <v>0</v>
      </c>
      <c r="V97" s="19" t="n">
        <f aca="false">R97/(T97+0.00001)</f>
        <v>0</v>
      </c>
      <c r="W97" s="19" t="n">
        <f aca="false">S97/(U97+0.0001)</f>
        <v>0</v>
      </c>
      <c r="X97" s="47" t="e">
        <f aca="false">IF(Informed=1,K97,0)</f>
        <v>#N/A</v>
      </c>
      <c r="Y97" s="47" t="n">
        <f aca="false">IF(Informed=0,K97,0)</f>
        <v>0</v>
      </c>
      <c r="Z97" s="47" t="e">
        <f aca="false">IF(Informed=1,N97,0)</f>
        <v>#N/A</v>
      </c>
      <c r="AA97" s="47" t="n">
        <f aca="false">IF(Informed=0,N97,0)</f>
        <v>0</v>
      </c>
      <c r="AB97" s="51" t="e">
        <f aca="false">IF(Arterial=0,IF(Informed=1,1,0),0)</f>
        <v>#N/A</v>
      </c>
      <c r="AC97" s="51" t="e">
        <f aca="false">IF(Arterial=0,IF(Informed=0,1,0),0)</f>
        <v>#N/A</v>
      </c>
      <c r="AD97" s="51" t="e">
        <f aca="false">IF(Arterial=1,IF(Informed=1,1,0),0)</f>
        <v>#N/A</v>
      </c>
      <c r="AE97" s="51" t="e">
        <f aca="false">IF(Arterial=1,IF(Informed=0,1,0),0)</f>
        <v>#N/A</v>
      </c>
      <c r="AF97" s="44" t="e">
        <f aca="false">IF(AB97=1,(X97-G$1030)^2,0)</f>
        <v>#N/A</v>
      </c>
      <c r="AG97" s="44" t="e">
        <f aca="false">IF(AC97=1,(Y97-H$1030)^2,0)</f>
        <v>#N/A</v>
      </c>
      <c r="AH97" s="44" t="e">
        <f aca="false">IF(AD97=1,(Z97-I$1030)^2,0)</f>
        <v>#N/A</v>
      </c>
      <c r="AI97" s="44" t="e">
        <f aca="false">IF(AE97=1,(AA97-J$1030)^2,0)</f>
        <v>#N/A</v>
      </c>
    </row>
    <row r="98" customFormat="false" ht="12" hidden="false" customHeight="false" outlineLevel="0" collapsed="false">
      <c r="A98" s="29" t="n">
        <v>81</v>
      </c>
      <c r="B98" s="45" t="n">
        <f aca="true">IF(RAND()&lt;$D$8,1,0)</f>
        <v>1</v>
      </c>
      <c r="C98" s="34" t="n">
        <f aca="true">-LN(RAND())/$D$2</f>
        <v>0.18625212753693</v>
      </c>
      <c r="D98" s="46" t="n">
        <f aca="false">D97+C98</f>
        <v>119.136319851239</v>
      </c>
      <c r="E98" s="47" t="e">
        <f aca="false">MAX($D$3,(1+P97-VLOOKUP(VALUE(D98),$J$18:$Q97,7,TRUE()))*$D$3)</f>
        <v>#N/A</v>
      </c>
      <c r="F98" s="47" t="e">
        <f aca="false">MAX($D$4,(1+Q97-VLOOKUP(VALUE(D98),$M$18:$Q97,5,TRUE()))*$D$4)</f>
        <v>#N/A</v>
      </c>
      <c r="G98" s="48" t="n">
        <v>0.5</v>
      </c>
      <c r="H98" s="46" t="e">
        <f aca="true">IF((B98=1),(IF((F98&lt;E98),1,(IF((F98=E98),(IF(RAND()&lt;G98,1,0)),0)))),(IF((RAND()&lt;G98),1,0)))</f>
        <v>#N/A</v>
      </c>
      <c r="I98" s="46" t="e">
        <f aca="true">IF((H98=1),0,$D$3+$D$5*(RAND()-0.5))</f>
        <v>#N/A</v>
      </c>
      <c r="J98" s="46" t="e">
        <f aca="false">I98+MAX(D98,J97)</f>
        <v>#N/A</v>
      </c>
      <c r="K98" s="46" t="e">
        <f aca="false">IF((H98=0),J98-D98,0)</f>
        <v>#N/A</v>
      </c>
      <c r="L98" s="46" t="e">
        <f aca="true">IF(($H98=0),0,$D$4+$D$5*(RAND()-0.5))</f>
        <v>#N/A</v>
      </c>
      <c r="M98" s="46" t="e">
        <f aca="false">L98+MAX(D98,M97)</f>
        <v>#N/A</v>
      </c>
      <c r="N98" s="46" t="e">
        <f aca="false">IF((H98=1),M98-D98,0)</f>
        <v>#N/A</v>
      </c>
      <c r="O98" s="29" t="n">
        <v>81</v>
      </c>
      <c r="P98" s="49" t="e">
        <f aca="false">IF((Arterial=0),P97+1,P97)</f>
        <v>#N/A</v>
      </c>
      <c r="Q98" s="49" t="e">
        <f aca="false">IF((Arterial=1),Q97+1,Q97)</f>
        <v>#N/A</v>
      </c>
      <c r="R98" s="50" t="n">
        <f aca="false">IF((RESET=1),0,R98+K98)</f>
        <v>0</v>
      </c>
      <c r="S98" s="19" t="n">
        <f aca="false">IF(RESET=1,0,S98+N98)</f>
        <v>0</v>
      </c>
      <c r="T98" s="0" t="n">
        <f aca="false">IF(RESET=1,0,T98+IF(H98=0,1,0))</f>
        <v>0</v>
      </c>
      <c r="U98" s="0" t="n">
        <f aca="false">IF(RESET=1,0,U98+H98)</f>
        <v>0</v>
      </c>
      <c r="V98" s="19" t="n">
        <f aca="false">R98/(T98+0.00001)</f>
        <v>0</v>
      </c>
      <c r="W98" s="19" t="n">
        <f aca="false">S98/(U98+0.0001)</f>
        <v>0</v>
      </c>
      <c r="X98" s="47" t="e">
        <f aca="false">IF(Informed=1,K98,0)</f>
        <v>#N/A</v>
      </c>
      <c r="Y98" s="47" t="n">
        <f aca="false">IF(Informed=0,K98,0)</f>
        <v>0</v>
      </c>
      <c r="Z98" s="47" t="e">
        <f aca="false">IF(Informed=1,N98,0)</f>
        <v>#N/A</v>
      </c>
      <c r="AA98" s="47" t="n">
        <f aca="false">IF(Informed=0,N98,0)</f>
        <v>0</v>
      </c>
      <c r="AB98" s="51" t="e">
        <f aca="false">IF(Arterial=0,IF(Informed=1,1,0),0)</f>
        <v>#N/A</v>
      </c>
      <c r="AC98" s="51" t="e">
        <f aca="false">IF(Arterial=0,IF(Informed=0,1,0),0)</f>
        <v>#N/A</v>
      </c>
      <c r="AD98" s="51" t="e">
        <f aca="false">IF(Arterial=1,IF(Informed=1,1,0),0)</f>
        <v>#N/A</v>
      </c>
      <c r="AE98" s="51" t="e">
        <f aca="false">IF(Arterial=1,IF(Informed=0,1,0),0)</f>
        <v>#N/A</v>
      </c>
      <c r="AF98" s="44" t="e">
        <f aca="false">IF(AB98=1,(X98-G$1030)^2,0)</f>
        <v>#N/A</v>
      </c>
      <c r="AG98" s="44" t="e">
        <f aca="false">IF(AC98=1,(Y98-H$1030)^2,0)</f>
        <v>#N/A</v>
      </c>
      <c r="AH98" s="44" t="e">
        <f aca="false">IF(AD98=1,(Z98-I$1030)^2,0)</f>
        <v>#N/A</v>
      </c>
      <c r="AI98" s="44" t="e">
        <f aca="false">IF(AE98=1,(AA98-J$1030)^2,0)</f>
        <v>#N/A</v>
      </c>
    </row>
    <row r="99" customFormat="false" ht="12" hidden="false" customHeight="false" outlineLevel="0" collapsed="false">
      <c r="A99" s="29" t="n">
        <v>82</v>
      </c>
      <c r="B99" s="45" t="n">
        <f aca="true">IF(RAND()&lt;$D$8,1,0)</f>
        <v>1</v>
      </c>
      <c r="C99" s="34" t="n">
        <f aca="true">-LN(RAND())/$D$2</f>
        <v>1.33190750136321</v>
      </c>
      <c r="D99" s="46" t="n">
        <f aca="false">D98+C99</f>
        <v>120.468227352602</v>
      </c>
      <c r="E99" s="47" t="e">
        <f aca="false">MAX($D$3,(1+P98-VLOOKUP(VALUE(D99),$J$18:$Q98,7,TRUE()))*$D$3)</f>
        <v>#N/A</v>
      </c>
      <c r="F99" s="47" t="e">
        <f aca="false">MAX($D$4,(1+Q98-VLOOKUP(VALUE(D99),$M$18:$Q98,5,TRUE()))*$D$4)</f>
        <v>#N/A</v>
      </c>
      <c r="G99" s="48" t="n">
        <v>0.5</v>
      </c>
      <c r="H99" s="46" t="e">
        <f aca="true">IF((B99=1),(IF((F99&lt;E99),1,(IF((F99=E99),(IF(RAND()&lt;G99,1,0)),0)))),(IF((RAND()&lt;G99),1,0)))</f>
        <v>#N/A</v>
      </c>
      <c r="I99" s="46" t="e">
        <f aca="true">IF((H99=1),0,$D$3+$D$5*(RAND()-0.5))</f>
        <v>#N/A</v>
      </c>
      <c r="J99" s="46" t="e">
        <f aca="false">I99+MAX(D99,J98)</f>
        <v>#N/A</v>
      </c>
      <c r="K99" s="46" t="e">
        <f aca="false">IF((H99=0),J99-D99,0)</f>
        <v>#N/A</v>
      </c>
      <c r="L99" s="46" t="e">
        <f aca="true">IF(($H99=0),0,$D$4+$D$5*(RAND()-0.5))</f>
        <v>#N/A</v>
      </c>
      <c r="M99" s="46" t="e">
        <f aca="false">L99+MAX(D99,M98)</f>
        <v>#N/A</v>
      </c>
      <c r="N99" s="46" t="e">
        <f aca="false">IF((H99=1),M99-D99,0)</f>
        <v>#N/A</v>
      </c>
      <c r="O99" s="29" t="n">
        <v>82</v>
      </c>
      <c r="P99" s="49" t="e">
        <f aca="false">IF((Arterial=0),P98+1,P98)</f>
        <v>#N/A</v>
      </c>
      <c r="Q99" s="49" t="e">
        <f aca="false">IF((Arterial=1),Q98+1,Q98)</f>
        <v>#N/A</v>
      </c>
      <c r="R99" s="50" t="n">
        <f aca="false">IF((RESET=1),0,R99+K99)</f>
        <v>0</v>
      </c>
      <c r="S99" s="19" t="n">
        <f aca="false">IF(RESET=1,0,S99+N99)</f>
        <v>0</v>
      </c>
      <c r="T99" s="0" t="n">
        <f aca="false">IF(RESET=1,0,T99+IF(H99=0,1,0))</f>
        <v>0</v>
      </c>
      <c r="U99" s="0" t="n">
        <f aca="false">IF(RESET=1,0,U99+H99)</f>
        <v>0</v>
      </c>
      <c r="V99" s="19" t="n">
        <f aca="false">R99/(T99+0.00001)</f>
        <v>0</v>
      </c>
      <c r="W99" s="19" t="n">
        <f aca="false">S99/(U99+0.0001)</f>
        <v>0</v>
      </c>
      <c r="X99" s="47" t="e">
        <f aca="false">IF(Informed=1,K99,0)</f>
        <v>#N/A</v>
      </c>
      <c r="Y99" s="47" t="n">
        <f aca="false">IF(Informed=0,K99,0)</f>
        <v>0</v>
      </c>
      <c r="Z99" s="47" t="e">
        <f aca="false">IF(Informed=1,N99,0)</f>
        <v>#N/A</v>
      </c>
      <c r="AA99" s="47" t="n">
        <f aca="false">IF(Informed=0,N99,0)</f>
        <v>0</v>
      </c>
      <c r="AB99" s="51" t="e">
        <f aca="false">IF(Arterial=0,IF(Informed=1,1,0),0)</f>
        <v>#N/A</v>
      </c>
      <c r="AC99" s="51" t="e">
        <f aca="false">IF(Arterial=0,IF(Informed=0,1,0),0)</f>
        <v>#N/A</v>
      </c>
      <c r="AD99" s="51" t="e">
        <f aca="false">IF(Arterial=1,IF(Informed=1,1,0),0)</f>
        <v>#N/A</v>
      </c>
      <c r="AE99" s="51" t="e">
        <f aca="false">IF(Arterial=1,IF(Informed=0,1,0),0)</f>
        <v>#N/A</v>
      </c>
      <c r="AF99" s="44" t="e">
        <f aca="false">IF(AB99=1,(X99-G$1030)^2,0)</f>
        <v>#N/A</v>
      </c>
      <c r="AG99" s="44" t="e">
        <f aca="false">IF(AC99=1,(Y99-H$1030)^2,0)</f>
        <v>#N/A</v>
      </c>
      <c r="AH99" s="44" t="e">
        <f aca="false">IF(AD99=1,(Z99-I$1030)^2,0)</f>
        <v>#N/A</v>
      </c>
      <c r="AI99" s="44" t="e">
        <f aca="false">IF(AE99=1,(AA99-J$1030)^2,0)</f>
        <v>#N/A</v>
      </c>
    </row>
    <row r="100" customFormat="false" ht="12" hidden="false" customHeight="false" outlineLevel="0" collapsed="false">
      <c r="A100" s="29" t="n">
        <v>83</v>
      </c>
      <c r="B100" s="45" t="n">
        <f aca="true">IF(RAND()&lt;$D$8,1,0)</f>
        <v>1</v>
      </c>
      <c r="C100" s="34" t="n">
        <f aca="true">-LN(RAND())/$D$2</f>
        <v>0.779887818694071</v>
      </c>
      <c r="D100" s="46" t="n">
        <f aca="false">D99+C100</f>
        <v>121.248115171296</v>
      </c>
      <c r="E100" s="47" t="e">
        <f aca="false">MAX($D$3,(1+P99-VLOOKUP(VALUE(D100),$J$18:$Q99,7,TRUE()))*$D$3)</f>
        <v>#N/A</v>
      </c>
      <c r="F100" s="47" t="e">
        <f aca="false">MAX($D$4,(1+Q99-VLOOKUP(VALUE(D100),$M$18:$Q99,5,TRUE()))*$D$4)</f>
        <v>#N/A</v>
      </c>
      <c r="G100" s="48" t="n">
        <v>0.5</v>
      </c>
      <c r="H100" s="46" t="e">
        <f aca="true">IF((B100=1),(IF((F100&lt;E100),1,(IF((F100=E100),(IF(RAND()&lt;G100,1,0)),0)))),(IF((RAND()&lt;G100),1,0)))</f>
        <v>#N/A</v>
      </c>
      <c r="I100" s="46" t="e">
        <f aca="true">IF((H100=1),0,$D$3+$D$5*(RAND()-0.5))</f>
        <v>#N/A</v>
      </c>
      <c r="J100" s="46" t="e">
        <f aca="false">I100+MAX(D100,J99)</f>
        <v>#N/A</v>
      </c>
      <c r="K100" s="46" t="e">
        <f aca="false">IF((H100=0),J100-D100,0)</f>
        <v>#N/A</v>
      </c>
      <c r="L100" s="46" t="e">
        <f aca="true">IF(($H100=0),0,$D$4+$D$5*(RAND()-0.5))</f>
        <v>#N/A</v>
      </c>
      <c r="M100" s="46" t="e">
        <f aca="false">L100+MAX(D100,M99)</f>
        <v>#N/A</v>
      </c>
      <c r="N100" s="46" t="e">
        <f aca="false">IF((H100=1),M100-D100,0)</f>
        <v>#N/A</v>
      </c>
      <c r="O100" s="29" t="n">
        <v>83</v>
      </c>
      <c r="P100" s="49" t="e">
        <f aca="false">IF((Arterial=0),P99+1,P99)</f>
        <v>#N/A</v>
      </c>
      <c r="Q100" s="49" t="e">
        <f aca="false">IF((Arterial=1),Q99+1,Q99)</f>
        <v>#N/A</v>
      </c>
      <c r="R100" s="50" t="n">
        <f aca="false">IF((RESET=1),0,R100+K100)</f>
        <v>0</v>
      </c>
      <c r="S100" s="19" t="n">
        <f aca="false">IF(RESET=1,0,S100+N100)</f>
        <v>0</v>
      </c>
      <c r="T100" s="0" t="n">
        <f aca="false">IF(RESET=1,0,T100+IF(H100=0,1,0))</f>
        <v>0</v>
      </c>
      <c r="U100" s="0" t="n">
        <f aca="false">IF(RESET=1,0,U100+H100)</f>
        <v>0</v>
      </c>
      <c r="V100" s="19" t="n">
        <f aca="false">R100/(T100+0.00001)</f>
        <v>0</v>
      </c>
      <c r="W100" s="19" t="n">
        <f aca="false">S100/(U100+0.0001)</f>
        <v>0</v>
      </c>
      <c r="X100" s="47" t="e">
        <f aca="false">IF(Informed=1,K100,0)</f>
        <v>#N/A</v>
      </c>
      <c r="Y100" s="47" t="n">
        <f aca="false">IF(Informed=0,K100,0)</f>
        <v>0</v>
      </c>
      <c r="Z100" s="47" t="e">
        <f aca="false">IF(Informed=1,N100,0)</f>
        <v>#N/A</v>
      </c>
      <c r="AA100" s="47" t="n">
        <f aca="false">IF(Informed=0,N100,0)</f>
        <v>0</v>
      </c>
      <c r="AB100" s="51" t="e">
        <f aca="false">IF(Arterial=0,IF(Informed=1,1,0),0)</f>
        <v>#N/A</v>
      </c>
      <c r="AC100" s="51" t="e">
        <f aca="false">IF(Arterial=0,IF(Informed=0,1,0),0)</f>
        <v>#N/A</v>
      </c>
      <c r="AD100" s="51" t="e">
        <f aca="false">IF(Arterial=1,IF(Informed=1,1,0),0)</f>
        <v>#N/A</v>
      </c>
      <c r="AE100" s="51" t="e">
        <f aca="false">IF(Arterial=1,IF(Informed=0,1,0),0)</f>
        <v>#N/A</v>
      </c>
      <c r="AF100" s="44" t="e">
        <f aca="false">IF(AB100=1,(X100-G$1030)^2,0)</f>
        <v>#N/A</v>
      </c>
      <c r="AG100" s="44" t="e">
        <f aca="false">IF(AC100=1,(Y100-H$1030)^2,0)</f>
        <v>#N/A</v>
      </c>
      <c r="AH100" s="44" t="e">
        <f aca="false">IF(AD100=1,(Z100-I$1030)^2,0)</f>
        <v>#N/A</v>
      </c>
      <c r="AI100" s="44" t="e">
        <f aca="false">IF(AE100=1,(AA100-J$1030)^2,0)</f>
        <v>#N/A</v>
      </c>
    </row>
    <row r="101" customFormat="false" ht="12" hidden="false" customHeight="false" outlineLevel="0" collapsed="false">
      <c r="A101" s="29" t="n">
        <v>84</v>
      </c>
      <c r="B101" s="45" t="n">
        <f aca="true">IF(RAND()&lt;$D$8,1,0)</f>
        <v>1</v>
      </c>
      <c r="C101" s="34" t="n">
        <f aca="true">-LN(RAND())/$D$2</f>
        <v>4.53833363751231</v>
      </c>
      <c r="D101" s="46" t="n">
        <f aca="false">D100+C101</f>
        <v>125.786448808809</v>
      </c>
      <c r="E101" s="47" t="e">
        <f aca="false">MAX($D$3,(1+P100-VLOOKUP(VALUE(D101),$J$18:$Q100,7,TRUE()))*$D$3)</f>
        <v>#N/A</v>
      </c>
      <c r="F101" s="47" t="e">
        <f aca="false">MAX($D$4,(1+Q100-VLOOKUP(VALUE(D101),$M$18:$Q100,5,TRUE()))*$D$4)</f>
        <v>#N/A</v>
      </c>
      <c r="G101" s="48" t="n">
        <v>0.5</v>
      </c>
      <c r="H101" s="46" t="e">
        <f aca="true">IF((B101=1),(IF((F101&lt;E101),1,(IF((F101=E101),(IF(RAND()&lt;G101,1,0)),0)))),(IF((RAND()&lt;G101),1,0)))</f>
        <v>#N/A</v>
      </c>
      <c r="I101" s="46" t="e">
        <f aca="true">IF((H101=1),0,$D$3+$D$5*(RAND()-0.5))</f>
        <v>#N/A</v>
      </c>
      <c r="J101" s="46" t="e">
        <f aca="false">I101+MAX(D101,J100)</f>
        <v>#N/A</v>
      </c>
      <c r="K101" s="46" t="e">
        <f aca="false">IF((H101=0),J101-D101,0)</f>
        <v>#N/A</v>
      </c>
      <c r="L101" s="46" t="e">
        <f aca="true">IF(($H101=0),0,$D$4+$D$5*(RAND()-0.5))</f>
        <v>#N/A</v>
      </c>
      <c r="M101" s="46" t="e">
        <f aca="false">L101+MAX(D101,M100)</f>
        <v>#N/A</v>
      </c>
      <c r="N101" s="46" t="e">
        <f aca="false">IF((H101=1),M101-D101,0)</f>
        <v>#N/A</v>
      </c>
      <c r="O101" s="29" t="n">
        <v>84</v>
      </c>
      <c r="P101" s="49" t="e">
        <f aca="false">IF((Arterial=0),P100+1,P100)</f>
        <v>#N/A</v>
      </c>
      <c r="Q101" s="49" t="e">
        <f aca="false">IF((Arterial=1),Q100+1,Q100)</f>
        <v>#N/A</v>
      </c>
      <c r="R101" s="50" t="n">
        <f aca="false">IF((RESET=1),0,R101+K101)</f>
        <v>0</v>
      </c>
      <c r="S101" s="19" t="n">
        <f aca="false">IF(RESET=1,0,S101+N101)</f>
        <v>0</v>
      </c>
      <c r="T101" s="0" t="n">
        <f aca="false">IF(RESET=1,0,T101+IF(H101=0,1,0))</f>
        <v>0</v>
      </c>
      <c r="U101" s="0" t="n">
        <f aca="false">IF(RESET=1,0,U101+H101)</f>
        <v>0</v>
      </c>
      <c r="V101" s="19" t="n">
        <f aca="false">R101/(T101+0.00001)</f>
        <v>0</v>
      </c>
      <c r="W101" s="19" t="n">
        <f aca="false">S101/(U101+0.0001)</f>
        <v>0</v>
      </c>
      <c r="X101" s="47" t="e">
        <f aca="false">IF(Informed=1,K101,0)</f>
        <v>#N/A</v>
      </c>
      <c r="Y101" s="47" t="n">
        <f aca="false">IF(Informed=0,K101,0)</f>
        <v>0</v>
      </c>
      <c r="Z101" s="47" t="e">
        <f aca="false">IF(Informed=1,N101,0)</f>
        <v>#N/A</v>
      </c>
      <c r="AA101" s="47" t="n">
        <f aca="false">IF(Informed=0,N101,0)</f>
        <v>0</v>
      </c>
      <c r="AB101" s="51" t="e">
        <f aca="false">IF(Arterial=0,IF(Informed=1,1,0),0)</f>
        <v>#N/A</v>
      </c>
      <c r="AC101" s="51" t="e">
        <f aca="false">IF(Arterial=0,IF(Informed=0,1,0),0)</f>
        <v>#N/A</v>
      </c>
      <c r="AD101" s="51" t="e">
        <f aca="false">IF(Arterial=1,IF(Informed=1,1,0),0)</f>
        <v>#N/A</v>
      </c>
      <c r="AE101" s="51" t="e">
        <f aca="false">IF(Arterial=1,IF(Informed=0,1,0),0)</f>
        <v>#N/A</v>
      </c>
      <c r="AF101" s="44" t="e">
        <f aca="false">IF(AB101=1,(X101-G$1030)^2,0)</f>
        <v>#N/A</v>
      </c>
      <c r="AG101" s="44" t="e">
        <f aca="false">IF(AC101=1,(Y101-H$1030)^2,0)</f>
        <v>#N/A</v>
      </c>
      <c r="AH101" s="44" t="e">
        <f aca="false">IF(AD101=1,(Z101-I$1030)^2,0)</f>
        <v>#N/A</v>
      </c>
      <c r="AI101" s="44" t="e">
        <f aca="false">IF(AE101=1,(AA101-J$1030)^2,0)</f>
        <v>#N/A</v>
      </c>
    </row>
    <row r="102" customFormat="false" ht="12" hidden="false" customHeight="false" outlineLevel="0" collapsed="false">
      <c r="A102" s="29" t="n">
        <v>85</v>
      </c>
      <c r="B102" s="45" t="n">
        <f aca="true">IF(RAND()&lt;$D$8,1,0)</f>
        <v>1</v>
      </c>
      <c r="C102" s="34" t="n">
        <f aca="true">-LN(RAND())/$D$2</f>
        <v>0.434425621085948</v>
      </c>
      <c r="D102" s="46" t="n">
        <f aca="false">D101+C102</f>
        <v>126.220874429895</v>
      </c>
      <c r="E102" s="47" t="e">
        <f aca="false">MAX($D$3,(1+P101-VLOOKUP(VALUE(D102),$J$18:$Q101,7,TRUE()))*$D$3)</f>
        <v>#N/A</v>
      </c>
      <c r="F102" s="47" t="e">
        <f aca="false">MAX($D$4,(1+Q101-VLOOKUP(VALUE(D102),$M$18:$Q101,5,TRUE()))*$D$4)</f>
        <v>#N/A</v>
      </c>
      <c r="G102" s="48" t="n">
        <v>0.5</v>
      </c>
      <c r="H102" s="46" t="e">
        <f aca="true">IF((B102=1),(IF((F102&lt;E102),1,(IF((F102=E102),(IF(RAND()&lt;G102,1,0)),0)))),(IF((RAND()&lt;G102),1,0)))</f>
        <v>#N/A</v>
      </c>
      <c r="I102" s="46" t="e">
        <f aca="true">IF((H102=1),0,$D$3+$D$5*(RAND()-0.5))</f>
        <v>#N/A</v>
      </c>
      <c r="J102" s="46" t="e">
        <f aca="false">I102+MAX(D102,J101)</f>
        <v>#N/A</v>
      </c>
      <c r="K102" s="46" t="e">
        <f aca="false">IF((H102=0),J102-D102,0)</f>
        <v>#N/A</v>
      </c>
      <c r="L102" s="46" t="e">
        <f aca="true">IF(($H102=0),0,$D$4+$D$5*(RAND()-0.5))</f>
        <v>#N/A</v>
      </c>
      <c r="M102" s="46" t="e">
        <f aca="false">L102+MAX(D102,M101)</f>
        <v>#N/A</v>
      </c>
      <c r="N102" s="46" t="e">
        <f aca="false">IF((H102=1),M102-D102,0)</f>
        <v>#N/A</v>
      </c>
      <c r="O102" s="29" t="n">
        <v>85</v>
      </c>
      <c r="P102" s="49" t="e">
        <f aca="false">IF((Arterial=0),P101+1,P101)</f>
        <v>#N/A</v>
      </c>
      <c r="Q102" s="49" t="e">
        <f aca="false">IF((Arterial=1),Q101+1,Q101)</f>
        <v>#N/A</v>
      </c>
      <c r="R102" s="50" t="n">
        <f aca="false">IF((RESET=1),0,R102+K102)</f>
        <v>0</v>
      </c>
      <c r="S102" s="19" t="n">
        <f aca="false">IF(RESET=1,0,S102+N102)</f>
        <v>0</v>
      </c>
      <c r="T102" s="0" t="n">
        <f aca="false">IF(RESET=1,0,T102+IF(H102=0,1,0))</f>
        <v>0</v>
      </c>
      <c r="U102" s="0" t="n">
        <f aca="false">IF(RESET=1,0,U102+H102)</f>
        <v>0</v>
      </c>
      <c r="V102" s="19" t="n">
        <f aca="false">R102/(T102+0.00001)</f>
        <v>0</v>
      </c>
      <c r="W102" s="19" t="n">
        <f aca="false">S102/(U102+0.0001)</f>
        <v>0</v>
      </c>
      <c r="X102" s="47" t="e">
        <f aca="false">IF(Informed=1,K102,0)</f>
        <v>#N/A</v>
      </c>
      <c r="Y102" s="47" t="n">
        <f aca="false">IF(Informed=0,K102,0)</f>
        <v>0</v>
      </c>
      <c r="Z102" s="47" t="e">
        <f aca="false">IF(Informed=1,N102,0)</f>
        <v>#N/A</v>
      </c>
      <c r="AA102" s="47" t="n">
        <f aca="false">IF(Informed=0,N102,0)</f>
        <v>0</v>
      </c>
      <c r="AB102" s="51" t="e">
        <f aca="false">IF(Arterial=0,IF(Informed=1,1,0),0)</f>
        <v>#N/A</v>
      </c>
      <c r="AC102" s="51" t="e">
        <f aca="false">IF(Arterial=0,IF(Informed=0,1,0),0)</f>
        <v>#N/A</v>
      </c>
      <c r="AD102" s="51" t="e">
        <f aca="false">IF(Arterial=1,IF(Informed=1,1,0),0)</f>
        <v>#N/A</v>
      </c>
      <c r="AE102" s="51" t="e">
        <f aca="false">IF(Arterial=1,IF(Informed=0,1,0),0)</f>
        <v>#N/A</v>
      </c>
      <c r="AF102" s="44" t="e">
        <f aca="false">IF(AB102=1,(X102-G$1030)^2,0)</f>
        <v>#N/A</v>
      </c>
      <c r="AG102" s="44" t="e">
        <f aca="false">IF(AC102=1,(Y102-H$1030)^2,0)</f>
        <v>#N/A</v>
      </c>
      <c r="AH102" s="44" t="e">
        <f aca="false">IF(AD102=1,(Z102-I$1030)^2,0)</f>
        <v>#N/A</v>
      </c>
      <c r="AI102" s="44" t="e">
        <f aca="false">IF(AE102=1,(AA102-J$1030)^2,0)</f>
        <v>#N/A</v>
      </c>
    </row>
    <row r="103" customFormat="false" ht="12" hidden="false" customHeight="false" outlineLevel="0" collapsed="false">
      <c r="A103" s="29" t="n">
        <v>86</v>
      </c>
      <c r="B103" s="45" t="n">
        <f aca="true">IF(RAND()&lt;$D$8,1,0)</f>
        <v>1</v>
      </c>
      <c r="C103" s="34" t="n">
        <f aca="true">-LN(RAND())/$D$2</f>
        <v>0.430622498144618</v>
      </c>
      <c r="D103" s="46" t="n">
        <f aca="false">D102+C103</f>
        <v>126.651496928039</v>
      </c>
      <c r="E103" s="47" t="e">
        <f aca="false">MAX($D$3,(1+P102-VLOOKUP(VALUE(D103),$J$18:$Q102,7,TRUE()))*$D$3)</f>
        <v>#N/A</v>
      </c>
      <c r="F103" s="47" t="e">
        <f aca="false">MAX($D$4,(1+Q102-VLOOKUP(VALUE(D103),$M$18:$Q102,5,TRUE()))*$D$4)</f>
        <v>#N/A</v>
      </c>
      <c r="G103" s="48" t="n">
        <v>0.5</v>
      </c>
      <c r="H103" s="46" t="e">
        <f aca="true">IF((B103=1),(IF((F103&lt;E103),1,(IF((F103=E103),(IF(RAND()&lt;G103,1,0)),0)))),(IF((RAND()&lt;G103),1,0)))</f>
        <v>#N/A</v>
      </c>
      <c r="I103" s="46" t="e">
        <f aca="true">IF((H103=1),0,$D$3+$D$5*(RAND()-0.5))</f>
        <v>#N/A</v>
      </c>
      <c r="J103" s="46" t="e">
        <f aca="false">I103+MAX(D103,J102)</f>
        <v>#N/A</v>
      </c>
      <c r="K103" s="46" t="e">
        <f aca="false">IF((H103=0),J103-D103,0)</f>
        <v>#N/A</v>
      </c>
      <c r="L103" s="46" t="e">
        <f aca="true">IF(($H103=0),0,$D$4+$D$5*(RAND()-0.5))</f>
        <v>#N/A</v>
      </c>
      <c r="M103" s="46" t="e">
        <f aca="false">L103+MAX(D103,M102)</f>
        <v>#N/A</v>
      </c>
      <c r="N103" s="46" t="e">
        <f aca="false">IF((H103=1),M103-D103,0)</f>
        <v>#N/A</v>
      </c>
      <c r="O103" s="29" t="n">
        <v>86</v>
      </c>
      <c r="P103" s="49" t="e">
        <f aca="false">IF((Arterial=0),P102+1,P102)</f>
        <v>#N/A</v>
      </c>
      <c r="Q103" s="49" t="e">
        <f aca="false">IF((Arterial=1),Q102+1,Q102)</f>
        <v>#N/A</v>
      </c>
      <c r="R103" s="50" t="n">
        <f aca="false">IF((RESET=1),0,R103+K103)</f>
        <v>0</v>
      </c>
      <c r="S103" s="19" t="n">
        <f aca="false">IF(RESET=1,0,S103+N103)</f>
        <v>0</v>
      </c>
      <c r="T103" s="0" t="n">
        <f aca="false">IF(RESET=1,0,T103+IF(H103=0,1,0))</f>
        <v>0</v>
      </c>
      <c r="U103" s="0" t="n">
        <f aca="false">IF(RESET=1,0,U103+H103)</f>
        <v>0</v>
      </c>
      <c r="V103" s="19" t="n">
        <f aca="false">R103/(T103+0.00001)</f>
        <v>0</v>
      </c>
      <c r="W103" s="19" t="n">
        <f aca="false">S103/(U103+0.0001)</f>
        <v>0</v>
      </c>
      <c r="X103" s="47" t="e">
        <f aca="false">IF(Informed=1,K103,0)</f>
        <v>#N/A</v>
      </c>
      <c r="Y103" s="47" t="n">
        <f aca="false">IF(Informed=0,K103,0)</f>
        <v>0</v>
      </c>
      <c r="Z103" s="47" t="e">
        <f aca="false">IF(Informed=1,N103,0)</f>
        <v>#N/A</v>
      </c>
      <c r="AA103" s="47" t="n">
        <f aca="false">IF(Informed=0,N103,0)</f>
        <v>0</v>
      </c>
      <c r="AB103" s="51" t="e">
        <f aca="false">IF(Arterial=0,IF(Informed=1,1,0),0)</f>
        <v>#N/A</v>
      </c>
      <c r="AC103" s="51" t="e">
        <f aca="false">IF(Arterial=0,IF(Informed=0,1,0),0)</f>
        <v>#N/A</v>
      </c>
      <c r="AD103" s="51" t="e">
        <f aca="false">IF(Arterial=1,IF(Informed=1,1,0),0)</f>
        <v>#N/A</v>
      </c>
      <c r="AE103" s="51" t="e">
        <f aca="false">IF(Arterial=1,IF(Informed=0,1,0),0)</f>
        <v>#N/A</v>
      </c>
      <c r="AF103" s="44" t="e">
        <f aca="false">IF(AB103=1,(X103-G$1030)^2,0)</f>
        <v>#N/A</v>
      </c>
      <c r="AG103" s="44" t="e">
        <f aca="false">IF(AC103=1,(Y103-H$1030)^2,0)</f>
        <v>#N/A</v>
      </c>
      <c r="AH103" s="44" t="e">
        <f aca="false">IF(AD103=1,(Z103-I$1030)^2,0)</f>
        <v>#N/A</v>
      </c>
      <c r="AI103" s="44" t="e">
        <f aca="false">IF(AE103=1,(AA103-J$1030)^2,0)</f>
        <v>#N/A</v>
      </c>
    </row>
    <row r="104" customFormat="false" ht="12" hidden="false" customHeight="false" outlineLevel="0" collapsed="false">
      <c r="A104" s="29" t="n">
        <v>87</v>
      </c>
      <c r="B104" s="45" t="n">
        <f aca="true">IF(RAND()&lt;$D$8,1,0)</f>
        <v>1</v>
      </c>
      <c r="C104" s="34" t="n">
        <f aca="true">-LN(RAND())/$D$2</f>
        <v>4.39706056716234</v>
      </c>
      <c r="D104" s="46" t="n">
        <f aca="false">D103+C104</f>
        <v>131.048557495202</v>
      </c>
      <c r="E104" s="47" t="e">
        <f aca="false">MAX($D$3,(1+P103-VLOOKUP(VALUE(D104),$J$18:$Q103,7,TRUE()))*$D$3)</f>
        <v>#N/A</v>
      </c>
      <c r="F104" s="47" t="e">
        <f aca="false">MAX($D$4,(1+Q103-VLOOKUP(VALUE(D104),$M$18:$Q103,5,TRUE()))*$D$4)</f>
        <v>#N/A</v>
      </c>
      <c r="G104" s="48" t="n">
        <v>0.5</v>
      </c>
      <c r="H104" s="46" t="e">
        <f aca="true">IF((B104=1),(IF((F104&lt;E104),1,(IF((F104=E104),(IF(RAND()&lt;G104,1,0)),0)))),(IF((RAND()&lt;G104),1,0)))</f>
        <v>#N/A</v>
      </c>
      <c r="I104" s="46" t="e">
        <f aca="true">IF((H104=1),0,$D$3+$D$5*(RAND()-0.5))</f>
        <v>#N/A</v>
      </c>
      <c r="J104" s="46" t="e">
        <f aca="false">I104+MAX(D104,J103)</f>
        <v>#N/A</v>
      </c>
      <c r="K104" s="46" t="e">
        <f aca="false">IF((H104=0),J104-D104,0)</f>
        <v>#N/A</v>
      </c>
      <c r="L104" s="46" t="e">
        <f aca="true">IF(($H104=0),0,$D$4+$D$5*(RAND()-0.5))</f>
        <v>#N/A</v>
      </c>
      <c r="M104" s="46" t="e">
        <f aca="false">L104+MAX(D104,M103)</f>
        <v>#N/A</v>
      </c>
      <c r="N104" s="46" t="e">
        <f aca="false">IF((H104=1),M104-D104,0)</f>
        <v>#N/A</v>
      </c>
      <c r="O104" s="29" t="n">
        <v>87</v>
      </c>
      <c r="P104" s="49" t="e">
        <f aca="false">IF((Arterial=0),P103+1,P103)</f>
        <v>#N/A</v>
      </c>
      <c r="Q104" s="49" t="e">
        <f aca="false">IF((Arterial=1),Q103+1,Q103)</f>
        <v>#N/A</v>
      </c>
      <c r="R104" s="50" t="n">
        <f aca="false">IF((RESET=1),0,R104+K104)</f>
        <v>0</v>
      </c>
      <c r="S104" s="19" t="n">
        <f aca="false">IF(RESET=1,0,S104+N104)</f>
        <v>0</v>
      </c>
      <c r="T104" s="0" t="n">
        <f aca="false">IF(RESET=1,0,T104+IF(H104=0,1,0))</f>
        <v>0</v>
      </c>
      <c r="U104" s="0" t="n">
        <f aca="false">IF(RESET=1,0,U104+H104)</f>
        <v>0</v>
      </c>
      <c r="V104" s="19" t="n">
        <f aca="false">R104/(T104+0.00001)</f>
        <v>0</v>
      </c>
      <c r="W104" s="19" t="n">
        <f aca="false">S104/(U104+0.0001)</f>
        <v>0</v>
      </c>
      <c r="X104" s="47" t="e">
        <f aca="false">IF(Informed=1,K104,0)</f>
        <v>#N/A</v>
      </c>
      <c r="Y104" s="47" t="n">
        <f aca="false">IF(Informed=0,K104,0)</f>
        <v>0</v>
      </c>
      <c r="Z104" s="47" t="e">
        <f aca="false">IF(Informed=1,N104,0)</f>
        <v>#N/A</v>
      </c>
      <c r="AA104" s="47" t="n">
        <f aca="false">IF(Informed=0,N104,0)</f>
        <v>0</v>
      </c>
      <c r="AB104" s="51" t="e">
        <f aca="false">IF(Arterial=0,IF(Informed=1,1,0),0)</f>
        <v>#N/A</v>
      </c>
      <c r="AC104" s="51" t="e">
        <f aca="false">IF(Arterial=0,IF(Informed=0,1,0),0)</f>
        <v>#N/A</v>
      </c>
      <c r="AD104" s="51" t="e">
        <f aca="false">IF(Arterial=1,IF(Informed=1,1,0),0)</f>
        <v>#N/A</v>
      </c>
      <c r="AE104" s="51" t="e">
        <f aca="false">IF(Arterial=1,IF(Informed=0,1,0),0)</f>
        <v>#N/A</v>
      </c>
      <c r="AF104" s="44" t="e">
        <f aca="false">IF(AB104=1,(X104-G$1030)^2,0)</f>
        <v>#N/A</v>
      </c>
      <c r="AG104" s="44" t="e">
        <f aca="false">IF(AC104=1,(Y104-H$1030)^2,0)</f>
        <v>#N/A</v>
      </c>
      <c r="AH104" s="44" t="e">
        <f aca="false">IF(AD104=1,(Z104-I$1030)^2,0)</f>
        <v>#N/A</v>
      </c>
      <c r="AI104" s="44" t="e">
        <f aca="false">IF(AE104=1,(AA104-J$1030)^2,0)</f>
        <v>#N/A</v>
      </c>
    </row>
    <row r="105" customFormat="false" ht="12" hidden="false" customHeight="false" outlineLevel="0" collapsed="false">
      <c r="A105" s="29" t="n">
        <v>88</v>
      </c>
      <c r="B105" s="45" t="n">
        <f aca="true">IF(RAND()&lt;$D$8,1,0)</f>
        <v>1</v>
      </c>
      <c r="C105" s="34" t="n">
        <f aca="true">-LN(RAND())/$D$2</f>
        <v>0.626901910984507</v>
      </c>
      <c r="D105" s="46" t="n">
        <f aca="false">D104+C105</f>
        <v>131.675459406186</v>
      </c>
      <c r="E105" s="47" t="e">
        <f aca="false">MAX($D$3,(1+P104-VLOOKUP(VALUE(D105),$J$18:$Q104,7,TRUE()))*$D$3)</f>
        <v>#N/A</v>
      </c>
      <c r="F105" s="47" t="e">
        <f aca="false">MAX($D$4,(1+Q104-VLOOKUP(VALUE(D105),$M$18:$Q104,5,TRUE()))*$D$4)</f>
        <v>#N/A</v>
      </c>
      <c r="G105" s="48" t="n">
        <v>0.5</v>
      </c>
      <c r="H105" s="46" t="e">
        <f aca="true">IF((B105=1),(IF((F105&lt;E105),1,(IF((F105=E105),(IF(RAND()&lt;G105,1,0)),0)))),(IF((RAND()&lt;G105),1,0)))</f>
        <v>#N/A</v>
      </c>
      <c r="I105" s="46" t="e">
        <f aca="true">IF((H105=1),0,$D$3+$D$5*(RAND()-0.5))</f>
        <v>#N/A</v>
      </c>
      <c r="J105" s="46" t="e">
        <f aca="false">I105+MAX(D105,J104)</f>
        <v>#N/A</v>
      </c>
      <c r="K105" s="46" t="e">
        <f aca="false">IF((H105=0),J105-D105,0)</f>
        <v>#N/A</v>
      </c>
      <c r="L105" s="46" t="e">
        <f aca="true">IF(($H105=0),0,$D$4+$D$5*(RAND()-0.5))</f>
        <v>#N/A</v>
      </c>
      <c r="M105" s="46" t="e">
        <f aca="false">L105+MAX(D105,M104)</f>
        <v>#N/A</v>
      </c>
      <c r="N105" s="46" t="e">
        <f aca="false">IF((H105=1),M105-D105,0)</f>
        <v>#N/A</v>
      </c>
      <c r="O105" s="29" t="n">
        <v>88</v>
      </c>
      <c r="P105" s="49" t="e">
        <f aca="false">IF((Arterial=0),P104+1,P104)</f>
        <v>#N/A</v>
      </c>
      <c r="Q105" s="49" t="e">
        <f aca="false">IF((Arterial=1),Q104+1,Q104)</f>
        <v>#N/A</v>
      </c>
      <c r="R105" s="50" t="n">
        <f aca="false">IF((RESET=1),0,R105+K105)</f>
        <v>0</v>
      </c>
      <c r="S105" s="19" t="n">
        <f aca="false">IF(RESET=1,0,S105+N105)</f>
        <v>0</v>
      </c>
      <c r="T105" s="0" t="n">
        <f aca="false">IF(RESET=1,0,T105+IF(H105=0,1,0))</f>
        <v>0</v>
      </c>
      <c r="U105" s="0" t="n">
        <f aca="false">IF(RESET=1,0,U105+H105)</f>
        <v>0</v>
      </c>
      <c r="V105" s="19" t="n">
        <f aca="false">R105/(T105+0.00001)</f>
        <v>0</v>
      </c>
      <c r="W105" s="19" t="n">
        <f aca="false">S105/(U105+0.0001)</f>
        <v>0</v>
      </c>
      <c r="X105" s="47" t="e">
        <f aca="false">IF(Informed=1,K105,0)</f>
        <v>#N/A</v>
      </c>
      <c r="Y105" s="47" t="n">
        <f aca="false">IF(Informed=0,K105,0)</f>
        <v>0</v>
      </c>
      <c r="Z105" s="47" t="e">
        <f aca="false">IF(Informed=1,N105,0)</f>
        <v>#N/A</v>
      </c>
      <c r="AA105" s="47" t="n">
        <f aca="false">IF(Informed=0,N105,0)</f>
        <v>0</v>
      </c>
      <c r="AB105" s="51" t="e">
        <f aca="false">IF(Arterial=0,IF(Informed=1,1,0),0)</f>
        <v>#N/A</v>
      </c>
      <c r="AC105" s="51" t="e">
        <f aca="false">IF(Arterial=0,IF(Informed=0,1,0),0)</f>
        <v>#N/A</v>
      </c>
      <c r="AD105" s="51" t="e">
        <f aca="false">IF(Arterial=1,IF(Informed=1,1,0),0)</f>
        <v>#N/A</v>
      </c>
      <c r="AE105" s="51" t="e">
        <f aca="false">IF(Arterial=1,IF(Informed=0,1,0),0)</f>
        <v>#N/A</v>
      </c>
      <c r="AF105" s="44" t="e">
        <f aca="false">IF(AB105=1,(X105-G$1030)^2,0)</f>
        <v>#N/A</v>
      </c>
      <c r="AG105" s="44" t="e">
        <f aca="false">IF(AC105=1,(Y105-H$1030)^2,0)</f>
        <v>#N/A</v>
      </c>
      <c r="AH105" s="44" t="e">
        <f aca="false">IF(AD105=1,(Z105-I$1030)^2,0)</f>
        <v>#N/A</v>
      </c>
      <c r="AI105" s="44" t="e">
        <f aca="false">IF(AE105=1,(AA105-J$1030)^2,0)</f>
        <v>#N/A</v>
      </c>
    </row>
    <row r="106" customFormat="false" ht="12" hidden="false" customHeight="false" outlineLevel="0" collapsed="false">
      <c r="A106" s="29" t="n">
        <v>89</v>
      </c>
      <c r="B106" s="45" t="n">
        <f aca="true">IF(RAND()&lt;$D$8,1,0)</f>
        <v>1</v>
      </c>
      <c r="C106" s="34" t="n">
        <f aca="true">-LN(RAND())/$D$2</f>
        <v>0.333091398656832</v>
      </c>
      <c r="D106" s="46" t="n">
        <f aca="false">D105+C106</f>
        <v>132.008550804843</v>
      </c>
      <c r="E106" s="47" t="e">
        <f aca="false">MAX($D$3,(1+P105-VLOOKUP(VALUE(D106),$J$18:$Q105,7,TRUE()))*$D$3)</f>
        <v>#N/A</v>
      </c>
      <c r="F106" s="47" t="e">
        <f aca="false">MAX($D$4,(1+Q105-VLOOKUP(VALUE(D106),$M$18:$Q105,5,TRUE()))*$D$4)</f>
        <v>#N/A</v>
      </c>
      <c r="G106" s="48" t="n">
        <v>0.5</v>
      </c>
      <c r="H106" s="46" t="e">
        <f aca="true">IF((B106=1),(IF((F106&lt;E106),1,(IF((F106=E106),(IF(RAND()&lt;G106,1,0)),0)))),(IF((RAND()&lt;G106),1,0)))</f>
        <v>#N/A</v>
      </c>
      <c r="I106" s="46" t="e">
        <f aca="true">IF((H106=1),0,$D$3+$D$5*(RAND()-0.5))</f>
        <v>#N/A</v>
      </c>
      <c r="J106" s="46" t="e">
        <f aca="false">I106+MAX(D106,J105)</f>
        <v>#N/A</v>
      </c>
      <c r="K106" s="46" t="e">
        <f aca="false">IF((H106=0),J106-D106,0)</f>
        <v>#N/A</v>
      </c>
      <c r="L106" s="46" t="e">
        <f aca="true">IF(($H106=0),0,$D$4+$D$5*(RAND()-0.5))</f>
        <v>#N/A</v>
      </c>
      <c r="M106" s="46" t="e">
        <f aca="false">L106+MAX(D106,M105)</f>
        <v>#N/A</v>
      </c>
      <c r="N106" s="46" t="e">
        <f aca="false">IF((H106=1),M106-D106,0)</f>
        <v>#N/A</v>
      </c>
      <c r="O106" s="29" t="n">
        <v>89</v>
      </c>
      <c r="P106" s="49" t="e">
        <f aca="false">IF((Arterial=0),P105+1,P105)</f>
        <v>#N/A</v>
      </c>
      <c r="Q106" s="49" t="e">
        <f aca="false">IF((Arterial=1),Q105+1,Q105)</f>
        <v>#N/A</v>
      </c>
      <c r="R106" s="50" t="n">
        <f aca="false">IF((RESET=1),0,R106+K106)</f>
        <v>0</v>
      </c>
      <c r="S106" s="19" t="n">
        <f aca="false">IF(RESET=1,0,S106+N106)</f>
        <v>0</v>
      </c>
      <c r="T106" s="0" t="n">
        <f aca="false">IF(RESET=1,0,T106+IF(H106=0,1,0))</f>
        <v>0</v>
      </c>
      <c r="U106" s="0" t="n">
        <f aca="false">IF(RESET=1,0,U106+H106)</f>
        <v>0</v>
      </c>
      <c r="V106" s="19" t="n">
        <f aca="false">R106/(T106+0.00001)</f>
        <v>0</v>
      </c>
      <c r="W106" s="19" t="n">
        <f aca="false">S106/(U106+0.0001)</f>
        <v>0</v>
      </c>
      <c r="X106" s="47" t="e">
        <f aca="false">IF(Informed=1,K106,0)</f>
        <v>#N/A</v>
      </c>
      <c r="Y106" s="47" t="n">
        <f aca="false">IF(Informed=0,K106,0)</f>
        <v>0</v>
      </c>
      <c r="Z106" s="47" t="e">
        <f aca="false">IF(Informed=1,N106,0)</f>
        <v>#N/A</v>
      </c>
      <c r="AA106" s="47" t="n">
        <f aca="false">IF(Informed=0,N106,0)</f>
        <v>0</v>
      </c>
      <c r="AB106" s="51" t="e">
        <f aca="false">IF(Arterial=0,IF(Informed=1,1,0),0)</f>
        <v>#N/A</v>
      </c>
      <c r="AC106" s="51" t="e">
        <f aca="false">IF(Arterial=0,IF(Informed=0,1,0),0)</f>
        <v>#N/A</v>
      </c>
      <c r="AD106" s="51" t="e">
        <f aca="false">IF(Arterial=1,IF(Informed=1,1,0),0)</f>
        <v>#N/A</v>
      </c>
      <c r="AE106" s="51" t="e">
        <f aca="false">IF(Arterial=1,IF(Informed=0,1,0),0)</f>
        <v>#N/A</v>
      </c>
      <c r="AF106" s="44" t="e">
        <f aca="false">IF(AB106=1,(X106-G$1030)^2,0)</f>
        <v>#N/A</v>
      </c>
      <c r="AG106" s="44" t="e">
        <f aca="false">IF(AC106=1,(Y106-H$1030)^2,0)</f>
        <v>#N/A</v>
      </c>
      <c r="AH106" s="44" t="e">
        <f aca="false">IF(AD106=1,(Z106-I$1030)^2,0)</f>
        <v>#N/A</v>
      </c>
      <c r="AI106" s="44" t="e">
        <f aca="false">IF(AE106=1,(AA106-J$1030)^2,0)</f>
        <v>#N/A</v>
      </c>
    </row>
    <row r="107" customFormat="false" ht="12" hidden="false" customHeight="false" outlineLevel="0" collapsed="false">
      <c r="A107" s="29" t="n">
        <v>90</v>
      </c>
      <c r="B107" s="45" t="n">
        <f aca="true">IF(RAND()&lt;$D$8,1,0)</f>
        <v>1</v>
      </c>
      <c r="C107" s="34" t="n">
        <f aca="true">-LN(RAND())/$D$2</f>
        <v>0.260975781675616</v>
      </c>
      <c r="D107" s="46" t="n">
        <f aca="false">D106+C107</f>
        <v>132.269526586519</v>
      </c>
      <c r="E107" s="47" t="e">
        <f aca="false">MAX($D$3,(1+P106-VLOOKUP(VALUE(D107),$J$18:$Q106,7,TRUE()))*$D$3)</f>
        <v>#N/A</v>
      </c>
      <c r="F107" s="47" t="e">
        <f aca="false">MAX($D$4,(1+Q106-VLOOKUP(VALUE(D107),$M$18:$Q106,5,TRUE()))*$D$4)</f>
        <v>#N/A</v>
      </c>
      <c r="G107" s="48" t="n">
        <v>0.5</v>
      </c>
      <c r="H107" s="46" t="e">
        <f aca="true">IF((B107=1),(IF((F107&lt;E107),1,(IF((F107=E107),(IF(RAND()&lt;G107,1,0)),0)))),(IF((RAND()&lt;G107),1,0)))</f>
        <v>#N/A</v>
      </c>
      <c r="I107" s="46" t="e">
        <f aca="true">IF((H107=1),0,$D$3+$D$5*(RAND()-0.5))</f>
        <v>#N/A</v>
      </c>
      <c r="J107" s="46" t="e">
        <f aca="false">I107+MAX(D107,J106)</f>
        <v>#N/A</v>
      </c>
      <c r="K107" s="46" t="e">
        <f aca="false">IF((H107=0),J107-D107,0)</f>
        <v>#N/A</v>
      </c>
      <c r="L107" s="46" t="e">
        <f aca="true">IF(($H107=0),0,$D$4+$D$5*(RAND()-0.5))</f>
        <v>#N/A</v>
      </c>
      <c r="M107" s="46" t="e">
        <f aca="false">L107+MAX(D107,M106)</f>
        <v>#N/A</v>
      </c>
      <c r="N107" s="46" t="e">
        <f aca="false">IF((H107=1),M107-D107,0)</f>
        <v>#N/A</v>
      </c>
      <c r="O107" s="29" t="n">
        <v>90</v>
      </c>
      <c r="P107" s="49" t="e">
        <f aca="false">IF((Arterial=0),P106+1,P106)</f>
        <v>#N/A</v>
      </c>
      <c r="Q107" s="49" t="e">
        <f aca="false">IF((Arterial=1),Q106+1,Q106)</f>
        <v>#N/A</v>
      </c>
      <c r="R107" s="50" t="n">
        <f aca="false">IF((RESET=1),0,R107+K107)</f>
        <v>0</v>
      </c>
      <c r="S107" s="19" t="n">
        <f aca="false">IF(RESET=1,0,S107+N107)</f>
        <v>0</v>
      </c>
      <c r="T107" s="0" t="n">
        <f aca="false">IF(RESET=1,0,T107+IF(H107=0,1,0))</f>
        <v>0</v>
      </c>
      <c r="U107" s="0" t="n">
        <f aca="false">IF(RESET=1,0,U107+H107)</f>
        <v>0</v>
      </c>
      <c r="V107" s="19" t="n">
        <f aca="false">R107/(T107+0.00001)</f>
        <v>0</v>
      </c>
      <c r="W107" s="19" t="n">
        <f aca="false">S107/(U107+0.0001)</f>
        <v>0</v>
      </c>
      <c r="X107" s="47" t="e">
        <f aca="false">IF(Informed=1,K107,0)</f>
        <v>#N/A</v>
      </c>
      <c r="Y107" s="47" t="n">
        <f aca="false">IF(Informed=0,K107,0)</f>
        <v>0</v>
      </c>
      <c r="Z107" s="47" t="e">
        <f aca="false">IF(Informed=1,N107,0)</f>
        <v>#N/A</v>
      </c>
      <c r="AA107" s="47" t="n">
        <f aca="false">IF(Informed=0,N107,0)</f>
        <v>0</v>
      </c>
      <c r="AB107" s="51" t="e">
        <f aca="false">IF(Arterial=0,IF(Informed=1,1,0),0)</f>
        <v>#N/A</v>
      </c>
      <c r="AC107" s="51" t="e">
        <f aca="false">IF(Arterial=0,IF(Informed=0,1,0),0)</f>
        <v>#N/A</v>
      </c>
      <c r="AD107" s="51" t="e">
        <f aca="false">IF(Arterial=1,IF(Informed=1,1,0),0)</f>
        <v>#N/A</v>
      </c>
      <c r="AE107" s="51" t="e">
        <f aca="false">IF(Arterial=1,IF(Informed=0,1,0),0)</f>
        <v>#N/A</v>
      </c>
      <c r="AF107" s="44" t="e">
        <f aca="false">IF(AB107=1,(X107-G$1030)^2,0)</f>
        <v>#N/A</v>
      </c>
      <c r="AG107" s="44" t="e">
        <f aca="false">IF(AC107=1,(Y107-H$1030)^2,0)</f>
        <v>#N/A</v>
      </c>
      <c r="AH107" s="44" t="e">
        <f aca="false">IF(AD107=1,(Z107-I$1030)^2,0)</f>
        <v>#N/A</v>
      </c>
      <c r="AI107" s="44" t="e">
        <f aca="false">IF(AE107=1,(AA107-J$1030)^2,0)</f>
        <v>#N/A</v>
      </c>
    </row>
    <row r="108" customFormat="false" ht="12" hidden="false" customHeight="false" outlineLevel="0" collapsed="false">
      <c r="A108" s="29" t="n">
        <v>91</v>
      </c>
      <c r="B108" s="45" t="n">
        <f aca="true">IF(RAND()&lt;$D$8,1,0)</f>
        <v>1</v>
      </c>
      <c r="C108" s="34" t="n">
        <f aca="true">-LN(RAND())/$D$2</f>
        <v>0.044276993627771</v>
      </c>
      <c r="D108" s="46" t="n">
        <f aca="false">D107+C108</f>
        <v>132.313803580146</v>
      </c>
      <c r="E108" s="47" t="e">
        <f aca="false">MAX($D$3,(1+P107-VLOOKUP(VALUE(D108),$J$18:$Q107,7,TRUE()))*$D$3)</f>
        <v>#N/A</v>
      </c>
      <c r="F108" s="47" t="e">
        <f aca="false">MAX($D$4,(1+Q107-VLOOKUP(VALUE(D108),$M$18:$Q107,5,TRUE()))*$D$4)</f>
        <v>#N/A</v>
      </c>
      <c r="G108" s="48" t="n">
        <v>0.5</v>
      </c>
      <c r="H108" s="46" t="e">
        <f aca="true">IF((B108=1),(IF((F108&lt;E108),1,(IF((F108=E108),(IF(RAND()&lt;G108,1,0)),0)))),(IF((RAND()&lt;G108),1,0)))</f>
        <v>#N/A</v>
      </c>
      <c r="I108" s="46" t="e">
        <f aca="true">IF((H108=1),0,$D$3+$D$5*(RAND()-0.5))</f>
        <v>#N/A</v>
      </c>
      <c r="J108" s="46" t="e">
        <f aca="false">I108+MAX(D108,J107)</f>
        <v>#N/A</v>
      </c>
      <c r="K108" s="46" t="e">
        <f aca="false">IF((H108=0),J108-D108,0)</f>
        <v>#N/A</v>
      </c>
      <c r="L108" s="46" t="e">
        <f aca="true">IF(($H108=0),0,$D$4+$D$5*(RAND()-0.5))</f>
        <v>#N/A</v>
      </c>
      <c r="M108" s="46" t="e">
        <f aca="false">L108+MAX(D108,M107)</f>
        <v>#N/A</v>
      </c>
      <c r="N108" s="46" t="e">
        <f aca="false">IF((H108=1),M108-D108,0)</f>
        <v>#N/A</v>
      </c>
      <c r="O108" s="29" t="n">
        <v>91</v>
      </c>
      <c r="P108" s="49" t="e">
        <f aca="false">IF((Arterial=0),P107+1,P107)</f>
        <v>#N/A</v>
      </c>
      <c r="Q108" s="49" t="e">
        <f aca="false">IF((Arterial=1),Q107+1,Q107)</f>
        <v>#N/A</v>
      </c>
      <c r="R108" s="50" t="n">
        <f aca="false">IF((RESET=1),0,R108+K108)</f>
        <v>0</v>
      </c>
      <c r="S108" s="19" t="n">
        <f aca="false">IF(RESET=1,0,S108+N108)</f>
        <v>0</v>
      </c>
      <c r="T108" s="0" t="n">
        <f aca="false">IF(RESET=1,0,T108+IF(H108=0,1,0))</f>
        <v>0</v>
      </c>
      <c r="U108" s="0" t="n">
        <f aca="false">IF(RESET=1,0,U108+H108)</f>
        <v>0</v>
      </c>
      <c r="V108" s="19" t="n">
        <f aca="false">R108/(T108+0.00001)</f>
        <v>0</v>
      </c>
      <c r="W108" s="19" t="n">
        <f aca="false">S108/(U108+0.0001)</f>
        <v>0</v>
      </c>
      <c r="X108" s="47" t="e">
        <f aca="false">IF(Informed=1,K108,0)</f>
        <v>#N/A</v>
      </c>
      <c r="Y108" s="47" t="n">
        <f aca="false">IF(Informed=0,K108,0)</f>
        <v>0</v>
      </c>
      <c r="Z108" s="47" t="e">
        <f aca="false">IF(Informed=1,N108,0)</f>
        <v>#N/A</v>
      </c>
      <c r="AA108" s="47" t="n">
        <f aca="false">IF(Informed=0,N108,0)</f>
        <v>0</v>
      </c>
      <c r="AB108" s="51" t="e">
        <f aca="false">IF(Arterial=0,IF(Informed=1,1,0),0)</f>
        <v>#N/A</v>
      </c>
      <c r="AC108" s="51" t="e">
        <f aca="false">IF(Arterial=0,IF(Informed=0,1,0),0)</f>
        <v>#N/A</v>
      </c>
      <c r="AD108" s="51" t="e">
        <f aca="false">IF(Arterial=1,IF(Informed=1,1,0),0)</f>
        <v>#N/A</v>
      </c>
      <c r="AE108" s="51" t="e">
        <f aca="false">IF(Arterial=1,IF(Informed=0,1,0),0)</f>
        <v>#N/A</v>
      </c>
      <c r="AF108" s="44" t="e">
        <f aca="false">IF(AB108=1,(X108-G$1030)^2,0)</f>
        <v>#N/A</v>
      </c>
      <c r="AG108" s="44" t="e">
        <f aca="false">IF(AC108=1,(Y108-H$1030)^2,0)</f>
        <v>#N/A</v>
      </c>
      <c r="AH108" s="44" t="e">
        <f aca="false">IF(AD108=1,(Z108-I$1030)^2,0)</f>
        <v>#N/A</v>
      </c>
      <c r="AI108" s="44" t="e">
        <f aca="false">IF(AE108=1,(AA108-J$1030)^2,0)</f>
        <v>#N/A</v>
      </c>
    </row>
    <row r="109" customFormat="false" ht="12" hidden="false" customHeight="false" outlineLevel="0" collapsed="false">
      <c r="A109" s="29" t="n">
        <v>92</v>
      </c>
      <c r="B109" s="45" t="n">
        <f aca="true">IF(RAND()&lt;$D$8,1,0)</f>
        <v>1</v>
      </c>
      <c r="C109" s="34" t="n">
        <f aca="true">-LN(RAND())/$D$2</f>
        <v>4.01636788156404</v>
      </c>
      <c r="D109" s="46" t="n">
        <f aca="false">D108+C109</f>
        <v>136.33017146171</v>
      </c>
      <c r="E109" s="47" t="e">
        <f aca="false">MAX($D$3,(1+P108-VLOOKUP(VALUE(D109),$J$18:$Q108,7,TRUE()))*$D$3)</f>
        <v>#N/A</v>
      </c>
      <c r="F109" s="47" t="e">
        <f aca="false">MAX($D$4,(1+Q108-VLOOKUP(VALUE(D109),$M$18:$Q108,5,TRUE()))*$D$4)</f>
        <v>#N/A</v>
      </c>
      <c r="G109" s="48" t="n">
        <v>0.5</v>
      </c>
      <c r="H109" s="46" t="e">
        <f aca="true">IF((B109=1),(IF((F109&lt;E109),1,(IF((F109=E109),(IF(RAND()&lt;G109,1,0)),0)))),(IF((RAND()&lt;G109),1,0)))</f>
        <v>#N/A</v>
      </c>
      <c r="I109" s="46" t="e">
        <f aca="true">IF((H109=1),0,$D$3+$D$5*(RAND()-0.5))</f>
        <v>#N/A</v>
      </c>
      <c r="J109" s="46" t="e">
        <f aca="false">I109+MAX(D109,J108)</f>
        <v>#N/A</v>
      </c>
      <c r="K109" s="46" t="e">
        <f aca="false">IF((H109=0),J109-D109,0)</f>
        <v>#N/A</v>
      </c>
      <c r="L109" s="46" t="e">
        <f aca="true">IF(($H109=0),0,$D$4+$D$5*(RAND()-0.5))</f>
        <v>#N/A</v>
      </c>
      <c r="M109" s="46" t="e">
        <f aca="false">L109+MAX(D109,M108)</f>
        <v>#N/A</v>
      </c>
      <c r="N109" s="46" t="e">
        <f aca="false">IF((H109=1),M109-D109,0)</f>
        <v>#N/A</v>
      </c>
      <c r="O109" s="29" t="n">
        <v>92</v>
      </c>
      <c r="P109" s="49" t="e">
        <f aca="false">IF((Arterial=0),P108+1,P108)</f>
        <v>#N/A</v>
      </c>
      <c r="Q109" s="49" t="e">
        <f aca="false">IF((Arterial=1),Q108+1,Q108)</f>
        <v>#N/A</v>
      </c>
      <c r="R109" s="50" t="n">
        <f aca="false">IF((RESET=1),0,R109+K109)</f>
        <v>0</v>
      </c>
      <c r="S109" s="19" t="n">
        <f aca="false">IF(RESET=1,0,S109+N109)</f>
        <v>0</v>
      </c>
      <c r="T109" s="0" t="n">
        <f aca="false">IF(RESET=1,0,T109+IF(H109=0,1,0))</f>
        <v>0</v>
      </c>
      <c r="U109" s="0" t="n">
        <f aca="false">IF(RESET=1,0,U109+H109)</f>
        <v>0</v>
      </c>
      <c r="V109" s="19" t="n">
        <f aca="false">R109/(T109+0.00001)</f>
        <v>0</v>
      </c>
      <c r="W109" s="19" t="n">
        <f aca="false">S109/(U109+0.0001)</f>
        <v>0</v>
      </c>
      <c r="X109" s="47" t="e">
        <f aca="false">IF(Informed=1,K109,0)</f>
        <v>#N/A</v>
      </c>
      <c r="Y109" s="47" t="n">
        <f aca="false">IF(Informed=0,K109,0)</f>
        <v>0</v>
      </c>
      <c r="Z109" s="47" t="e">
        <f aca="false">IF(Informed=1,N109,0)</f>
        <v>#N/A</v>
      </c>
      <c r="AA109" s="47" t="n">
        <f aca="false">IF(Informed=0,N109,0)</f>
        <v>0</v>
      </c>
      <c r="AB109" s="51" t="e">
        <f aca="false">IF(Arterial=0,IF(Informed=1,1,0),0)</f>
        <v>#N/A</v>
      </c>
      <c r="AC109" s="51" t="e">
        <f aca="false">IF(Arterial=0,IF(Informed=0,1,0),0)</f>
        <v>#N/A</v>
      </c>
      <c r="AD109" s="51" t="e">
        <f aca="false">IF(Arterial=1,IF(Informed=1,1,0),0)</f>
        <v>#N/A</v>
      </c>
      <c r="AE109" s="51" t="e">
        <f aca="false">IF(Arterial=1,IF(Informed=0,1,0),0)</f>
        <v>#N/A</v>
      </c>
      <c r="AF109" s="44" t="e">
        <f aca="false">IF(AB109=1,(X109-G$1030)^2,0)</f>
        <v>#N/A</v>
      </c>
      <c r="AG109" s="44" t="e">
        <f aca="false">IF(AC109=1,(Y109-H$1030)^2,0)</f>
        <v>#N/A</v>
      </c>
      <c r="AH109" s="44" t="e">
        <f aca="false">IF(AD109=1,(Z109-I$1030)^2,0)</f>
        <v>#N/A</v>
      </c>
      <c r="AI109" s="44" t="e">
        <f aca="false">IF(AE109=1,(AA109-J$1030)^2,0)</f>
        <v>#N/A</v>
      </c>
    </row>
    <row r="110" customFormat="false" ht="12" hidden="false" customHeight="false" outlineLevel="0" collapsed="false">
      <c r="A110" s="29" t="n">
        <v>93</v>
      </c>
      <c r="B110" s="45" t="n">
        <f aca="true">IF(RAND()&lt;$D$8,1,0)</f>
        <v>1</v>
      </c>
      <c r="C110" s="34" t="n">
        <f aca="true">-LN(RAND())/$D$2</f>
        <v>6.50787101612706</v>
      </c>
      <c r="D110" s="46" t="n">
        <f aca="false">D109+C110</f>
        <v>142.838042477837</v>
      </c>
      <c r="E110" s="47" t="e">
        <f aca="false">MAX($D$3,(1+P109-VLOOKUP(VALUE(D110),$J$18:$Q109,7,TRUE()))*$D$3)</f>
        <v>#N/A</v>
      </c>
      <c r="F110" s="47" t="e">
        <f aca="false">MAX($D$4,(1+Q109-VLOOKUP(VALUE(D110),$M$18:$Q109,5,TRUE()))*$D$4)</f>
        <v>#N/A</v>
      </c>
      <c r="G110" s="48" t="n">
        <v>0.5</v>
      </c>
      <c r="H110" s="46" t="e">
        <f aca="true">IF((B110=1),(IF((F110&lt;E110),1,(IF((F110=E110),(IF(RAND()&lt;G110,1,0)),0)))),(IF((RAND()&lt;G110),1,0)))</f>
        <v>#N/A</v>
      </c>
      <c r="I110" s="46" t="e">
        <f aca="true">IF((H110=1),0,$D$3+$D$5*(RAND()-0.5))</f>
        <v>#N/A</v>
      </c>
      <c r="J110" s="46" t="e">
        <f aca="false">I110+MAX(D110,J109)</f>
        <v>#N/A</v>
      </c>
      <c r="K110" s="46" t="e">
        <f aca="false">IF((H110=0),J110-D110,0)</f>
        <v>#N/A</v>
      </c>
      <c r="L110" s="46" t="e">
        <f aca="true">IF(($H110=0),0,$D$4+$D$5*(RAND()-0.5))</f>
        <v>#N/A</v>
      </c>
      <c r="M110" s="46" t="e">
        <f aca="false">L110+MAX(D110,M109)</f>
        <v>#N/A</v>
      </c>
      <c r="N110" s="46" t="e">
        <f aca="false">IF((H110=1),M110-D110,0)</f>
        <v>#N/A</v>
      </c>
      <c r="O110" s="29" t="n">
        <v>93</v>
      </c>
      <c r="P110" s="49" t="e">
        <f aca="false">IF((Arterial=0),P109+1,P109)</f>
        <v>#N/A</v>
      </c>
      <c r="Q110" s="49" t="e">
        <f aca="false">IF((Arterial=1),Q109+1,Q109)</f>
        <v>#N/A</v>
      </c>
      <c r="R110" s="50" t="n">
        <f aca="false">IF((RESET=1),0,R110+K110)</f>
        <v>0</v>
      </c>
      <c r="S110" s="19" t="n">
        <f aca="false">IF(RESET=1,0,S110+N110)</f>
        <v>0</v>
      </c>
      <c r="T110" s="0" t="n">
        <f aca="false">IF(RESET=1,0,T110+IF(H110=0,1,0))</f>
        <v>0</v>
      </c>
      <c r="U110" s="0" t="n">
        <f aca="false">IF(RESET=1,0,U110+H110)</f>
        <v>0</v>
      </c>
      <c r="V110" s="19" t="n">
        <f aca="false">R110/(T110+0.00001)</f>
        <v>0</v>
      </c>
      <c r="W110" s="19" t="n">
        <f aca="false">S110/(U110+0.0001)</f>
        <v>0</v>
      </c>
      <c r="X110" s="47" t="e">
        <f aca="false">IF(Informed=1,K110,0)</f>
        <v>#N/A</v>
      </c>
      <c r="Y110" s="47" t="n">
        <f aca="false">IF(Informed=0,K110,0)</f>
        <v>0</v>
      </c>
      <c r="Z110" s="47" t="e">
        <f aca="false">IF(Informed=1,N110,0)</f>
        <v>#N/A</v>
      </c>
      <c r="AA110" s="47" t="n">
        <f aca="false">IF(Informed=0,N110,0)</f>
        <v>0</v>
      </c>
      <c r="AB110" s="51" t="e">
        <f aca="false">IF(Arterial=0,IF(Informed=1,1,0),0)</f>
        <v>#N/A</v>
      </c>
      <c r="AC110" s="51" t="e">
        <f aca="false">IF(Arterial=0,IF(Informed=0,1,0),0)</f>
        <v>#N/A</v>
      </c>
      <c r="AD110" s="51" t="e">
        <f aca="false">IF(Arterial=1,IF(Informed=1,1,0),0)</f>
        <v>#N/A</v>
      </c>
      <c r="AE110" s="51" t="e">
        <f aca="false">IF(Arterial=1,IF(Informed=0,1,0),0)</f>
        <v>#N/A</v>
      </c>
      <c r="AF110" s="44" t="e">
        <f aca="false">IF(AB110=1,(X110-G$1030)^2,0)</f>
        <v>#N/A</v>
      </c>
      <c r="AG110" s="44" t="e">
        <f aca="false">IF(AC110=1,(Y110-H$1030)^2,0)</f>
        <v>#N/A</v>
      </c>
      <c r="AH110" s="44" t="e">
        <f aca="false">IF(AD110=1,(Z110-I$1030)^2,0)</f>
        <v>#N/A</v>
      </c>
      <c r="AI110" s="44" t="e">
        <f aca="false">IF(AE110=1,(AA110-J$1030)^2,0)</f>
        <v>#N/A</v>
      </c>
    </row>
    <row r="111" customFormat="false" ht="12" hidden="false" customHeight="false" outlineLevel="0" collapsed="false">
      <c r="A111" s="29" t="n">
        <v>94</v>
      </c>
      <c r="B111" s="45" t="n">
        <f aca="true">IF(RAND()&lt;$D$8,1,0)</f>
        <v>1</v>
      </c>
      <c r="C111" s="34" t="n">
        <f aca="true">-LN(RAND())/$D$2</f>
        <v>0.0170636168855887</v>
      </c>
      <c r="D111" s="46" t="n">
        <f aca="false">D110+C111</f>
        <v>142.855106094723</v>
      </c>
      <c r="E111" s="47" t="e">
        <f aca="false">MAX($D$3,(1+P110-VLOOKUP(VALUE(D111),$J$18:$Q110,7,TRUE()))*$D$3)</f>
        <v>#N/A</v>
      </c>
      <c r="F111" s="47" t="e">
        <f aca="false">MAX($D$4,(1+Q110-VLOOKUP(VALUE(D111),$M$18:$Q110,5,TRUE()))*$D$4)</f>
        <v>#N/A</v>
      </c>
      <c r="G111" s="48" t="n">
        <v>0.5</v>
      </c>
      <c r="H111" s="46" t="e">
        <f aca="true">IF((B111=1),(IF((F111&lt;E111),1,(IF((F111=E111),(IF(RAND()&lt;G111,1,0)),0)))),(IF((RAND()&lt;G111),1,0)))</f>
        <v>#N/A</v>
      </c>
      <c r="I111" s="46" t="e">
        <f aca="true">IF((H111=1),0,$D$3+$D$5*(RAND()-0.5))</f>
        <v>#N/A</v>
      </c>
      <c r="J111" s="46" t="e">
        <f aca="false">I111+MAX(D111,J110)</f>
        <v>#N/A</v>
      </c>
      <c r="K111" s="46" t="e">
        <f aca="false">IF((H111=0),J111-D111,0)</f>
        <v>#N/A</v>
      </c>
      <c r="L111" s="46" t="e">
        <f aca="true">IF(($H111=0),0,$D$4+$D$5*(RAND()-0.5))</f>
        <v>#N/A</v>
      </c>
      <c r="M111" s="46" t="e">
        <f aca="false">L111+MAX(D111,M110)</f>
        <v>#N/A</v>
      </c>
      <c r="N111" s="46" t="e">
        <f aca="false">IF((H111=1),M111-D111,0)</f>
        <v>#N/A</v>
      </c>
      <c r="O111" s="29" t="n">
        <v>94</v>
      </c>
      <c r="P111" s="49" t="e">
        <f aca="false">IF((Arterial=0),P110+1,P110)</f>
        <v>#N/A</v>
      </c>
      <c r="Q111" s="49" t="e">
        <f aca="false">IF((Arterial=1),Q110+1,Q110)</f>
        <v>#N/A</v>
      </c>
      <c r="R111" s="50" t="n">
        <f aca="false">IF((RESET=1),0,R111+K111)</f>
        <v>0</v>
      </c>
      <c r="S111" s="19" t="n">
        <f aca="false">IF(RESET=1,0,S111+N111)</f>
        <v>0</v>
      </c>
      <c r="T111" s="0" t="n">
        <f aca="false">IF(RESET=1,0,T111+IF(H111=0,1,0))</f>
        <v>0</v>
      </c>
      <c r="U111" s="0" t="n">
        <f aca="false">IF(RESET=1,0,U111+H111)</f>
        <v>0</v>
      </c>
      <c r="V111" s="19" t="n">
        <f aca="false">R111/(T111+0.00001)</f>
        <v>0</v>
      </c>
      <c r="W111" s="19" t="n">
        <f aca="false">S111/(U111+0.0001)</f>
        <v>0</v>
      </c>
      <c r="X111" s="47" t="e">
        <f aca="false">IF(Informed=1,K111,0)</f>
        <v>#N/A</v>
      </c>
      <c r="Y111" s="47" t="n">
        <f aca="false">IF(Informed=0,K111,0)</f>
        <v>0</v>
      </c>
      <c r="Z111" s="47" t="e">
        <f aca="false">IF(Informed=1,N111,0)</f>
        <v>#N/A</v>
      </c>
      <c r="AA111" s="47" t="n">
        <f aca="false">IF(Informed=0,N111,0)</f>
        <v>0</v>
      </c>
      <c r="AB111" s="51" t="e">
        <f aca="false">IF(Arterial=0,IF(Informed=1,1,0),0)</f>
        <v>#N/A</v>
      </c>
      <c r="AC111" s="51" t="e">
        <f aca="false">IF(Arterial=0,IF(Informed=0,1,0),0)</f>
        <v>#N/A</v>
      </c>
      <c r="AD111" s="51" t="e">
        <f aca="false">IF(Arterial=1,IF(Informed=1,1,0),0)</f>
        <v>#N/A</v>
      </c>
      <c r="AE111" s="51" t="e">
        <f aca="false">IF(Arterial=1,IF(Informed=0,1,0),0)</f>
        <v>#N/A</v>
      </c>
      <c r="AF111" s="44" t="e">
        <f aca="false">IF(AB111=1,(X111-G$1030)^2,0)</f>
        <v>#N/A</v>
      </c>
      <c r="AG111" s="44" t="e">
        <f aca="false">IF(AC111=1,(Y111-H$1030)^2,0)</f>
        <v>#N/A</v>
      </c>
      <c r="AH111" s="44" t="e">
        <f aca="false">IF(AD111=1,(Z111-I$1030)^2,0)</f>
        <v>#N/A</v>
      </c>
      <c r="AI111" s="44" t="e">
        <f aca="false">IF(AE111=1,(AA111-J$1030)^2,0)</f>
        <v>#N/A</v>
      </c>
    </row>
    <row r="112" customFormat="false" ht="12" hidden="false" customHeight="false" outlineLevel="0" collapsed="false">
      <c r="A112" s="29" t="n">
        <v>95</v>
      </c>
      <c r="B112" s="45" t="n">
        <f aca="true">IF(RAND()&lt;$D$8,1,0)</f>
        <v>1</v>
      </c>
      <c r="C112" s="34" t="n">
        <f aca="true">-LN(RAND())/$D$2</f>
        <v>1.12094539515595</v>
      </c>
      <c r="D112" s="46" t="n">
        <f aca="false">D111+C112</f>
        <v>143.976051489879</v>
      </c>
      <c r="E112" s="47" t="e">
        <f aca="false">MAX($D$3,(1+P111-VLOOKUP(VALUE(D112),$J$18:$Q111,7,TRUE()))*$D$3)</f>
        <v>#N/A</v>
      </c>
      <c r="F112" s="47" t="e">
        <f aca="false">MAX($D$4,(1+Q111-VLOOKUP(VALUE(D112),$M$18:$Q111,5,TRUE()))*$D$4)</f>
        <v>#N/A</v>
      </c>
      <c r="G112" s="48" t="n">
        <v>0.5</v>
      </c>
      <c r="H112" s="46" t="e">
        <f aca="true">IF((B112=1),(IF((F112&lt;E112),1,(IF((F112=E112),(IF(RAND()&lt;G112,1,0)),0)))),(IF((RAND()&lt;G112),1,0)))</f>
        <v>#N/A</v>
      </c>
      <c r="I112" s="46" t="e">
        <f aca="true">IF((H112=1),0,$D$3+$D$5*(RAND()-0.5))</f>
        <v>#N/A</v>
      </c>
      <c r="J112" s="46" t="e">
        <f aca="false">I112+MAX(D112,J111)</f>
        <v>#N/A</v>
      </c>
      <c r="K112" s="46" t="e">
        <f aca="false">IF((H112=0),J112-D112,0)</f>
        <v>#N/A</v>
      </c>
      <c r="L112" s="46" t="e">
        <f aca="true">IF(($H112=0),0,$D$4+$D$5*(RAND()-0.5))</f>
        <v>#N/A</v>
      </c>
      <c r="M112" s="46" t="e">
        <f aca="false">L112+MAX(D112,M111)</f>
        <v>#N/A</v>
      </c>
      <c r="N112" s="46" t="e">
        <f aca="false">IF((H112=1),M112-D112,0)</f>
        <v>#N/A</v>
      </c>
      <c r="O112" s="29" t="n">
        <v>95</v>
      </c>
      <c r="P112" s="49" t="e">
        <f aca="false">IF((Arterial=0),P111+1,P111)</f>
        <v>#N/A</v>
      </c>
      <c r="Q112" s="49" t="e">
        <f aca="false">IF((Arterial=1),Q111+1,Q111)</f>
        <v>#N/A</v>
      </c>
      <c r="R112" s="50" t="n">
        <f aca="false">IF((RESET=1),0,R112+K112)</f>
        <v>0</v>
      </c>
      <c r="S112" s="19" t="n">
        <f aca="false">IF(RESET=1,0,S112+N112)</f>
        <v>0</v>
      </c>
      <c r="T112" s="0" t="n">
        <f aca="false">IF(RESET=1,0,T112+IF(H112=0,1,0))</f>
        <v>0</v>
      </c>
      <c r="U112" s="0" t="n">
        <f aca="false">IF(RESET=1,0,U112+H112)</f>
        <v>0</v>
      </c>
      <c r="V112" s="19" t="n">
        <f aca="false">R112/(T112+0.00001)</f>
        <v>0</v>
      </c>
      <c r="W112" s="19" t="n">
        <f aca="false">S112/(U112+0.0001)</f>
        <v>0</v>
      </c>
      <c r="X112" s="47" t="e">
        <f aca="false">IF(Informed=1,K112,0)</f>
        <v>#N/A</v>
      </c>
      <c r="Y112" s="47" t="n">
        <f aca="false">IF(Informed=0,K112,0)</f>
        <v>0</v>
      </c>
      <c r="Z112" s="47" t="e">
        <f aca="false">IF(Informed=1,N112,0)</f>
        <v>#N/A</v>
      </c>
      <c r="AA112" s="47" t="n">
        <f aca="false">IF(Informed=0,N112,0)</f>
        <v>0</v>
      </c>
      <c r="AB112" s="51" t="e">
        <f aca="false">IF(Arterial=0,IF(Informed=1,1,0),0)</f>
        <v>#N/A</v>
      </c>
      <c r="AC112" s="51" t="e">
        <f aca="false">IF(Arterial=0,IF(Informed=0,1,0),0)</f>
        <v>#N/A</v>
      </c>
      <c r="AD112" s="51" t="e">
        <f aca="false">IF(Arterial=1,IF(Informed=1,1,0),0)</f>
        <v>#N/A</v>
      </c>
      <c r="AE112" s="51" t="e">
        <f aca="false">IF(Arterial=1,IF(Informed=0,1,0),0)</f>
        <v>#N/A</v>
      </c>
      <c r="AF112" s="44" t="e">
        <f aca="false">IF(AB112=1,(X112-G$1030)^2,0)</f>
        <v>#N/A</v>
      </c>
      <c r="AG112" s="44" t="e">
        <f aca="false">IF(AC112=1,(Y112-H$1030)^2,0)</f>
        <v>#N/A</v>
      </c>
      <c r="AH112" s="44" t="e">
        <f aca="false">IF(AD112=1,(Z112-I$1030)^2,0)</f>
        <v>#N/A</v>
      </c>
      <c r="AI112" s="44" t="e">
        <f aca="false">IF(AE112=1,(AA112-J$1030)^2,0)</f>
        <v>#N/A</v>
      </c>
    </row>
    <row r="113" customFormat="false" ht="12" hidden="false" customHeight="false" outlineLevel="0" collapsed="false">
      <c r="A113" s="29" t="n">
        <v>96</v>
      </c>
      <c r="B113" s="45" t="n">
        <f aca="true">IF(RAND()&lt;$D$8,1,0)</f>
        <v>1</v>
      </c>
      <c r="C113" s="34" t="n">
        <f aca="true">-LN(RAND())/$D$2</f>
        <v>2.52712667289962</v>
      </c>
      <c r="D113" s="46" t="n">
        <f aca="false">D112+C113</f>
        <v>146.503178162779</v>
      </c>
      <c r="E113" s="47" t="e">
        <f aca="false">MAX($D$3,(1+P112-VLOOKUP(VALUE(D113),$J$18:$Q112,7,TRUE()))*$D$3)</f>
        <v>#N/A</v>
      </c>
      <c r="F113" s="47" t="e">
        <f aca="false">MAX($D$4,(1+Q112-VLOOKUP(VALUE(D113),$M$18:$Q112,5,TRUE()))*$D$4)</f>
        <v>#N/A</v>
      </c>
      <c r="G113" s="48" t="n">
        <v>0.5</v>
      </c>
      <c r="H113" s="46" t="e">
        <f aca="true">IF((B113=1),(IF((F113&lt;E113),1,(IF((F113=E113),(IF(RAND()&lt;G113,1,0)),0)))),(IF((RAND()&lt;G113),1,0)))</f>
        <v>#N/A</v>
      </c>
      <c r="I113" s="46" t="e">
        <f aca="true">IF((H113=1),0,$D$3+$D$5*(RAND()-0.5))</f>
        <v>#N/A</v>
      </c>
      <c r="J113" s="46" t="e">
        <f aca="false">I113+MAX(D113,J112)</f>
        <v>#N/A</v>
      </c>
      <c r="K113" s="46" t="e">
        <f aca="false">IF((H113=0),J113-D113,0)</f>
        <v>#N/A</v>
      </c>
      <c r="L113" s="46" t="e">
        <f aca="true">IF(($H113=0),0,$D$4+$D$5*(RAND()-0.5))</f>
        <v>#N/A</v>
      </c>
      <c r="M113" s="46" t="e">
        <f aca="false">L113+MAX(D113,M112)</f>
        <v>#N/A</v>
      </c>
      <c r="N113" s="46" t="e">
        <f aca="false">IF((H113=1),M113-D113,0)</f>
        <v>#N/A</v>
      </c>
      <c r="O113" s="29" t="n">
        <v>96</v>
      </c>
      <c r="P113" s="49" t="e">
        <f aca="false">IF((Arterial=0),P112+1,P112)</f>
        <v>#N/A</v>
      </c>
      <c r="Q113" s="49" t="e">
        <f aca="false">IF((Arterial=1),Q112+1,Q112)</f>
        <v>#N/A</v>
      </c>
      <c r="R113" s="50" t="n">
        <f aca="false">IF((RESET=1),0,R113+K113)</f>
        <v>0</v>
      </c>
      <c r="S113" s="19" t="n">
        <f aca="false">IF(RESET=1,0,S113+N113)</f>
        <v>0</v>
      </c>
      <c r="T113" s="0" t="n">
        <f aca="false">IF(RESET=1,0,T113+IF(H113=0,1,0))</f>
        <v>0</v>
      </c>
      <c r="U113" s="0" t="n">
        <f aca="false">IF(RESET=1,0,U113+H113)</f>
        <v>0</v>
      </c>
      <c r="V113" s="19" t="n">
        <f aca="false">R113/(T113+0.00001)</f>
        <v>0</v>
      </c>
      <c r="W113" s="19" t="n">
        <f aca="false">S113/(U113+0.0001)</f>
        <v>0</v>
      </c>
      <c r="X113" s="47" t="e">
        <f aca="false">IF(Informed=1,K113,0)</f>
        <v>#N/A</v>
      </c>
      <c r="Y113" s="47" t="n">
        <f aca="false">IF(Informed=0,K113,0)</f>
        <v>0</v>
      </c>
      <c r="Z113" s="47" t="e">
        <f aca="false">IF(Informed=1,N113,0)</f>
        <v>#N/A</v>
      </c>
      <c r="AA113" s="47" t="n">
        <f aca="false">IF(Informed=0,N113,0)</f>
        <v>0</v>
      </c>
      <c r="AB113" s="51" t="e">
        <f aca="false">IF(Arterial=0,IF(Informed=1,1,0),0)</f>
        <v>#N/A</v>
      </c>
      <c r="AC113" s="51" t="e">
        <f aca="false">IF(Arterial=0,IF(Informed=0,1,0),0)</f>
        <v>#N/A</v>
      </c>
      <c r="AD113" s="51" t="e">
        <f aca="false">IF(Arterial=1,IF(Informed=1,1,0),0)</f>
        <v>#N/A</v>
      </c>
      <c r="AE113" s="51" t="e">
        <f aca="false">IF(Arterial=1,IF(Informed=0,1,0),0)</f>
        <v>#N/A</v>
      </c>
      <c r="AF113" s="44" t="e">
        <f aca="false">IF(AB113=1,(X113-G$1030)^2,0)</f>
        <v>#N/A</v>
      </c>
      <c r="AG113" s="44" t="e">
        <f aca="false">IF(AC113=1,(Y113-H$1030)^2,0)</f>
        <v>#N/A</v>
      </c>
      <c r="AH113" s="44" t="e">
        <f aca="false">IF(AD113=1,(Z113-I$1030)^2,0)</f>
        <v>#N/A</v>
      </c>
      <c r="AI113" s="44" t="e">
        <f aca="false">IF(AE113=1,(AA113-J$1030)^2,0)</f>
        <v>#N/A</v>
      </c>
    </row>
    <row r="114" customFormat="false" ht="12" hidden="false" customHeight="false" outlineLevel="0" collapsed="false">
      <c r="A114" s="29" t="n">
        <v>97</v>
      </c>
      <c r="B114" s="45" t="n">
        <f aca="true">IF(RAND()&lt;$D$8,1,0)</f>
        <v>1</v>
      </c>
      <c r="C114" s="34" t="n">
        <f aca="true">-LN(RAND())/$D$2</f>
        <v>0.438740267204578</v>
      </c>
      <c r="D114" s="46" t="n">
        <f aca="false">D113+C114</f>
        <v>146.941918429983</v>
      </c>
      <c r="E114" s="47" t="e">
        <f aca="false">MAX($D$3,(1+P113-VLOOKUP(VALUE(D114),$J$18:$Q113,7,TRUE()))*$D$3)</f>
        <v>#N/A</v>
      </c>
      <c r="F114" s="47" t="e">
        <f aca="false">MAX($D$4,(1+Q113-VLOOKUP(VALUE(D114),$M$18:$Q113,5,TRUE()))*$D$4)</f>
        <v>#N/A</v>
      </c>
      <c r="G114" s="48" t="n">
        <v>0.5</v>
      </c>
      <c r="H114" s="46" t="e">
        <f aca="true">IF((B114=1),(IF((F114&lt;E114),1,(IF((F114=E114),(IF(RAND()&lt;G114,1,0)),0)))),(IF((RAND()&lt;G114),1,0)))</f>
        <v>#N/A</v>
      </c>
      <c r="I114" s="46" t="e">
        <f aca="true">IF((H114=1),0,$D$3+$D$5*(RAND()-0.5))</f>
        <v>#N/A</v>
      </c>
      <c r="J114" s="46" t="e">
        <f aca="false">I114+MAX(D114,J113)</f>
        <v>#N/A</v>
      </c>
      <c r="K114" s="46" t="e">
        <f aca="false">IF((H114=0),J114-D114,0)</f>
        <v>#N/A</v>
      </c>
      <c r="L114" s="46" t="e">
        <f aca="true">IF(($H114=0),0,$D$4+$D$5*(RAND()-0.5))</f>
        <v>#N/A</v>
      </c>
      <c r="M114" s="46" t="e">
        <f aca="false">L114+MAX(D114,M113)</f>
        <v>#N/A</v>
      </c>
      <c r="N114" s="46" t="e">
        <f aca="false">IF((H114=1),M114-D114,0)</f>
        <v>#N/A</v>
      </c>
      <c r="O114" s="29" t="n">
        <v>97</v>
      </c>
      <c r="P114" s="49" t="e">
        <f aca="false">IF((Arterial=0),P113+1,P113)</f>
        <v>#N/A</v>
      </c>
      <c r="Q114" s="49" t="e">
        <f aca="false">IF((Arterial=1),Q113+1,Q113)</f>
        <v>#N/A</v>
      </c>
      <c r="R114" s="50" t="n">
        <f aca="false">IF((RESET=1),0,R114+K114)</f>
        <v>0</v>
      </c>
      <c r="S114" s="19" t="n">
        <f aca="false">IF(RESET=1,0,S114+N114)</f>
        <v>0</v>
      </c>
      <c r="T114" s="0" t="n">
        <f aca="false">IF(RESET=1,0,T114+IF(H114=0,1,0))</f>
        <v>0</v>
      </c>
      <c r="U114" s="0" t="n">
        <f aca="false">IF(RESET=1,0,U114+H114)</f>
        <v>0</v>
      </c>
      <c r="V114" s="19" t="n">
        <f aca="false">R114/(T114+0.00001)</f>
        <v>0</v>
      </c>
      <c r="W114" s="19" t="n">
        <f aca="false">S114/(U114+0.0001)</f>
        <v>0</v>
      </c>
      <c r="X114" s="47" t="e">
        <f aca="false">IF(Informed=1,K114,0)</f>
        <v>#N/A</v>
      </c>
      <c r="Y114" s="47" t="n">
        <f aca="false">IF(Informed=0,K114,0)</f>
        <v>0</v>
      </c>
      <c r="Z114" s="47" t="e">
        <f aca="false">IF(Informed=1,N114,0)</f>
        <v>#N/A</v>
      </c>
      <c r="AA114" s="47" t="n">
        <f aca="false">IF(Informed=0,N114,0)</f>
        <v>0</v>
      </c>
      <c r="AB114" s="51" t="e">
        <f aca="false">IF(Arterial=0,IF(Informed=1,1,0),0)</f>
        <v>#N/A</v>
      </c>
      <c r="AC114" s="51" t="e">
        <f aca="false">IF(Arterial=0,IF(Informed=0,1,0),0)</f>
        <v>#N/A</v>
      </c>
      <c r="AD114" s="51" t="e">
        <f aca="false">IF(Arterial=1,IF(Informed=1,1,0),0)</f>
        <v>#N/A</v>
      </c>
      <c r="AE114" s="51" t="e">
        <f aca="false">IF(Arterial=1,IF(Informed=0,1,0),0)</f>
        <v>#N/A</v>
      </c>
      <c r="AF114" s="44" t="e">
        <f aca="false">IF(AB114=1,(X114-G$1030)^2,0)</f>
        <v>#N/A</v>
      </c>
      <c r="AG114" s="44" t="e">
        <f aca="false">IF(AC114=1,(Y114-H$1030)^2,0)</f>
        <v>#N/A</v>
      </c>
      <c r="AH114" s="44" t="e">
        <f aca="false">IF(AD114=1,(Z114-I$1030)^2,0)</f>
        <v>#N/A</v>
      </c>
      <c r="AI114" s="44" t="e">
        <f aca="false">IF(AE114=1,(AA114-J$1030)^2,0)</f>
        <v>#N/A</v>
      </c>
    </row>
    <row r="115" customFormat="false" ht="12" hidden="false" customHeight="false" outlineLevel="0" collapsed="false">
      <c r="A115" s="29" t="n">
        <v>98</v>
      </c>
      <c r="B115" s="45" t="n">
        <f aca="true">IF(RAND()&lt;$D$8,1,0)</f>
        <v>1</v>
      </c>
      <c r="C115" s="34" t="n">
        <f aca="true">-LN(RAND())/$D$2</f>
        <v>0.227758149567242</v>
      </c>
      <c r="D115" s="46" t="n">
        <f aca="false">D114+C115</f>
        <v>147.16967657955</v>
      </c>
      <c r="E115" s="47" t="e">
        <f aca="false">MAX($D$3,(1+P114-VLOOKUP(VALUE(D115),$J$18:$Q114,7,TRUE()))*$D$3)</f>
        <v>#N/A</v>
      </c>
      <c r="F115" s="47" t="e">
        <f aca="false">MAX($D$4,(1+Q114-VLOOKUP(VALUE(D115),$M$18:$Q114,5,TRUE()))*$D$4)</f>
        <v>#N/A</v>
      </c>
      <c r="G115" s="48" t="n">
        <v>0.5</v>
      </c>
      <c r="H115" s="46" t="e">
        <f aca="true">IF((B115=1),(IF((F115&lt;E115),1,(IF((F115=E115),(IF(RAND()&lt;G115,1,0)),0)))),(IF((RAND()&lt;G115),1,0)))</f>
        <v>#N/A</v>
      </c>
      <c r="I115" s="46" t="e">
        <f aca="true">IF((H115=1),0,$D$3+$D$5*(RAND()-0.5))</f>
        <v>#N/A</v>
      </c>
      <c r="J115" s="46" t="e">
        <f aca="false">I115+MAX(D115,J114)</f>
        <v>#N/A</v>
      </c>
      <c r="K115" s="46" t="e">
        <f aca="false">IF((H115=0),J115-D115,0)</f>
        <v>#N/A</v>
      </c>
      <c r="L115" s="46" t="e">
        <f aca="true">IF(($H115=0),0,$D$4+$D$5*(RAND()-0.5))</f>
        <v>#N/A</v>
      </c>
      <c r="M115" s="46" t="e">
        <f aca="false">L115+MAX(D115,M114)</f>
        <v>#N/A</v>
      </c>
      <c r="N115" s="46" t="e">
        <f aca="false">IF((H115=1),M115-D115,0)</f>
        <v>#N/A</v>
      </c>
      <c r="O115" s="29" t="n">
        <v>98</v>
      </c>
      <c r="P115" s="49" t="e">
        <f aca="false">IF((Arterial=0),P114+1,P114)</f>
        <v>#N/A</v>
      </c>
      <c r="Q115" s="49" t="e">
        <f aca="false">IF((Arterial=1),Q114+1,Q114)</f>
        <v>#N/A</v>
      </c>
      <c r="R115" s="50" t="n">
        <f aca="false">IF((RESET=1),0,R115+K115)</f>
        <v>0</v>
      </c>
      <c r="S115" s="19" t="n">
        <f aca="false">IF(RESET=1,0,S115+N115)</f>
        <v>0</v>
      </c>
      <c r="T115" s="0" t="n">
        <f aca="false">IF(RESET=1,0,T115+IF(H115=0,1,0))</f>
        <v>0</v>
      </c>
      <c r="U115" s="0" t="n">
        <f aca="false">IF(RESET=1,0,U115+H115)</f>
        <v>0</v>
      </c>
      <c r="V115" s="19" t="n">
        <f aca="false">R115/(T115+0.00001)</f>
        <v>0</v>
      </c>
      <c r="W115" s="19" t="n">
        <f aca="false">S115/(U115+0.0001)</f>
        <v>0</v>
      </c>
      <c r="X115" s="47" t="e">
        <f aca="false">IF(Informed=1,K115,0)</f>
        <v>#N/A</v>
      </c>
      <c r="Y115" s="47" t="n">
        <f aca="false">IF(Informed=0,K115,0)</f>
        <v>0</v>
      </c>
      <c r="Z115" s="47" t="e">
        <f aca="false">IF(Informed=1,N115,0)</f>
        <v>#N/A</v>
      </c>
      <c r="AA115" s="47" t="n">
        <f aca="false">IF(Informed=0,N115,0)</f>
        <v>0</v>
      </c>
      <c r="AB115" s="51" t="e">
        <f aca="false">IF(Arterial=0,IF(Informed=1,1,0),0)</f>
        <v>#N/A</v>
      </c>
      <c r="AC115" s="51" t="e">
        <f aca="false">IF(Arterial=0,IF(Informed=0,1,0),0)</f>
        <v>#N/A</v>
      </c>
      <c r="AD115" s="51" t="e">
        <f aca="false">IF(Arterial=1,IF(Informed=1,1,0),0)</f>
        <v>#N/A</v>
      </c>
      <c r="AE115" s="51" t="e">
        <f aca="false">IF(Arterial=1,IF(Informed=0,1,0),0)</f>
        <v>#N/A</v>
      </c>
      <c r="AF115" s="44" t="e">
        <f aca="false">IF(AB115=1,(X115-G$1030)^2,0)</f>
        <v>#N/A</v>
      </c>
      <c r="AG115" s="44" t="e">
        <f aca="false">IF(AC115=1,(Y115-H$1030)^2,0)</f>
        <v>#N/A</v>
      </c>
      <c r="AH115" s="44" t="e">
        <f aca="false">IF(AD115=1,(Z115-I$1030)^2,0)</f>
        <v>#N/A</v>
      </c>
      <c r="AI115" s="44" t="e">
        <f aca="false">IF(AE115=1,(AA115-J$1030)^2,0)</f>
        <v>#N/A</v>
      </c>
    </row>
    <row r="116" customFormat="false" ht="12" hidden="false" customHeight="false" outlineLevel="0" collapsed="false">
      <c r="A116" s="29" t="n">
        <v>99</v>
      </c>
      <c r="B116" s="45" t="n">
        <f aca="true">IF(RAND()&lt;$D$8,1,0)</f>
        <v>1</v>
      </c>
      <c r="C116" s="34" t="n">
        <f aca="true">-LN(RAND())/$D$2</f>
        <v>1.0525775486919</v>
      </c>
      <c r="D116" s="46" t="n">
        <f aca="false">D115+C116</f>
        <v>148.222254128242</v>
      </c>
      <c r="E116" s="47" t="e">
        <f aca="false">MAX($D$3,(1+P115-VLOOKUP(VALUE(D116),$J$18:$Q115,7,TRUE()))*$D$3)</f>
        <v>#N/A</v>
      </c>
      <c r="F116" s="47" t="e">
        <f aca="false">MAX($D$4,(1+Q115-VLOOKUP(VALUE(D116),$M$18:$Q115,5,TRUE()))*$D$4)</f>
        <v>#N/A</v>
      </c>
      <c r="G116" s="48" t="n">
        <v>0.5</v>
      </c>
      <c r="H116" s="46" t="e">
        <f aca="true">IF((B116=1),(IF((F116&lt;E116),1,(IF((F116=E116),(IF(RAND()&lt;G116,1,0)),0)))),(IF((RAND()&lt;G116),1,0)))</f>
        <v>#N/A</v>
      </c>
      <c r="I116" s="46" t="e">
        <f aca="true">IF((H116=1),0,$D$3+$D$5*(RAND()-0.5))</f>
        <v>#N/A</v>
      </c>
      <c r="J116" s="46" t="e">
        <f aca="false">I116+MAX(D116,J115)</f>
        <v>#N/A</v>
      </c>
      <c r="K116" s="46" t="e">
        <f aca="false">IF((H116=0),J116-D116,0)</f>
        <v>#N/A</v>
      </c>
      <c r="L116" s="46" t="e">
        <f aca="true">IF(($H116=0),0,$D$4+$D$5*(RAND()-0.5))</f>
        <v>#N/A</v>
      </c>
      <c r="M116" s="46" t="e">
        <f aca="false">L116+MAX(D116,M115)</f>
        <v>#N/A</v>
      </c>
      <c r="N116" s="46" t="e">
        <f aca="false">IF((H116=1),M116-D116,0)</f>
        <v>#N/A</v>
      </c>
      <c r="O116" s="29" t="n">
        <v>99</v>
      </c>
      <c r="P116" s="49" t="e">
        <f aca="false">IF((Arterial=0),P115+1,P115)</f>
        <v>#N/A</v>
      </c>
      <c r="Q116" s="49" t="e">
        <f aca="false">IF((Arterial=1),Q115+1,Q115)</f>
        <v>#N/A</v>
      </c>
      <c r="R116" s="50" t="n">
        <f aca="false">IF((RESET=1),0,R116+K116)</f>
        <v>0</v>
      </c>
      <c r="S116" s="19" t="n">
        <f aca="false">IF(RESET=1,0,S116+N116)</f>
        <v>0</v>
      </c>
      <c r="T116" s="0" t="n">
        <f aca="false">IF(RESET=1,0,T116+IF(H116=0,1,0))</f>
        <v>0</v>
      </c>
      <c r="U116" s="0" t="n">
        <f aca="false">IF(RESET=1,0,U116+H116)</f>
        <v>0</v>
      </c>
      <c r="V116" s="19" t="n">
        <f aca="false">R116/(T116+0.00001)</f>
        <v>0</v>
      </c>
      <c r="W116" s="19" t="n">
        <f aca="false">S116/(U116+0.0001)</f>
        <v>0</v>
      </c>
      <c r="X116" s="47" t="e">
        <f aca="false">IF(Informed=1,K116,0)</f>
        <v>#N/A</v>
      </c>
      <c r="Y116" s="47" t="n">
        <f aca="false">IF(Informed=0,K116,0)</f>
        <v>0</v>
      </c>
      <c r="Z116" s="47" t="e">
        <f aca="false">IF(Informed=1,N116,0)</f>
        <v>#N/A</v>
      </c>
      <c r="AA116" s="47" t="n">
        <f aca="false">IF(Informed=0,N116,0)</f>
        <v>0</v>
      </c>
      <c r="AB116" s="51" t="e">
        <f aca="false">IF(Arterial=0,IF(Informed=1,1,0),0)</f>
        <v>#N/A</v>
      </c>
      <c r="AC116" s="51" t="e">
        <f aca="false">IF(Arterial=0,IF(Informed=0,1,0),0)</f>
        <v>#N/A</v>
      </c>
      <c r="AD116" s="51" t="e">
        <f aca="false">IF(Arterial=1,IF(Informed=1,1,0),0)</f>
        <v>#N/A</v>
      </c>
      <c r="AE116" s="51" t="e">
        <f aca="false">IF(Arterial=1,IF(Informed=0,1,0),0)</f>
        <v>#N/A</v>
      </c>
      <c r="AF116" s="44" t="e">
        <f aca="false">IF(AB116=1,(X116-G$1030)^2,0)</f>
        <v>#N/A</v>
      </c>
      <c r="AG116" s="44" t="e">
        <f aca="false">IF(AC116=1,(Y116-H$1030)^2,0)</f>
        <v>#N/A</v>
      </c>
      <c r="AH116" s="44" t="e">
        <f aca="false">IF(AD116=1,(Z116-I$1030)^2,0)</f>
        <v>#N/A</v>
      </c>
      <c r="AI116" s="44" t="e">
        <f aca="false">IF(AE116=1,(AA116-J$1030)^2,0)</f>
        <v>#N/A</v>
      </c>
    </row>
    <row r="117" customFormat="false" ht="12" hidden="false" customHeight="false" outlineLevel="0" collapsed="false">
      <c r="A117" s="29" t="n">
        <v>100</v>
      </c>
      <c r="B117" s="45" t="n">
        <f aca="true">IF(RAND()&lt;$D$8,1,0)</f>
        <v>1</v>
      </c>
      <c r="C117" s="34" t="n">
        <f aca="true">-LN(RAND())/$D$2</f>
        <v>0.0134122122177718</v>
      </c>
      <c r="D117" s="46" t="n">
        <f aca="false">D116+C117</f>
        <v>148.23566634046</v>
      </c>
      <c r="E117" s="47" t="e">
        <f aca="false">MAX($D$3,(1+P116-VLOOKUP(VALUE(D117),$J$18:$Q116,7,TRUE()))*$D$3)</f>
        <v>#N/A</v>
      </c>
      <c r="F117" s="47" t="e">
        <f aca="false">MAX($D$4,(1+Q116-VLOOKUP(VALUE(D117),$M$18:$Q116,5,TRUE()))*$D$4)</f>
        <v>#N/A</v>
      </c>
      <c r="G117" s="48" t="n">
        <v>0.5</v>
      </c>
      <c r="H117" s="46" t="e">
        <f aca="true">IF((B117=1),(IF((F117&lt;E117),1,(IF((F117=E117),(IF(RAND()&lt;G117,1,0)),0)))),(IF((RAND()&lt;G117),1,0)))</f>
        <v>#N/A</v>
      </c>
      <c r="I117" s="46" t="e">
        <f aca="true">IF((H117=1),0,$D$3+$D$5*(RAND()-0.5))</f>
        <v>#N/A</v>
      </c>
      <c r="J117" s="46" t="e">
        <f aca="false">I117+MAX(D117,J116)</f>
        <v>#N/A</v>
      </c>
      <c r="K117" s="46" t="e">
        <f aca="false">IF((H117=0),J117-D117,0)</f>
        <v>#N/A</v>
      </c>
      <c r="L117" s="46" t="e">
        <f aca="true">IF(($H117=0),0,$D$4+$D$5*(RAND()-0.5))</f>
        <v>#N/A</v>
      </c>
      <c r="M117" s="46" t="e">
        <f aca="false">L117+MAX(D117,M116)</f>
        <v>#N/A</v>
      </c>
      <c r="N117" s="46" t="e">
        <f aca="false">IF((H117=1),M117-D117,0)</f>
        <v>#N/A</v>
      </c>
      <c r="O117" s="29" t="n">
        <v>100</v>
      </c>
      <c r="P117" s="49" t="e">
        <f aca="false">IF((Arterial=0),P116+1,P116)</f>
        <v>#N/A</v>
      </c>
      <c r="Q117" s="49" t="e">
        <f aca="false">IF((Arterial=1),Q116+1,Q116)</f>
        <v>#N/A</v>
      </c>
      <c r="R117" s="50" t="n">
        <f aca="false">IF((RESET=1),0,R117+K117)</f>
        <v>0</v>
      </c>
      <c r="S117" s="19" t="n">
        <f aca="false">IF(RESET=1,0,S117+N117)</f>
        <v>0</v>
      </c>
      <c r="T117" s="0" t="n">
        <f aca="false">IF(RESET=1,0,T117+IF(H117=0,1,0))</f>
        <v>0</v>
      </c>
      <c r="U117" s="0" t="n">
        <f aca="false">IF(RESET=1,0,U117+H117)</f>
        <v>0</v>
      </c>
      <c r="V117" s="19" t="n">
        <f aca="false">R117/(T117+0.00001)</f>
        <v>0</v>
      </c>
      <c r="W117" s="19" t="n">
        <f aca="false">S117/(U117+0.0001)</f>
        <v>0</v>
      </c>
      <c r="X117" s="47" t="e">
        <f aca="false">IF(Informed=1,K117,0)</f>
        <v>#N/A</v>
      </c>
      <c r="Y117" s="47" t="n">
        <f aca="false">IF(Informed=0,K117,0)</f>
        <v>0</v>
      </c>
      <c r="Z117" s="47" t="e">
        <f aca="false">IF(Informed=1,N117,0)</f>
        <v>#N/A</v>
      </c>
      <c r="AA117" s="47" t="n">
        <f aca="false">IF(Informed=0,N117,0)</f>
        <v>0</v>
      </c>
      <c r="AB117" s="51" t="e">
        <f aca="false">IF(Arterial=0,IF(Informed=1,1,0),0)</f>
        <v>#N/A</v>
      </c>
      <c r="AC117" s="51" t="e">
        <f aca="false">IF(Arterial=0,IF(Informed=0,1,0),0)</f>
        <v>#N/A</v>
      </c>
      <c r="AD117" s="51" t="e">
        <f aca="false">IF(Arterial=1,IF(Informed=1,1,0),0)</f>
        <v>#N/A</v>
      </c>
      <c r="AE117" s="51" t="e">
        <f aca="false">IF(Arterial=1,IF(Informed=0,1,0),0)</f>
        <v>#N/A</v>
      </c>
      <c r="AF117" s="44" t="e">
        <f aca="false">IF(AB117=1,(X117-G$1030)^2,0)</f>
        <v>#N/A</v>
      </c>
      <c r="AG117" s="44" t="e">
        <f aca="false">IF(AC117=1,(Y117-H$1030)^2,0)</f>
        <v>#N/A</v>
      </c>
      <c r="AH117" s="44" t="e">
        <f aca="false">IF(AD117=1,(Z117-I$1030)^2,0)</f>
        <v>#N/A</v>
      </c>
      <c r="AI117" s="44" t="e">
        <f aca="false">IF(AE117=1,(AA117-J$1030)^2,0)</f>
        <v>#N/A</v>
      </c>
    </row>
    <row r="118" customFormat="false" ht="12" hidden="false" customHeight="false" outlineLevel="0" collapsed="false">
      <c r="A118" s="29" t="n">
        <v>101</v>
      </c>
      <c r="B118" s="45" t="n">
        <f aca="true">IF(RAND()&lt;$D$8,1,0)</f>
        <v>1</v>
      </c>
      <c r="C118" s="34" t="n">
        <f aca="true">-LN(RAND())/$D$2</f>
        <v>1.02710320746219</v>
      </c>
      <c r="D118" s="46" t="n">
        <f aca="false">D117+C118</f>
        <v>149.262769547922</v>
      </c>
      <c r="E118" s="47" t="e">
        <f aca="false">MAX($D$3,(1+P117-VLOOKUP(VALUE(D118),$J$18:$Q117,7,TRUE()))*$D$3)</f>
        <v>#N/A</v>
      </c>
      <c r="F118" s="47" t="e">
        <f aca="false">MAX($D$4,(1+Q117-VLOOKUP(VALUE(D118),$M$18:$Q117,5,TRUE()))*$D$4)</f>
        <v>#N/A</v>
      </c>
      <c r="G118" s="48" t="n">
        <v>0.5</v>
      </c>
      <c r="H118" s="46" t="e">
        <f aca="true">IF((B118=1),(IF((F118&lt;E118),1,(IF((F118=E118),(IF(RAND()&lt;G118,1,0)),0)))),(IF((RAND()&lt;G118),1,0)))</f>
        <v>#N/A</v>
      </c>
      <c r="I118" s="46" t="e">
        <f aca="true">IF((H118=1),0,$D$3+$D$5*(RAND()-0.5))</f>
        <v>#N/A</v>
      </c>
      <c r="J118" s="46" t="e">
        <f aca="false">I118+MAX(D118,J117)</f>
        <v>#N/A</v>
      </c>
      <c r="K118" s="46" t="e">
        <f aca="false">IF((H118=0),J118-D118,0)</f>
        <v>#N/A</v>
      </c>
      <c r="L118" s="46" t="e">
        <f aca="true">IF(($H118=0),0,$D$4+$D$5*(RAND()-0.5))</f>
        <v>#N/A</v>
      </c>
      <c r="M118" s="46" t="e">
        <f aca="false">L118+MAX(D118,M117)</f>
        <v>#N/A</v>
      </c>
      <c r="N118" s="46" t="e">
        <f aca="false">IF((H118=1),M118-D118,0)</f>
        <v>#N/A</v>
      </c>
      <c r="O118" s="29" t="n">
        <v>101</v>
      </c>
      <c r="P118" s="49" t="e">
        <f aca="false">IF((Arterial=0),P117+1,P117)</f>
        <v>#N/A</v>
      </c>
      <c r="Q118" s="49" t="e">
        <f aca="false">IF((Arterial=1),Q117+1,Q117)</f>
        <v>#N/A</v>
      </c>
      <c r="R118" s="50" t="n">
        <f aca="false">IF((RESET=1),0,R118+K118)</f>
        <v>0</v>
      </c>
      <c r="S118" s="19" t="n">
        <f aca="false">IF(RESET=1,0,S118+N118)</f>
        <v>0</v>
      </c>
      <c r="T118" s="0" t="n">
        <f aca="false">IF(RESET=1,0,T118+IF(H118=0,1,0))</f>
        <v>0</v>
      </c>
      <c r="U118" s="0" t="n">
        <f aca="false">IF(RESET=1,0,U118+H118)</f>
        <v>0</v>
      </c>
      <c r="V118" s="19" t="n">
        <f aca="false">R118/(T118+0.00001)</f>
        <v>0</v>
      </c>
      <c r="W118" s="19" t="n">
        <f aca="false">S118/(U118+0.0001)</f>
        <v>0</v>
      </c>
      <c r="X118" s="47" t="e">
        <f aca="false">IF(Informed=1,K118,0)</f>
        <v>#N/A</v>
      </c>
      <c r="Y118" s="47" t="n">
        <f aca="false">IF(Informed=0,K118,0)</f>
        <v>0</v>
      </c>
      <c r="Z118" s="47" t="e">
        <f aca="false">IF(Informed=1,N118,0)</f>
        <v>#N/A</v>
      </c>
      <c r="AA118" s="47" t="n">
        <f aca="false">IF(Informed=0,N118,0)</f>
        <v>0</v>
      </c>
      <c r="AB118" s="51" t="e">
        <f aca="false">IF(Arterial=0,IF(Informed=1,1,0),0)</f>
        <v>#N/A</v>
      </c>
      <c r="AC118" s="51" t="e">
        <f aca="false">IF(Arterial=0,IF(Informed=0,1,0),0)</f>
        <v>#N/A</v>
      </c>
      <c r="AD118" s="51" t="e">
        <f aca="false">IF(Arterial=1,IF(Informed=1,1,0),0)</f>
        <v>#N/A</v>
      </c>
      <c r="AE118" s="51" t="e">
        <f aca="false">IF(Arterial=1,IF(Informed=0,1,0),0)</f>
        <v>#N/A</v>
      </c>
      <c r="AF118" s="44" t="e">
        <f aca="false">IF(AB118=1,(X118-G$1030)^2,0)</f>
        <v>#N/A</v>
      </c>
      <c r="AG118" s="44" t="e">
        <f aca="false">IF(AC118=1,(Y118-H$1030)^2,0)</f>
        <v>#N/A</v>
      </c>
      <c r="AH118" s="44" t="e">
        <f aca="false">IF(AD118=1,(Z118-I$1030)^2,0)</f>
        <v>#N/A</v>
      </c>
      <c r="AI118" s="44" t="e">
        <f aca="false">IF(AE118=1,(AA118-J$1030)^2,0)</f>
        <v>#N/A</v>
      </c>
    </row>
    <row r="119" customFormat="false" ht="12" hidden="false" customHeight="false" outlineLevel="0" collapsed="false">
      <c r="A119" s="29" t="n">
        <v>102</v>
      </c>
      <c r="B119" s="45" t="n">
        <f aca="true">IF(RAND()&lt;$D$8,1,0)</f>
        <v>1</v>
      </c>
      <c r="C119" s="34" t="n">
        <f aca="true">-LN(RAND())/$D$2</f>
        <v>0.674365186582448</v>
      </c>
      <c r="D119" s="46" t="n">
        <f aca="false">D118+C119</f>
        <v>149.937134734505</v>
      </c>
      <c r="E119" s="47" t="e">
        <f aca="false">MAX($D$3,(1+P118-VLOOKUP(VALUE(D119),$J$18:$Q118,7,TRUE()))*$D$3)</f>
        <v>#N/A</v>
      </c>
      <c r="F119" s="47" t="e">
        <f aca="false">MAX($D$4,(1+Q118-VLOOKUP(VALUE(D119),$M$18:$Q118,5,TRUE()))*$D$4)</f>
        <v>#N/A</v>
      </c>
      <c r="G119" s="48" t="n">
        <v>0.5</v>
      </c>
      <c r="H119" s="46" t="e">
        <f aca="true">IF((B119=1),(IF((F119&lt;E119),1,(IF((F119=E119),(IF(RAND()&lt;G119,1,0)),0)))),(IF((RAND()&lt;G119),1,0)))</f>
        <v>#N/A</v>
      </c>
      <c r="I119" s="46" t="e">
        <f aca="true">IF((H119=1),0,$D$3+$D$5*(RAND()-0.5))</f>
        <v>#N/A</v>
      </c>
      <c r="J119" s="46" t="e">
        <f aca="false">I119+MAX(D119,J118)</f>
        <v>#N/A</v>
      </c>
      <c r="K119" s="46" t="e">
        <f aca="false">IF((H119=0),J119-D119,0)</f>
        <v>#N/A</v>
      </c>
      <c r="L119" s="46" t="e">
        <f aca="true">IF(($H119=0),0,$D$4+$D$5*(RAND()-0.5))</f>
        <v>#N/A</v>
      </c>
      <c r="M119" s="46" t="e">
        <f aca="false">L119+MAX(D119,M118)</f>
        <v>#N/A</v>
      </c>
      <c r="N119" s="46" t="e">
        <f aca="false">IF((H119=1),M119-D119,0)</f>
        <v>#N/A</v>
      </c>
      <c r="O119" s="29" t="n">
        <v>102</v>
      </c>
      <c r="P119" s="49" t="e">
        <f aca="false">IF((Arterial=0),P118+1,P118)</f>
        <v>#N/A</v>
      </c>
      <c r="Q119" s="49" t="e">
        <f aca="false">IF((Arterial=1),Q118+1,Q118)</f>
        <v>#N/A</v>
      </c>
      <c r="R119" s="50" t="n">
        <f aca="false">IF((RESET=1),0,R119+K119)</f>
        <v>0</v>
      </c>
      <c r="S119" s="19" t="n">
        <f aca="false">IF(RESET=1,0,S119+N119)</f>
        <v>0</v>
      </c>
      <c r="T119" s="0" t="n">
        <f aca="false">IF(RESET=1,0,T119+IF(H119=0,1,0))</f>
        <v>0</v>
      </c>
      <c r="U119" s="0" t="n">
        <f aca="false">IF(RESET=1,0,U119+H119)</f>
        <v>0</v>
      </c>
      <c r="V119" s="19" t="n">
        <f aca="false">R119/(T119+0.00001)</f>
        <v>0</v>
      </c>
      <c r="W119" s="19" t="n">
        <f aca="false">S119/(U119+0.0001)</f>
        <v>0</v>
      </c>
      <c r="X119" s="47" t="e">
        <f aca="false">IF(Informed=1,K119,0)</f>
        <v>#N/A</v>
      </c>
      <c r="Y119" s="47" t="n">
        <f aca="false">IF(Informed=0,K119,0)</f>
        <v>0</v>
      </c>
      <c r="Z119" s="47" t="e">
        <f aca="false">IF(Informed=1,N119,0)</f>
        <v>#N/A</v>
      </c>
      <c r="AA119" s="47" t="n">
        <f aca="false">IF(Informed=0,N119,0)</f>
        <v>0</v>
      </c>
      <c r="AB119" s="51" t="e">
        <f aca="false">IF(Arterial=0,IF(Informed=1,1,0),0)</f>
        <v>#N/A</v>
      </c>
      <c r="AC119" s="51" t="e">
        <f aca="false">IF(Arterial=0,IF(Informed=0,1,0),0)</f>
        <v>#N/A</v>
      </c>
      <c r="AD119" s="51" t="e">
        <f aca="false">IF(Arterial=1,IF(Informed=1,1,0),0)</f>
        <v>#N/A</v>
      </c>
      <c r="AE119" s="51" t="e">
        <f aca="false">IF(Arterial=1,IF(Informed=0,1,0),0)</f>
        <v>#N/A</v>
      </c>
      <c r="AF119" s="44" t="e">
        <f aca="false">IF(AB119=1,(X119-G$1030)^2,0)</f>
        <v>#N/A</v>
      </c>
      <c r="AG119" s="44" t="e">
        <f aca="false">IF(AC119=1,(Y119-H$1030)^2,0)</f>
        <v>#N/A</v>
      </c>
      <c r="AH119" s="44" t="e">
        <f aca="false">IF(AD119=1,(Z119-I$1030)^2,0)</f>
        <v>#N/A</v>
      </c>
      <c r="AI119" s="44" t="e">
        <f aca="false">IF(AE119=1,(AA119-J$1030)^2,0)</f>
        <v>#N/A</v>
      </c>
    </row>
    <row r="120" customFormat="false" ht="12" hidden="false" customHeight="false" outlineLevel="0" collapsed="false">
      <c r="A120" s="29" t="n">
        <v>103</v>
      </c>
      <c r="B120" s="45" t="n">
        <f aca="true">IF(RAND()&lt;$D$8,1,0)</f>
        <v>1</v>
      </c>
      <c r="C120" s="34" t="n">
        <f aca="true">-LN(RAND())/$D$2</f>
        <v>1.69367562749327</v>
      </c>
      <c r="D120" s="46" t="n">
        <f aca="false">D119+C120</f>
        <v>151.630810361998</v>
      </c>
      <c r="E120" s="47" t="e">
        <f aca="false">MAX($D$3,(1+P119-VLOOKUP(VALUE(D120),$J$18:$Q119,7,TRUE()))*$D$3)</f>
        <v>#N/A</v>
      </c>
      <c r="F120" s="47" t="e">
        <f aca="false">MAX($D$4,(1+Q119-VLOOKUP(VALUE(D120),$M$18:$Q119,5,TRUE()))*$D$4)</f>
        <v>#N/A</v>
      </c>
      <c r="G120" s="48" t="n">
        <v>0.5</v>
      </c>
      <c r="H120" s="46" t="e">
        <f aca="true">IF((B120=1),(IF((F120&lt;E120),1,(IF((F120=E120),(IF(RAND()&lt;G120,1,0)),0)))),(IF((RAND()&lt;G120),1,0)))</f>
        <v>#N/A</v>
      </c>
      <c r="I120" s="46" t="e">
        <f aca="true">IF((H120=1),0,$D$3+$D$5*(RAND()-0.5))</f>
        <v>#N/A</v>
      </c>
      <c r="J120" s="46" t="e">
        <f aca="false">I120+MAX(D120,J119)</f>
        <v>#N/A</v>
      </c>
      <c r="K120" s="46" t="e">
        <f aca="false">IF((H120=0),J120-D120,0)</f>
        <v>#N/A</v>
      </c>
      <c r="L120" s="46" t="e">
        <f aca="true">IF(($H120=0),0,$D$4+$D$5*(RAND()-0.5))</f>
        <v>#N/A</v>
      </c>
      <c r="M120" s="46" t="e">
        <f aca="false">L120+MAX(D120,M119)</f>
        <v>#N/A</v>
      </c>
      <c r="N120" s="46" t="e">
        <f aca="false">IF((H120=1),M120-D120,0)</f>
        <v>#N/A</v>
      </c>
      <c r="O120" s="29" t="n">
        <v>103</v>
      </c>
      <c r="P120" s="49" t="e">
        <f aca="false">IF((Arterial=0),P119+1,P119)</f>
        <v>#N/A</v>
      </c>
      <c r="Q120" s="49" t="e">
        <f aca="false">IF((Arterial=1),Q119+1,Q119)</f>
        <v>#N/A</v>
      </c>
      <c r="R120" s="50" t="n">
        <f aca="false">IF((RESET=1),0,R120+K120)</f>
        <v>0</v>
      </c>
      <c r="S120" s="19" t="n">
        <f aca="false">IF(RESET=1,0,S120+N120)</f>
        <v>0</v>
      </c>
      <c r="T120" s="0" t="n">
        <f aca="false">IF(RESET=1,0,T120+IF(H120=0,1,0))</f>
        <v>0</v>
      </c>
      <c r="U120" s="0" t="n">
        <f aca="false">IF(RESET=1,0,U120+H120)</f>
        <v>0</v>
      </c>
      <c r="V120" s="19" t="n">
        <f aca="false">R120/(T120+0.00001)</f>
        <v>0</v>
      </c>
      <c r="W120" s="19" t="n">
        <f aca="false">S120/(U120+0.0001)</f>
        <v>0</v>
      </c>
      <c r="X120" s="47" t="e">
        <f aca="false">IF(Informed=1,K120,0)</f>
        <v>#N/A</v>
      </c>
      <c r="Y120" s="47" t="n">
        <f aca="false">IF(Informed=0,K120,0)</f>
        <v>0</v>
      </c>
      <c r="Z120" s="47" t="e">
        <f aca="false">IF(Informed=1,N120,0)</f>
        <v>#N/A</v>
      </c>
      <c r="AA120" s="47" t="n">
        <f aca="false">IF(Informed=0,N120,0)</f>
        <v>0</v>
      </c>
      <c r="AB120" s="51" t="e">
        <f aca="false">IF(Arterial=0,IF(Informed=1,1,0),0)</f>
        <v>#N/A</v>
      </c>
      <c r="AC120" s="51" t="e">
        <f aca="false">IF(Arterial=0,IF(Informed=0,1,0),0)</f>
        <v>#N/A</v>
      </c>
      <c r="AD120" s="51" t="e">
        <f aca="false">IF(Arterial=1,IF(Informed=1,1,0),0)</f>
        <v>#N/A</v>
      </c>
      <c r="AE120" s="51" t="e">
        <f aca="false">IF(Arterial=1,IF(Informed=0,1,0),0)</f>
        <v>#N/A</v>
      </c>
      <c r="AF120" s="44" t="e">
        <f aca="false">IF(AB120=1,(X120-G$1030)^2,0)</f>
        <v>#N/A</v>
      </c>
      <c r="AG120" s="44" t="e">
        <f aca="false">IF(AC120=1,(Y120-H$1030)^2,0)</f>
        <v>#N/A</v>
      </c>
      <c r="AH120" s="44" t="e">
        <f aca="false">IF(AD120=1,(Z120-I$1030)^2,0)</f>
        <v>#N/A</v>
      </c>
      <c r="AI120" s="44" t="e">
        <f aca="false">IF(AE120=1,(AA120-J$1030)^2,0)</f>
        <v>#N/A</v>
      </c>
    </row>
    <row r="121" customFormat="false" ht="12" hidden="false" customHeight="false" outlineLevel="0" collapsed="false">
      <c r="A121" s="29" t="n">
        <v>104</v>
      </c>
      <c r="B121" s="45" t="n">
        <f aca="true">IF(RAND()&lt;$D$8,1,0)</f>
        <v>1</v>
      </c>
      <c r="C121" s="34" t="n">
        <f aca="true">-LN(RAND())/$D$2</f>
        <v>0.665686290802019</v>
      </c>
      <c r="D121" s="46" t="n">
        <f aca="false">D120+C121</f>
        <v>152.2964966528</v>
      </c>
      <c r="E121" s="47" t="e">
        <f aca="false">MAX($D$3,(1+P120-VLOOKUP(VALUE(D121),$J$18:$Q120,7,TRUE()))*$D$3)</f>
        <v>#N/A</v>
      </c>
      <c r="F121" s="47" t="e">
        <f aca="false">MAX($D$4,(1+Q120-VLOOKUP(VALUE(D121),$M$18:$Q120,5,TRUE()))*$D$4)</f>
        <v>#N/A</v>
      </c>
      <c r="G121" s="48" t="n">
        <v>0.5</v>
      </c>
      <c r="H121" s="46" t="e">
        <f aca="true">IF((B121=1),(IF((F121&lt;E121),1,(IF((F121=E121),(IF(RAND()&lt;G121,1,0)),0)))),(IF((RAND()&lt;G121),1,0)))</f>
        <v>#N/A</v>
      </c>
      <c r="I121" s="46" t="e">
        <f aca="true">IF((H121=1),0,$D$3+$D$5*(RAND()-0.5))</f>
        <v>#N/A</v>
      </c>
      <c r="J121" s="46" t="e">
        <f aca="false">I121+MAX(D121,J120)</f>
        <v>#N/A</v>
      </c>
      <c r="K121" s="46" t="e">
        <f aca="false">IF((H121=0),J121-D121,0)</f>
        <v>#N/A</v>
      </c>
      <c r="L121" s="46" t="e">
        <f aca="true">IF(($H121=0),0,$D$4+$D$5*(RAND()-0.5))</f>
        <v>#N/A</v>
      </c>
      <c r="M121" s="46" t="e">
        <f aca="false">L121+MAX(D121,M120)</f>
        <v>#N/A</v>
      </c>
      <c r="N121" s="46" t="e">
        <f aca="false">IF((H121=1),M121-D121,0)</f>
        <v>#N/A</v>
      </c>
      <c r="O121" s="29" t="n">
        <v>104</v>
      </c>
      <c r="P121" s="49" t="e">
        <f aca="false">IF((Arterial=0),P120+1,P120)</f>
        <v>#N/A</v>
      </c>
      <c r="Q121" s="49" t="e">
        <f aca="false">IF((Arterial=1),Q120+1,Q120)</f>
        <v>#N/A</v>
      </c>
      <c r="R121" s="50" t="n">
        <f aca="false">IF((RESET=1),0,R121+K121)</f>
        <v>0</v>
      </c>
      <c r="S121" s="19" t="n">
        <f aca="false">IF(RESET=1,0,S121+N121)</f>
        <v>0</v>
      </c>
      <c r="T121" s="0" t="n">
        <f aca="false">IF(RESET=1,0,T121+IF(H121=0,1,0))</f>
        <v>0</v>
      </c>
      <c r="U121" s="0" t="n">
        <f aca="false">IF(RESET=1,0,U121+H121)</f>
        <v>0</v>
      </c>
      <c r="V121" s="19" t="n">
        <f aca="false">R121/(T121+0.00001)</f>
        <v>0</v>
      </c>
      <c r="W121" s="19" t="n">
        <f aca="false">S121/(U121+0.0001)</f>
        <v>0</v>
      </c>
      <c r="X121" s="47" t="e">
        <f aca="false">IF(Informed=1,K121,0)</f>
        <v>#N/A</v>
      </c>
      <c r="Y121" s="47" t="n">
        <f aca="false">IF(Informed=0,K121,0)</f>
        <v>0</v>
      </c>
      <c r="Z121" s="47" t="e">
        <f aca="false">IF(Informed=1,N121,0)</f>
        <v>#N/A</v>
      </c>
      <c r="AA121" s="47" t="n">
        <f aca="false">IF(Informed=0,N121,0)</f>
        <v>0</v>
      </c>
      <c r="AB121" s="51" t="e">
        <f aca="false">IF(Arterial=0,IF(Informed=1,1,0),0)</f>
        <v>#N/A</v>
      </c>
      <c r="AC121" s="51" t="e">
        <f aca="false">IF(Arterial=0,IF(Informed=0,1,0),0)</f>
        <v>#N/A</v>
      </c>
      <c r="AD121" s="51" t="e">
        <f aca="false">IF(Arterial=1,IF(Informed=1,1,0),0)</f>
        <v>#N/A</v>
      </c>
      <c r="AE121" s="51" t="e">
        <f aca="false">IF(Arterial=1,IF(Informed=0,1,0),0)</f>
        <v>#N/A</v>
      </c>
      <c r="AF121" s="44" t="e">
        <f aca="false">IF(AB121=1,(X121-G$1030)^2,0)</f>
        <v>#N/A</v>
      </c>
      <c r="AG121" s="44" t="e">
        <f aca="false">IF(AC121=1,(Y121-H$1030)^2,0)</f>
        <v>#N/A</v>
      </c>
      <c r="AH121" s="44" t="e">
        <f aca="false">IF(AD121=1,(Z121-I$1030)^2,0)</f>
        <v>#N/A</v>
      </c>
      <c r="AI121" s="44" t="e">
        <f aca="false">IF(AE121=1,(AA121-J$1030)^2,0)</f>
        <v>#N/A</v>
      </c>
    </row>
    <row r="122" customFormat="false" ht="12" hidden="false" customHeight="false" outlineLevel="0" collapsed="false">
      <c r="A122" s="29" t="n">
        <v>105</v>
      </c>
      <c r="B122" s="45" t="n">
        <f aca="true">IF(RAND()&lt;$D$8,1,0)</f>
        <v>1</v>
      </c>
      <c r="C122" s="34" t="n">
        <f aca="true">-LN(RAND())/$D$2</f>
        <v>0.871952192185732</v>
      </c>
      <c r="D122" s="46" t="n">
        <f aca="false">D121+C122</f>
        <v>153.168448844986</v>
      </c>
      <c r="E122" s="47" t="e">
        <f aca="false">MAX($D$3,(1+P121-VLOOKUP(VALUE(D122),$J$18:$Q121,7,TRUE()))*$D$3)</f>
        <v>#N/A</v>
      </c>
      <c r="F122" s="47" t="e">
        <f aca="false">MAX($D$4,(1+Q121-VLOOKUP(VALUE(D122),$M$18:$Q121,5,TRUE()))*$D$4)</f>
        <v>#N/A</v>
      </c>
      <c r="G122" s="48" t="n">
        <v>0.5</v>
      </c>
      <c r="H122" s="46" t="e">
        <f aca="true">IF((B122=1),(IF((F122&lt;E122),1,(IF((F122=E122),(IF(RAND()&lt;G122,1,0)),0)))),(IF((RAND()&lt;G122),1,0)))</f>
        <v>#N/A</v>
      </c>
      <c r="I122" s="46" t="e">
        <f aca="true">IF((H122=1),0,$D$3+$D$5*(RAND()-0.5))</f>
        <v>#N/A</v>
      </c>
      <c r="J122" s="46" t="e">
        <f aca="false">I122+MAX(D122,J121)</f>
        <v>#N/A</v>
      </c>
      <c r="K122" s="46" t="e">
        <f aca="false">IF((H122=0),J122-D122,0)</f>
        <v>#N/A</v>
      </c>
      <c r="L122" s="46" t="e">
        <f aca="true">IF(($H122=0),0,$D$4+$D$5*(RAND()-0.5))</f>
        <v>#N/A</v>
      </c>
      <c r="M122" s="46" t="e">
        <f aca="false">L122+MAX(D122,M121)</f>
        <v>#N/A</v>
      </c>
      <c r="N122" s="46" t="e">
        <f aca="false">IF((H122=1),M122-D122,0)</f>
        <v>#N/A</v>
      </c>
      <c r="O122" s="29" t="n">
        <v>105</v>
      </c>
      <c r="P122" s="49" t="e">
        <f aca="false">IF((Arterial=0),P121+1,P121)</f>
        <v>#N/A</v>
      </c>
      <c r="Q122" s="49" t="e">
        <f aca="false">IF((Arterial=1),Q121+1,Q121)</f>
        <v>#N/A</v>
      </c>
      <c r="R122" s="50" t="n">
        <f aca="false">IF((RESET=1),0,R122+K122)</f>
        <v>0</v>
      </c>
      <c r="S122" s="19" t="n">
        <f aca="false">IF(RESET=1,0,S122+N122)</f>
        <v>0</v>
      </c>
      <c r="T122" s="0" t="n">
        <f aca="false">IF(RESET=1,0,T122+IF(H122=0,1,0))</f>
        <v>0</v>
      </c>
      <c r="U122" s="0" t="n">
        <f aca="false">IF(RESET=1,0,U122+H122)</f>
        <v>0</v>
      </c>
      <c r="V122" s="19" t="n">
        <f aca="false">R122/(T122+0.00001)</f>
        <v>0</v>
      </c>
      <c r="W122" s="19" t="n">
        <f aca="false">S122/(U122+0.0001)</f>
        <v>0</v>
      </c>
      <c r="X122" s="47" t="e">
        <f aca="false">IF(Informed=1,K122,0)</f>
        <v>#N/A</v>
      </c>
      <c r="Y122" s="47" t="n">
        <f aca="false">IF(Informed=0,K122,0)</f>
        <v>0</v>
      </c>
      <c r="Z122" s="47" t="e">
        <f aca="false">IF(Informed=1,N122,0)</f>
        <v>#N/A</v>
      </c>
      <c r="AA122" s="47" t="n">
        <f aca="false">IF(Informed=0,N122,0)</f>
        <v>0</v>
      </c>
      <c r="AB122" s="51" t="e">
        <f aca="false">IF(Arterial=0,IF(Informed=1,1,0),0)</f>
        <v>#N/A</v>
      </c>
      <c r="AC122" s="51" t="e">
        <f aca="false">IF(Arterial=0,IF(Informed=0,1,0),0)</f>
        <v>#N/A</v>
      </c>
      <c r="AD122" s="51" t="e">
        <f aca="false">IF(Arterial=1,IF(Informed=1,1,0),0)</f>
        <v>#N/A</v>
      </c>
      <c r="AE122" s="51" t="e">
        <f aca="false">IF(Arterial=1,IF(Informed=0,1,0),0)</f>
        <v>#N/A</v>
      </c>
      <c r="AF122" s="44" t="e">
        <f aca="false">IF(AB122=1,(X122-G$1030)^2,0)</f>
        <v>#N/A</v>
      </c>
      <c r="AG122" s="44" t="e">
        <f aca="false">IF(AC122=1,(Y122-H$1030)^2,0)</f>
        <v>#N/A</v>
      </c>
      <c r="AH122" s="44" t="e">
        <f aca="false">IF(AD122=1,(Z122-I$1030)^2,0)</f>
        <v>#N/A</v>
      </c>
      <c r="AI122" s="44" t="e">
        <f aca="false">IF(AE122=1,(AA122-J$1030)^2,0)</f>
        <v>#N/A</v>
      </c>
    </row>
    <row r="123" customFormat="false" ht="12" hidden="false" customHeight="false" outlineLevel="0" collapsed="false">
      <c r="A123" s="29" t="n">
        <v>106</v>
      </c>
      <c r="B123" s="45" t="n">
        <f aca="true">IF(RAND()&lt;$D$8,1,0)</f>
        <v>1</v>
      </c>
      <c r="C123" s="34" t="n">
        <f aca="true">-LN(RAND())/$D$2</f>
        <v>4.5942319934113</v>
      </c>
      <c r="D123" s="46" t="n">
        <f aca="false">D122+C123</f>
        <v>157.762680838397</v>
      </c>
      <c r="E123" s="47" t="e">
        <f aca="false">MAX($D$3,(1+P122-VLOOKUP(VALUE(D123),$J$18:$Q122,7,TRUE()))*$D$3)</f>
        <v>#N/A</v>
      </c>
      <c r="F123" s="47" t="e">
        <f aca="false">MAX($D$4,(1+Q122-VLOOKUP(VALUE(D123),$M$18:$Q122,5,TRUE()))*$D$4)</f>
        <v>#N/A</v>
      </c>
      <c r="G123" s="48" t="n">
        <v>0.5</v>
      </c>
      <c r="H123" s="46" t="e">
        <f aca="true">IF((B123=1),(IF((F123&lt;E123),1,(IF((F123=E123),(IF(RAND()&lt;G123,1,0)),0)))),(IF((RAND()&lt;G123),1,0)))</f>
        <v>#N/A</v>
      </c>
      <c r="I123" s="46" t="e">
        <f aca="true">IF((H123=1),0,$D$3+$D$5*(RAND()-0.5))</f>
        <v>#N/A</v>
      </c>
      <c r="J123" s="46" t="e">
        <f aca="false">I123+MAX(D123,J122)</f>
        <v>#N/A</v>
      </c>
      <c r="K123" s="46" t="e">
        <f aca="false">IF((H123=0),J123-D123,0)</f>
        <v>#N/A</v>
      </c>
      <c r="L123" s="46" t="e">
        <f aca="true">IF(($H123=0),0,$D$4+$D$5*(RAND()-0.5))</f>
        <v>#N/A</v>
      </c>
      <c r="M123" s="46" t="e">
        <f aca="false">L123+MAX(D123,M122)</f>
        <v>#N/A</v>
      </c>
      <c r="N123" s="46" t="e">
        <f aca="false">IF((H123=1),M123-D123,0)</f>
        <v>#N/A</v>
      </c>
      <c r="O123" s="29" t="n">
        <v>106</v>
      </c>
      <c r="P123" s="49" t="e">
        <f aca="false">IF((Arterial=0),P122+1,P122)</f>
        <v>#N/A</v>
      </c>
      <c r="Q123" s="49" t="e">
        <f aca="false">IF((Arterial=1),Q122+1,Q122)</f>
        <v>#N/A</v>
      </c>
      <c r="R123" s="50" t="n">
        <f aca="false">IF((RESET=1),0,R123+K123)</f>
        <v>0</v>
      </c>
      <c r="S123" s="19" t="n">
        <f aca="false">IF(RESET=1,0,S123+N123)</f>
        <v>0</v>
      </c>
      <c r="T123" s="0" t="n">
        <f aca="false">IF(RESET=1,0,T123+IF(H123=0,1,0))</f>
        <v>0</v>
      </c>
      <c r="U123" s="0" t="n">
        <f aca="false">IF(RESET=1,0,U123+H123)</f>
        <v>0</v>
      </c>
      <c r="V123" s="19" t="n">
        <f aca="false">R123/(T123+0.00001)</f>
        <v>0</v>
      </c>
      <c r="W123" s="19" t="n">
        <f aca="false">S123/(U123+0.0001)</f>
        <v>0</v>
      </c>
      <c r="X123" s="47" t="e">
        <f aca="false">IF(Informed=1,K123,0)</f>
        <v>#N/A</v>
      </c>
      <c r="Y123" s="47" t="n">
        <f aca="false">IF(Informed=0,K123,0)</f>
        <v>0</v>
      </c>
      <c r="Z123" s="47" t="e">
        <f aca="false">IF(Informed=1,N123,0)</f>
        <v>#N/A</v>
      </c>
      <c r="AA123" s="47" t="n">
        <f aca="false">IF(Informed=0,N123,0)</f>
        <v>0</v>
      </c>
      <c r="AB123" s="51" t="e">
        <f aca="false">IF(Arterial=0,IF(Informed=1,1,0),0)</f>
        <v>#N/A</v>
      </c>
      <c r="AC123" s="51" t="e">
        <f aca="false">IF(Arterial=0,IF(Informed=0,1,0),0)</f>
        <v>#N/A</v>
      </c>
      <c r="AD123" s="51" t="e">
        <f aca="false">IF(Arterial=1,IF(Informed=1,1,0),0)</f>
        <v>#N/A</v>
      </c>
      <c r="AE123" s="51" t="e">
        <f aca="false">IF(Arterial=1,IF(Informed=0,1,0),0)</f>
        <v>#N/A</v>
      </c>
      <c r="AF123" s="44" t="e">
        <f aca="false">IF(AB123=1,(X123-G$1030)^2,0)</f>
        <v>#N/A</v>
      </c>
      <c r="AG123" s="44" t="e">
        <f aca="false">IF(AC123=1,(Y123-H$1030)^2,0)</f>
        <v>#N/A</v>
      </c>
      <c r="AH123" s="44" t="e">
        <f aca="false">IF(AD123=1,(Z123-I$1030)^2,0)</f>
        <v>#N/A</v>
      </c>
      <c r="AI123" s="44" t="e">
        <f aca="false">IF(AE123=1,(AA123-J$1030)^2,0)</f>
        <v>#N/A</v>
      </c>
    </row>
    <row r="124" customFormat="false" ht="12" hidden="false" customHeight="false" outlineLevel="0" collapsed="false">
      <c r="A124" s="29" t="n">
        <v>107</v>
      </c>
      <c r="B124" s="45" t="n">
        <f aca="true">IF(RAND()&lt;$D$8,1,0)</f>
        <v>1</v>
      </c>
      <c r="C124" s="34" t="n">
        <f aca="true">-LN(RAND())/$D$2</f>
        <v>0.764426826782386</v>
      </c>
      <c r="D124" s="46" t="n">
        <f aca="false">D123+C124</f>
        <v>158.527107665179</v>
      </c>
      <c r="E124" s="47" t="e">
        <f aca="false">MAX($D$3,(1+P123-VLOOKUP(VALUE(D124),$J$18:$Q123,7,TRUE()))*$D$3)</f>
        <v>#N/A</v>
      </c>
      <c r="F124" s="47" t="e">
        <f aca="false">MAX($D$4,(1+Q123-VLOOKUP(VALUE(D124),$M$18:$Q123,5,TRUE()))*$D$4)</f>
        <v>#N/A</v>
      </c>
      <c r="G124" s="48" t="n">
        <v>0.5</v>
      </c>
      <c r="H124" s="46" t="e">
        <f aca="true">IF((B124=1),(IF((F124&lt;E124),1,(IF((F124=E124),(IF(RAND()&lt;G124,1,0)),0)))),(IF((RAND()&lt;G124),1,0)))</f>
        <v>#N/A</v>
      </c>
      <c r="I124" s="46" t="e">
        <f aca="true">IF((H124=1),0,$D$3+$D$5*(RAND()-0.5))</f>
        <v>#N/A</v>
      </c>
      <c r="J124" s="46" t="e">
        <f aca="false">I124+MAX(D124,J123)</f>
        <v>#N/A</v>
      </c>
      <c r="K124" s="46" t="e">
        <f aca="false">IF((H124=0),J124-D124,0)</f>
        <v>#N/A</v>
      </c>
      <c r="L124" s="46" t="e">
        <f aca="true">IF(($H124=0),0,$D$4+$D$5*(RAND()-0.5))</f>
        <v>#N/A</v>
      </c>
      <c r="M124" s="46" t="e">
        <f aca="false">L124+MAX(D124,M123)</f>
        <v>#N/A</v>
      </c>
      <c r="N124" s="46" t="e">
        <f aca="false">IF((H124=1),M124-D124,0)</f>
        <v>#N/A</v>
      </c>
      <c r="O124" s="29" t="n">
        <v>107</v>
      </c>
      <c r="P124" s="49" t="e">
        <f aca="false">IF((Arterial=0),P123+1,P123)</f>
        <v>#N/A</v>
      </c>
      <c r="Q124" s="49" t="e">
        <f aca="false">IF((Arterial=1),Q123+1,Q123)</f>
        <v>#N/A</v>
      </c>
      <c r="R124" s="50" t="n">
        <f aca="false">IF((RESET=1),0,R124+K124)</f>
        <v>0</v>
      </c>
      <c r="S124" s="19" t="n">
        <f aca="false">IF(RESET=1,0,S124+N124)</f>
        <v>0</v>
      </c>
      <c r="T124" s="0" t="n">
        <f aca="false">IF(RESET=1,0,T124+IF(H124=0,1,0))</f>
        <v>0</v>
      </c>
      <c r="U124" s="0" t="n">
        <f aca="false">IF(RESET=1,0,U124+H124)</f>
        <v>0</v>
      </c>
      <c r="V124" s="19" t="n">
        <f aca="false">R124/(T124+0.00001)</f>
        <v>0</v>
      </c>
      <c r="W124" s="19" t="n">
        <f aca="false">S124/(U124+0.0001)</f>
        <v>0</v>
      </c>
      <c r="X124" s="47" t="e">
        <f aca="false">IF(Informed=1,K124,0)</f>
        <v>#N/A</v>
      </c>
      <c r="Y124" s="47" t="n">
        <f aca="false">IF(Informed=0,K124,0)</f>
        <v>0</v>
      </c>
      <c r="Z124" s="47" t="e">
        <f aca="false">IF(Informed=1,N124,0)</f>
        <v>#N/A</v>
      </c>
      <c r="AA124" s="47" t="n">
        <f aca="false">IF(Informed=0,N124,0)</f>
        <v>0</v>
      </c>
      <c r="AB124" s="51" t="e">
        <f aca="false">IF(Arterial=0,IF(Informed=1,1,0),0)</f>
        <v>#N/A</v>
      </c>
      <c r="AC124" s="51" t="e">
        <f aca="false">IF(Arterial=0,IF(Informed=0,1,0),0)</f>
        <v>#N/A</v>
      </c>
      <c r="AD124" s="51" t="e">
        <f aca="false">IF(Arterial=1,IF(Informed=1,1,0),0)</f>
        <v>#N/A</v>
      </c>
      <c r="AE124" s="51" t="e">
        <f aca="false">IF(Arterial=1,IF(Informed=0,1,0),0)</f>
        <v>#N/A</v>
      </c>
      <c r="AF124" s="44" t="e">
        <f aca="false">IF(AB124=1,(X124-G$1030)^2,0)</f>
        <v>#N/A</v>
      </c>
      <c r="AG124" s="44" t="e">
        <f aca="false">IF(AC124=1,(Y124-H$1030)^2,0)</f>
        <v>#N/A</v>
      </c>
      <c r="AH124" s="44" t="e">
        <f aca="false">IF(AD124=1,(Z124-I$1030)^2,0)</f>
        <v>#N/A</v>
      </c>
      <c r="AI124" s="44" t="e">
        <f aca="false">IF(AE124=1,(AA124-J$1030)^2,0)</f>
        <v>#N/A</v>
      </c>
    </row>
    <row r="125" customFormat="false" ht="12" hidden="false" customHeight="false" outlineLevel="0" collapsed="false">
      <c r="A125" s="29" t="n">
        <v>108</v>
      </c>
      <c r="B125" s="45" t="n">
        <f aca="true">IF(RAND()&lt;$D$8,1,0)</f>
        <v>1</v>
      </c>
      <c r="C125" s="34" t="n">
        <f aca="true">-LN(RAND())/$D$2</f>
        <v>2.15565320148184</v>
      </c>
      <c r="D125" s="46" t="n">
        <f aca="false">D124+C125</f>
        <v>160.682760866661</v>
      </c>
      <c r="E125" s="47" t="e">
        <f aca="false">MAX($D$3,(1+P124-VLOOKUP(VALUE(D125),$J$18:$Q124,7,TRUE()))*$D$3)</f>
        <v>#N/A</v>
      </c>
      <c r="F125" s="47" t="e">
        <f aca="false">MAX($D$4,(1+Q124-VLOOKUP(VALUE(D125),$M$18:$Q124,5,TRUE()))*$D$4)</f>
        <v>#N/A</v>
      </c>
      <c r="G125" s="48" t="n">
        <v>0.5</v>
      </c>
      <c r="H125" s="46" t="e">
        <f aca="true">IF((B125=1),(IF((F125&lt;E125),1,(IF((F125=E125),(IF(RAND()&lt;G125,1,0)),0)))),(IF((RAND()&lt;G125),1,0)))</f>
        <v>#N/A</v>
      </c>
      <c r="I125" s="46" t="e">
        <f aca="true">IF((H125=1),0,$D$3+$D$5*(RAND()-0.5))</f>
        <v>#N/A</v>
      </c>
      <c r="J125" s="46" t="e">
        <f aca="false">I125+MAX(D125,J124)</f>
        <v>#N/A</v>
      </c>
      <c r="K125" s="46" t="e">
        <f aca="false">IF((H125=0),J125-D125,0)</f>
        <v>#N/A</v>
      </c>
      <c r="L125" s="46" t="e">
        <f aca="true">IF(($H125=0),0,$D$4+$D$5*(RAND()-0.5))</f>
        <v>#N/A</v>
      </c>
      <c r="M125" s="46" t="e">
        <f aca="false">L125+MAX(D125,M124)</f>
        <v>#N/A</v>
      </c>
      <c r="N125" s="46" t="e">
        <f aca="false">IF((H125=1),M125-D125,0)</f>
        <v>#N/A</v>
      </c>
      <c r="O125" s="29" t="n">
        <v>108</v>
      </c>
      <c r="P125" s="49" t="e">
        <f aca="false">IF((Arterial=0),P124+1,P124)</f>
        <v>#N/A</v>
      </c>
      <c r="Q125" s="49" t="e">
        <f aca="false">IF((Arterial=1),Q124+1,Q124)</f>
        <v>#N/A</v>
      </c>
      <c r="R125" s="50" t="n">
        <f aca="false">IF((RESET=1),0,R125+K125)</f>
        <v>0</v>
      </c>
      <c r="S125" s="19" t="n">
        <f aca="false">IF(RESET=1,0,S125+N125)</f>
        <v>0</v>
      </c>
      <c r="T125" s="0" t="n">
        <f aca="false">IF(RESET=1,0,T125+IF(H125=0,1,0))</f>
        <v>0</v>
      </c>
      <c r="U125" s="0" t="n">
        <f aca="false">IF(RESET=1,0,U125+H125)</f>
        <v>0</v>
      </c>
      <c r="V125" s="19" t="n">
        <f aca="false">R125/(T125+0.00001)</f>
        <v>0</v>
      </c>
      <c r="W125" s="19" t="n">
        <f aca="false">S125/(U125+0.0001)</f>
        <v>0</v>
      </c>
      <c r="X125" s="47" t="e">
        <f aca="false">IF(Informed=1,K125,0)</f>
        <v>#N/A</v>
      </c>
      <c r="Y125" s="47" t="n">
        <f aca="false">IF(Informed=0,K125,0)</f>
        <v>0</v>
      </c>
      <c r="Z125" s="47" t="e">
        <f aca="false">IF(Informed=1,N125,0)</f>
        <v>#N/A</v>
      </c>
      <c r="AA125" s="47" t="n">
        <f aca="false">IF(Informed=0,N125,0)</f>
        <v>0</v>
      </c>
      <c r="AB125" s="51" t="e">
        <f aca="false">IF(Arterial=0,IF(Informed=1,1,0),0)</f>
        <v>#N/A</v>
      </c>
      <c r="AC125" s="51" t="e">
        <f aca="false">IF(Arterial=0,IF(Informed=0,1,0),0)</f>
        <v>#N/A</v>
      </c>
      <c r="AD125" s="51" t="e">
        <f aca="false">IF(Arterial=1,IF(Informed=1,1,0),0)</f>
        <v>#N/A</v>
      </c>
      <c r="AE125" s="51" t="e">
        <f aca="false">IF(Arterial=1,IF(Informed=0,1,0),0)</f>
        <v>#N/A</v>
      </c>
      <c r="AF125" s="44" t="e">
        <f aca="false">IF(AB125=1,(X125-G$1030)^2,0)</f>
        <v>#N/A</v>
      </c>
      <c r="AG125" s="44" t="e">
        <f aca="false">IF(AC125=1,(Y125-H$1030)^2,0)</f>
        <v>#N/A</v>
      </c>
      <c r="AH125" s="44" t="e">
        <f aca="false">IF(AD125=1,(Z125-I$1030)^2,0)</f>
        <v>#N/A</v>
      </c>
      <c r="AI125" s="44" t="e">
        <f aca="false">IF(AE125=1,(AA125-J$1030)^2,0)</f>
        <v>#N/A</v>
      </c>
    </row>
    <row r="126" customFormat="false" ht="12" hidden="false" customHeight="false" outlineLevel="0" collapsed="false">
      <c r="A126" s="29" t="n">
        <v>109</v>
      </c>
      <c r="B126" s="45" t="n">
        <f aca="true">IF(RAND()&lt;$D$8,1,0)</f>
        <v>1</v>
      </c>
      <c r="C126" s="34" t="n">
        <f aca="true">-LN(RAND())/$D$2</f>
        <v>1.52996004912</v>
      </c>
      <c r="D126" s="46" t="n">
        <f aca="false">D125+C126</f>
        <v>162.212720915781</v>
      </c>
      <c r="E126" s="47" t="e">
        <f aca="false">MAX($D$3,(1+P125-VLOOKUP(VALUE(D126),$J$18:$Q125,7,TRUE()))*$D$3)</f>
        <v>#N/A</v>
      </c>
      <c r="F126" s="47" t="e">
        <f aca="false">MAX($D$4,(1+Q125-VLOOKUP(VALUE(D126),$M$18:$Q125,5,TRUE()))*$D$4)</f>
        <v>#N/A</v>
      </c>
      <c r="G126" s="48" t="n">
        <v>0.5</v>
      </c>
      <c r="H126" s="46" t="e">
        <f aca="true">IF((B126=1),(IF((F126&lt;E126),1,(IF((F126=E126),(IF(RAND()&lt;G126,1,0)),0)))),(IF((RAND()&lt;G126),1,0)))</f>
        <v>#N/A</v>
      </c>
      <c r="I126" s="46" t="e">
        <f aca="true">IF((H126=1),0,$D$3+$D$5*(RAND()-0.5))</f>
        <v>#N/A</v>
      </c>
      <c r="J126" s="46" t="e">
        <f aca="false">I126+MAX(D126,J125)</f>
        <v>#N/A</v>
      </c>
      <c r="K126" s="46" t="e">
        <f aca="false">IF((H126=0),J126-D126,0)</f>
        <v>#N/A</v>
      </c>
      <c r="L126" s="46" t="e">
        <f aca="true">IF(($H126=0),0,$D$4+$D$5*(RAND()-0.5))</f>
        <v>#N/A</v>
      </c>
      <c r="M126" s="46" t="e">
        <f aca="false">L126+MAX(D126,M125)</f>
        <v>#N/A</v>
      </c>
      <c r="N126" s="46" t="e">
        <f aca="false">IF((H126=1),M126-D126,0)</f>
        <v>#N/A</v>
      </c>
      <c r="O126" s="29" t="n">
        <v>109</v>
      </c>
      <c r="P126" s="49" t="e">
        <f aca="false">IF((Arterial=0),P125+1,P125)</f>
        <v>#N/A</v>
      </c>
      <c r="Q126" s="49" t="e">
        <f aca="false">IF((Arterial=1),Q125+1,Q125)</f>
        <v>#N/A</v>
      </c>
      <c r="R126" s="50" t="n">
        <f aca="false">IF((RESET=1),0,R126+K126)</f>
        <v>0</v>
      </c>
      <c r="S126" s="19" t="n">
        <f aca="false">IF(RESET=1,0,S126+N126)</f>
        <v>0</v>
      </c>
      <c r="T126" s="0" t="n">
        <f aca="false">IF(RESET=1,0,T126+IF(H126=0,1,0))</f>
        <v>0</v>
      </c>
      <c r="U126" s="0" t="n">
        <f aca="false">IF(RESET=1,0,U126+H126)</f>
        <v>0</v>
      </c>
      <c r="V126" s="19" t="n">
        <f aca="false">R126/(T126+0.00001)</f>
        <v>0</v>
      </c>
      <c r="W126" s="19" t="n">
        <f aca="false">S126/(U126+0.0001)</f>
        <v>0</v>
      </c>
      <c r="X126" s="47" t="e">
        <f aca="false">IF(Informed=1,K126,0)</f>
        <v>#N/A</v>
      </c>
      <c r="Y126" s="47" t="n">
        <f aca="false">IF(Informed=0,K126,0)</f>
        <v>0</v>
      </c>
      <c r="Z126" s="47" t="e">
        <f aca="false">IF(Informed=1,N126,0)</f>
        <v>#N/A</v>
      </c>
      <c r="AA126" s="47" t="n">
        <f aca="false">IF(Informed=0,N126,0)</f>
        <v>0</v>
      </c>
      <c r="AB126" s="51" t="e">
        <f aca="false">IF(Arterial=0,IF(Informed=1,1,0),0)</f>
        <v>#N/A</v>
      </c>
      <c r="AC126" s="51" t="e">
        <f aca="false">IF(Arterial=0,IF(Informed=0,1,0),0)</f>
        <v>#N/A</v>
      </c>
      <c r="AD126" s="51" t="e">
        <f aca="false">IF(Arterial=1,IF(Informed=1,1,0),0)</f>
        <v>#N/A</v>
      </c>
      <c r="AE126" s="51" t="e">
        <f aca="false">IF(Arterial=1,IF(Informed=0,1,0),0)</f>
        <v>#N/A</v>
      </c>
      <c r="AF126" s="44" t="e">
        <f aca="false">IF(AB126=1,(X126-G$1030)^2,0)</f>
        <v>#N/A</v>
      </c>
      <c r="AG126" s="44" t="e">
        <f aca="false">IF(AC126=1,(Y126-H$1030)^2,0)</f>
        <v>#N/A</v>
      </c>
      <c r="AH126" s="44" t="e">
        <f aca="false">IF(AD126=1,(Z126-I$1030)^2,0)</f>
        <v>#N/A</v>
      </c>
      <c r="AI126" s="44" t="e">
        <f aca="false">IF(AE126=1,(AA126-J$1030)^2,0)</f>
        <v>#N/A</v>
      </c>
    </row>
    <row r="127" customFormat="false" ht="12" hidden="false" customHeight="false" outlineLevel="0" collapsed="false">
      <c r="A127" s="29" t="n">
        <v>110</v>
      </c>
      <c r="B127" s="45" t="n">
        <f aca="true">IF(RAND()&lt;$D$8,1,0)</f>
        <v>1</v>
      </c>
      <c r="C127" s="34" t="n">
        <f aca="true">-LN(RAND())/$D$2</f>
        <v>0.60649512936783</v>
      </c>
      <c r="D127" s="46" t="n">
        <f aca="false">D126+C127</f>
        <v>162.819216045149</v>
      </c>
      <c r="E127" s="47" t="e">
        <f aca="false">MAX($D$3,(1+P126-VLOOKUP(VALUE(D127),$J$18:$Q126,7,TRUE()))*$D$3)</f>
        <v>#N/A</v>
      </c>
      <c r="F127" s="47" t="e">
        <f aca="false">MAX($D$4,(1+Q126-VLOOKUP(VALUE(D127),$M$18:$Q126,5,TRUE()))*$D$4)</f>
        <v>#N/A</v>
      </c>
      <c r="G127" s="48" t="n">
        <v>0.5</v>
      </c>
      <c r="H127" s="46" t="e">
        <f aca="true">IF((B127=1),(IF((F127&lt;E127),1,(IF((F127=E127),(IF(RAND()&lt;G127,1,0)),0)))),(IF((RAND()&lt;G127),1,0)))</f>
        <v>#N/A</v>
      </c>
      <c r="I127" s="46" t="e">
        <f aca="true">IF((H127=1),0,$D$3+$D$5*(RAND()-0.5))</f>
        <v>#N/A</v>
      </c>
      <c r="J127" s="46" t="e">
        <f aca="false">I127+MAX(D127,J126)</f>
        <v>#N/A</v>
      </c>
      <c r="K127" s="46" t="e">
        <f aca="false">IF((H127=0),J127-D127,0)</f>
        <v>#N/A</v>
      </c>
      <c r="L127" s="46" t="e">
        <f aca="true">IF(($H127=0),0,$D$4+$D$5*(RAND()-0.5))</f>
        <v>#N/A</v>
      </c>
      <c r="M127" s="46" t="e">
        <f aca="false">L127+MAX(D127,M126)</f>
        <v>#N/A</v>
      </c>
      <c r="N127" s="46" t="e">
        <f aca="false">IF((H127=1),M127-D127,0)</f>
        <v>#N/A</v>
      </c>
      <c r="O127" s="29" t="n">
        <v>110</v>
      </c>
      <c r="P127" s="49" t="e">
        <f aca="false">IF((Arterial=0),P126+1,P126)</f>
        <v>#N/A</v>
      </c>
      <c r="Q127" s="49" t="e">
        <f aca="false">IF((Arterial=1),Q126+1,Q126)</f>
        <v>#N/A</v>
      </c>
      <c r="R127" s="50" t="n">
        <f aca="false">IF((RESET=1),0,R127+K127)</f>
        <v>0</v>
      </c>
      <c r="S127" s="19" t="n">
        <f aca="false">IF(RESET=1,0,S127+N127)</f>
        <v>0</v>
      </c>
      <c r="T127" s="0" t="n">
        <f aca="false">IF(RESET=1,0,T127+IF(H127=0,1,0))</f>
        <v>0</v>
      </c>
      <c r="U127" s="0" t="n">
        <f aca="false">IF(RESET=1,0,U127+H127)</f>
        <v>0</v>
      </c>
      <c r="V127" s="19" t="n">
        <f aca="false">R127/(T127+0.00001)</f>
        <v>0</v>
      </c>
      <c r="W127" s="19" t="n">
        <f aca="false">S127/(U127+0.0001)</f>
        <v>0</v>
      </c>
      <c r="X127" s="47" t="e">
        <f aca="false">IF(Informed=1,K127,0)</f>
        <v>#N/A</v>
      </c>
      <c r="Y127" s="47" t="n">
        <f aca="false">IF(Informed=0,K127,0)</f>
        <v>0</v>
      </c>
      <c r="Z127" s="47" t="e">
        <f aca="false">IF(Informed=1,N127,0)</f>
        <v>#N/A</v>
      </c>
      <c r="AA127" s="47" t="n">
        <f aca="false">IF(Informed=0,N127,0)</f>
        <v>0</v>
      </c>
      <c r="AB127" s="51" t="e">
        <f aca="false">IF(Arterial=0,IF(Informed=1,1,0),0)</f>
        <v>#N/A</v>
      </c>
      <c r="AC127" s="51" t="e">
        <f aca="false">IF(Arterial=0,IF(Informed=0,1,0),0)</f>
        <v>#N/A</v>
      </c>
      <c r="AD127" s="51" t="e">
        <f aca="false">IF(Arterial=1,IF(Informed=1,1,0),0)</f>
        <v>#N/A</v>
      </c>
      <c r="AE127" s="51" t="e">
        <f aca="false">IF(Arterial=1,IF(Informed=0,1,0),0)</f>
        <v>#N/A</v>
      </c>
      <c r="AF127" s="44" t="e">
        <f aca="false">IF(AB127=1,(X127-G$1030)^2,0)</f>
        <v>#N/A</v>
      </c>
      <c r="AG127" s="44" t="e">
        <f aca="false">IF(AC127=1,(Y127-H$1030)^2,0)</f>
        <v>#N/A</v>
      </c>
      <c r="AH127" s="44" t="e">
        <f aca="false">IF(AD127=1,(Z127-I$1030)^2,0)</f>
        <v>#N/A</v>
      </c>
      <c r="AI127" s="44" t="e">
        <f aca="false">IF(AE127=1,(AA127-J$1030)^2,0)</f>
        <v>#N/A</v>
      </c>
    </row>
    <row r="128" customFormat="false" ht="12" hidden="false" customHeight="false" outlineLevel="0" collapsed="false">
      <c r="A128" s="29" t="n">
        <v>111</v>
      </c>
      <c r="B128" s="45" t="n">
        <f aca="true">IF(RAND()&lt;$D$8,1,0)</f>
        <v>1</v>
      </c>
      <c r="C128" s="34" t="n">
        <f aca="true">-LN(RAND())/$D$2</f>
        <v>0.418781026938821</v>
      </c>
      <c r="D128" s="46" t="n">
        <f aca="false">D127+C128</f>
        <v>163.237997072088</v>
      </c>
      <c r="E128" s="47" t="e">
        <f aca="false">MAX($D$3,(1+P127-VLOOKUP(VALUE(D128),$J$18:$Q127,7,TRUE()))*$D$3)</f>
        <v>#N/A</v>
      </c>
      <c r="F128" s="47" t="e">
        <f aca="false">MAX($D$4,(1+Q127-VLOOKUP(VALUE(D128),$M$18:$Q127,5,TRUE()))*$D$4)</f>
        <v>#N/A</v>
      </c>
      <c r="G128" s="48" t="n">
        <v>0.5</v>
      </c>
      <c r="H128" s="46" t="e">
        <f aca="true">IF((B128=1),(IF((F128&lt;E128),1,(IF((F128=E128),(IF(RAND()&lt;G128,1,0)),0)))),(IF((RAND()&lt;G128),1,0)))</f>
        <v>#N/A</v>
      </c>
      <c r="I128" s="46" t="e">
        <f aca="true">IF((H128=1),0,$D$3+$D$5*(RAND()-0.5))</f>
        <v>#N/A</v>
      </c>
      <c r="J128" s="46" t="e">
        <f aca="false">I128+MAX(D128,J127)</f>
        <v>#N/A</v>
      </c>
      <c r="K128" s="46" t="e">
        <f aca="false">IF((H128=0),J128-D128,0)</f>
        <v>#N/A</v>
      </c>
      <c r="L128" s="46" t="e">
        <f aca="true">IF(($H128=0),0,$D$4+$D$5*(RAND()-0.5))</f>
        <v>#N/A</v>
      </c>
      <c r="M128" s="46" t="e">
        <f aca="false">L128+MAX(D128,M127)</f>
        <v>#N/A</v>
      </c>
      <c r="N128" s="46" t="e">
        <f aca="false">IF((H128=1),M128-D128,0)</f>
        <v>#N/A</v>
      </c>
      <c r="O128" s="29" t="n">
        <v>111</v>
      </c>
      <c r="P128" s="49" t="e">
        <f aca="false">IF((Arterial=0),P127+1,P127)</f>
        <v>#N/A</v>
      </c>
      <c r="Q128" s="49" t="e">
        <f aca="false">IF((Arterial=1),Q127+1,Q127)</f>
        <v>#N/A</v>
      </c>
      <c r="R128" s="50" t="n">
        <f aca="false">IF((RESET=1),0,R128+K128)</f>
        <v>0</v>
      </c>
      <c r="S128" s="19" t="n">
        <f aca="false">IF(RESET=1,0,S128+N128)</f>
        <v>0</v>
      </c>
      <c r="T128" s="0" t="n">
        <f aca="false">IF(RESET=1,0,T128+IF(H128=0,1,0))</f>
        <v>0</v>
      </c>
      <c r="U128" s="0" t="n">
        <f aca="false">IF(RESET=1,0,U128+H128)</f>
        <v>0</v>
      </c>
      <c r="V128" s="19" t="n">
        <f aca="false">R128/(T128+0.00001)</f>
        <v>0</v>
      </c>
      <c r="W128" s="19" t="n">
        <f aca="false">S128/(U128+0.0001)</f>
        <v>0</v>
      </c>
      <c r="X128" s="47" t="e">
        <f aca="false">IF(Informed=1,K128,0)</f>
        <v>#N/A</v>
      </c>
      <c r="Y128" s="47" t="n">
        <f aca="false">IF(Informed=0,K128,0)</f>
        <v>0</v>
      </c>
      <c r="Z128" s="47" t="e">
        <f aca="false">IF(Informed=1,N128,0)</f>
        <v>#N/A</v>
      </c>
      <c r="AA128" s="47" t="n">
        <f aca="false">IF(Informed=0,N128,0)</f>
        <v>0</v>
      </c>
      <c r="AB128" s="51" t="e">
        <f aca="false">IF(Arterial=0,IF(Informed=1,1,0),0)</f>
        <v>#N/A</v>
      </c>
      <c r="AC128" s="51" t="e">
        <f aca="false">IF(Arterial=0,IF(Informed=0,1,0),0)</f>
        <v>#N/A</v>
      </c>
      <c r="AD128" s="51" t="e">
        <f aca="false">IF(Arterial=1,IF(Informed=1,1,0),0)</f>
        <v>#N/A</v>
      </c>
      <c r="AE128" s="51" t="e">
        <f aca="false">IF(Arterial=1,IF(Informed=0,1,0),0)</f>
        <v>#N/A</v>
      </c>
      <c r="AF128" s="44" t="e">
        <f aca="false">IF(AB128=1,(X128-G$1030)^2,0)</f>
        <v>#N/A</v>
      </c>
      <c r="AG128" s="44" t="e">
        <f aca="false">IF(AC128=1,(Y128-H$1030)^2,0)</f>
        <v>#N/A</v>
      </c>
      <c r="AH128" s="44" t="e">
        <f aca="false">IF(AD128=1,(Z128-I$1030)^2,0)</f>
        <v>#N/A</v>
      </c>
      <c r="AI128" s="44" t="e">
        <f aca="false">IF(AE128=1,(AA128-J$1030)^2,0)</f>
        <v>#N/A</v>
      </c>
    </row>
    <row r="129" customFormat="false" ht="12" hidden="false" customHeight="false" outlineLevel="0" collapsed="false">
      <c r="A129" s="29" t="n">
        <v>112</v>
      </c>
      <c r="B129" s="45" t="n">
        <f aca="true">IF(RAND()&lt;$D$8,1,0)</f>
        <v>1</v>
      </c>
      <c r="C129" s="34" t="n">
        <f aca="true">-LN(RAND())/$D$2</f>
        <v>5.9786845155725</v>
      </c>
      <c r="D129" s="46" t="n">
        <f aca="false">D128+C129</f>
        <v>169.21668158766</v>
      </c>
      <c r="E129" s="47" t="e">
        <f aca="false">MAX($D$3,(1+P128-VLOOKUP(VALUE(D129),$J$18:$Q128,7,TRUE()))*$D$3)</f>
        <v>#N/A</v>
      </c>
      <c r="F129" s="47" t="e">
        <f aca="false">MAX($D$4,(1+Q128-VLOOKUP(VALUE(D129),$M$18:$Q128,5,TRUE()))*$D$4)</f>
        <v>#N/A</v>
      </c>
      <c r="G129" s="48" t="n">
        <v>0.5</v>
      </c>
      <c r="H129" s="46" t="e">
        <f aca="true">IF((B129=1),(IF((F129&lt;E129),1,(IF((F129=E129),(IF(RAND()&lt;G129,1,0)),0)))),(IF((RAND()&lt;G129),1,0)))</f>
        <v>#N/A</v>
      </c>
      <c r="I129" s="46" t="e">
        <f aca="true">IF((H129=1),0,$D$3+$D$5*(RAND()-0.5))</f>
        <v>#N/A</v>
      </c>
      <c r="J129" s="46" t="e">
        <f aca="false">I129+MAX(D129,J128)</f>
        <v>#N/A</v>
      </c>
      <c r="K129" s="46" t="e">
        <f aca="false">IF((H129=0),J129-D129,0)</f>
        <v>#N/A</v>
      </c>
      <c r="L129" s="46" t="e">
        <f aca="true">IF(($H129=0),0,$D$4+$D$5*(RAND()-0.5))</f>
        <v>#N/A</v>
      </c>
      <c r="M129" s="46" t="e">
        <f aca="false">L129+MAX(D129,M128)</f>
        <v>#N/A</v>
      </c>
      <c r="N129" s="46" t="e">
        <f aca="false">IF((H129=1),M129-D129,0)</f>
        <v>#N/A</v>
      </c>
      <c r="O129" s="29" t="n">
        <v>112</v>
      </c>
      <c r="P129" s="49" t="e">
        <f aca="false">IF((Arterial=0),P128+1,P128)</f>
        <v>#N/A</v>
      </c>
      <c r="Q129" s="49" t="e">
        <f aca="false">IF((Arterial=1),Q128+1,Q128)</f>
        <v>#N/A</v>
      </c>
      <c r="R129" s="50" t="n">
        <f aca="false">IF((RESET=1),0,R129+K129)</f>
        <v>0</v>
      </c>
      <c r="S129" s="19" t="n">
        <f aca="false">IF(RESET=1,0,S129+N129)</f>
        <v>0</v>
      </c>
      <c r="T129" s="0" t="n">
        <f aca="false">IF(RESET=1,0,T129+IF(H129=0,1,0))</f>
        <v>0</v>
      </c>
      <c r="U129" s="0" t="n">
        <f aca="false">IF(RESET=1,0,U129+H129)</f>
        <v>0</v>
      </c>
      <c r="V129" s="19" t="n">
        <f aca="false">R129/(T129+0.00001)</f>
        <v>0</v>
      </c>
      <c r="W129" s="19" t="n">
        <f aca="false">S129/(U129+0.0001)</f>
        <v>0</v>
      </c>
      <c r="X129" s="47" t="e">
        <f aca="false">IF(Informed=1,K129,0)</f>
        <v>#N/A</v>
      </c>
      <c r="Y129" s="47" t="n">
        <f aca="false">IF(Informed=0,K129,0)</f>
        <v>0</v>
      </c>
      <c r="Z129" s="47" t="e">
        <f aca="false">IF(Informed=1,N129,0)</f>
        <v>#N/A</v>
      </c>
      <c r="AA129" s="47" t="n">
        <f aca="false">IF(Informed=0,N129,0)</f>
        <v>0</v>
      </c>
      <c r="AB129" s="51" t="e">
        <f aca="false">IF(Arterial=0,IF(Informed=1,1,0),0)</f>
        <v>#N/A</v>
      </c>
      <c r="AC129" s="51" t="e">
        <f aca="false">IF(Arterial=0,IF(Informed=0,1,0),0)</f>
        <v>#N/A</v>
      </c>
      <c r="AD129" s="51" t="e">
        <f aca="false">IF(Arterial=1,IF(Informed=1,1,0),0)</f>
        <v>#N/A</v>
      </c>
      <c r="AE129" s="51" t="e">
        <f aca="false">IF(Arterial=1,IF(Informed=0,1,0),0)</f>
        <v>#N/A</v>
      </c>
      <c r="AF129" s="44" t="e">
        <f aca="false">IF(AB129=1,(X129-G$1030)^2,0)</f>
        <v>#N/A</v>
      </c>
      <c r="AG129" s="44" t="e">
        <f aca="false">IF(AC129=1,(Y129-H$1030)^2,0)</f>
        <v>#N/A</v>
      </c>
      <c r="AH129" s="44" t="e">
        <f aca="false">IF(AD129=1,(Z129-I$1030)^2,0)</f>
        <v>#N/A</v>
      </c>
      <c r="AI129" s="44" t="e">
        <f aca="false">IF(AE129=1,(AA129-J$1030)^2,0)</f>
        <v>#N/A</v>
      </c>
    </row>
    <row r="130" customFormat="false" ht="12" hidden="false" customHeight="false" outlineLevel="0" collapsed="false">
      <c r="A130" s="29" t="n">
        <v>113</v>
      </c>
      <c r="B130" s="45" t="n">
        <f aca="true">IF(RAND()&lt;$D$8,1,0)</f>
        <v>1</v>
      </c>
      <c r="C130" s="34" t="n">
        <f aca="true">-LN(RAND())/$D$2</f>
        <v>1.4446278923251</v>
      </c>
      <c r="D130" s="46" t="n">
        <f aca="false">D129+C130</f>
        <v>170.661309479985</v>
      </c>
      <c r="E130" s="47" t="e">
        <f aca="false">MAX($D$3,(1+P129-VLOOKUP(VALUE(D130),$J$18:$Q129,7,TRUE()))*$D$3)</f>
        <v>#N/A</v>
      </c>
      <c r="F130" s="47" t="e">
        <f aca="false">MAX($D$4,(1+Q129-VLOOKUP(VALUE(D130),$M$18:$Q129,5,TRUE()))*$D$4)</f>
        <v>#N/A</v>
      </c>
      <c r="G130" s="48" t="n">
        <v>0.5</v>
      </c>
      <c r="H130" s="46" t="e">
        <f aca="true">IF((B130=1),(IF((F130&lt;E130),1,(IF((F130=E130),(IF(RAND()&lt;G130,1,0)),0)))),(IF((RAND()&lt;G130),1,0)))</f>
        <v>#N/A</v>
      </c>
      <c r="I130" s="46" t="e">
        <f aca="true">IF((H130=1),0,$D$3+$D$5*(RAND()-0.5))</f>
        <v>#N/A</v>
      </c>
      <c r="J130" s="46" t="e">
        <f aca="false">I130+MAX(D130,J129)</f>
        <v>#N/A</v>
      </c>
      <c r="K130" s="46" t="e">
        <f aca="false">IF((H130=0),J130-D130,0)</f>
        <v>#N/A</v>
      </c>
      <c r="L130" s="46" t="e">
        <f aca="true">IF(($H130=0),0,$D$4+$D$5*(RAND()-0.5))</f>
        <v>#N/A</v>
      </c>
      <c r="M130" s="46" t="e">
        <f aca="false">L130+MAX(D130,M129)</f>
        <v>#N/A</v>
      </c>
      <c r="N130" s="46" t="e">
        <f aca="false">IF((H130=1),M130-D130,0)</f>
        <v>#N/A</v>
      </c>
      <c r="O130" s="29" t="n">
        <v>113</v>
      </c>
      <c r="P130" s="49" t="e">
        <f aca="false">IF((Arterial=0),P129+1,P129)</f>
        <v>#N/A</v>
      </c>
      <c r="Q130" s="49" t="e">
        <f aca="false">IF((Arterial=1),Q129+1,Q129)</f>
        <v>#N/A</v>
      </c>
      <c r="R130" s="50" t="n">
        <f aca="false">IF((RESET=1),0,R130+K130)</f>
        <v>0</v>
      </c>
      <c r="S130" s="19" t="n">
        <f aca="false">IF(RESET=1,0,S130+N130)</f>
        <v>0</v>
      </c>
      <c r="T130" s="0" t="n">
        <f aca="false">IF(RESET=1,0,T130+IF(H130=0,1,0))</f>
        <v>0</v>
      </c>
      <c r="U130" s="0" t="n">
        <f aca="false">IF(RESET=1,0,U130+H130)</f>
        <v>0</v>
      </c>
      <c r="V130" s="19" t="n">
        <f aca="false">R130/(T130+0.00001)</f>
        <v>0</v>
      </c>
      <c r="W130" s="19" t="n">
        <f aca="false">S130/(U130+0.0001)</f>
        <v>0</v>
      </c>
      <c r="X130" s="47" t="e">
        <f aca="false">IF(Informed=1,K130,0)</f>
        <v>#N/A</v>
      </c>
      <c r="Y130" s="47" t="n">
        <f aca="false">IF(Informed=0,K130,0)</f>
        <v>0</v>
      </c>
      <c r="Z130" s="47" t="e">
        <f aca="false">IF(Informed=1,N130,0)</f>
        <v>#N/A</v>
      </c>
      <c r="AA130" s="47" t="n">
        <f aca="false">IF(Informed=0,N130,0)</f>
        <v>0</v>
      </c>
      <c r="AB130" s="51" t="e">
        <f aca="false">IF(Arterial=0,IF(Informed=1,1,0),0)</f>
        <v>#N/A</v>
      </c>
      <c r="AC130" s="51" t="e">
        <f aca="false">IF(Arterial=0,IF(Informed=0,1,0),0)</f>
        <v>#N/A</v>
      </c>
      <c r="AD130" s="51" t="e">
        <f aca="false">IF(Arterial=1,IF(Informed=1,1,0),0)</f>
        <v>#N/A</v>
      </c>
      <c r="AE130" s="51" t="e">
        <f aca="false">IF(Arterial=1,IF(Informed=0,1,0),0)</f>
        <v>#N/A</v>
      </c>
      <c r="AF130" s="44" t="e">
        <f aca="false">IF(AB130=1,(X130-G$1030)^2,0)</f>
        <v>#N/A</v>
      </c>
      <c r="AG130" s="44" t="e">
        <f aca="false">IF(AC130=1,(Y130-H$1030)^2,0)</f>
        <v>#N/A</v>
      </c>
      <c r="AH130" s="44" t="e">
        <f aca="false">IF(AD130=1,(Z130-I$1030)^2,0)</f>
        <v>#N/A</v>
      </c>
      <c r="AI130" s="44" t="e">
        <f aca="false">IF(AE130=1,(AA130-J$1030)^2,0)</f>
        <v>#N/A</v>
      </c>
    </row>
    <row r="131" customFormat="false" ht="12" hidden="false" customHeight="false" outlineLevel="0" collapsed="false">
      <c r="A131" s="29" t="n">
        <v>114</v>
      </c>
      <c r="B131" s="45" t="n">
        <f aca="true">IF(RAND()&lt;$D$8,1,0)</f>
        <v>1</v>
      </c>
      <c r="C131" s="34" t="n">
        <f aca="true">-LN(RAND())/$D$2</f>
        <v>2.32570933134666</v>
      </c>
      <c r="D131" s="46" t="n">
        <f aca="false">D130+C131</f>
        <v>172.987018811332</v>
      </c>
      <c r="E131" s="47" t="e">
        <f aca="false">MAX($D$3,(1+P130-VLOOKUP(VALUE(D131),$J$18:$Q130,7,TRUE()))*$D$3)</f>
        <v>#N/A</v>
      </c>
      <c r="F131" s="47" t="e">
        <f aca="false">MAX($D$4,(1+Q130-VLOOKUP(VALUE(D131),$M$18:$Q130,5,TRUE()))*$D$4)</f>
        <v>#N/A</v>
      </c>
      <c r="G131" s="48" t="n">
        <v>0.5</v>
      </c>
      <c r="H131" s="46" t="e">
        <f aca="true">IF((B131=1),(IF((F131&lt;E131),1,(IF((F131=E131),(IF(RAND()&lt;G131,1,0)),0)))),(IF((RAND()&lt;G131),1,0)))</f>
        <v>#N/A</v>
      </c>
      <c r="I131" s="46" t="e">
        <f aca="true">IF((H131=1),0,$D$3+$D$5*(RAND()-0.5))</f>
        <v>#N/A</v>
      </c>
      <c r="J131" s="46" t="e">
        <f aca="false">I131+MAX(D131,J130)</f>
        <v>#N/A</v>
      </c>
      <c r="K131" s="46" t="e">
        <f aca="false">IF((H131=0),J131-D131,0)</f>
        <v>#N/A</v>
      </c>
      <c r="L131" s="46" t="e">
        <f aca="true">IF(($H131=0),0,$D$4+$D$5*(RAND()-0.5))</f>
        <v>#N/A</v>
      </c>
      <c r="M131" s="46" t="e">
        <f aca="false">L131+MAX(D131,M130)</f>
        <v>#N/A</v>
      </c>
      <c r="N131" s="46" t="e">
        <f aca="false">IF((H131=1),M131-D131,0)</f>
        <v>#N/A</v>
      </c>
      <c r="O131" s="29" t="n">
        <v>114</v>
      </c>
      <c r="P131" s="49" t="e">
        <f aca="false">IF((Arterial=0),P130+1,P130)</f>
        <v>#N/A</v>
      </c>
      <c r="Q131" s="49" t="e">
        <f aca="false">IF((Arterial=1),Q130+1,Q130)</f>
        <v>#N/A</v>
      </c>
      <c r="R131" s="50" t="n">
        <f aca="false">IF((RESET=1),0,R131+K131)</f>
        <v>0</v>
      </c>
      <c r="S131" s="19" t="n">
        <f aca="false">IF(RESET=1,0,S131+N131)</f>
        <v>0</v>
      </c>
      <c r="T131" s="0" t="n">
        <f aca="false">IF(RESET=1,0,T131+IF(H131=0,1,0))</f>
        <v>0</v>
      </c>
      <c r="U131" s="0" t="n">
        <f aca="false">IF(RESET=1,0,U131+H131)</f>
        <v>0</v>
      </c>
      <c r="V131" s="19" t="n">
        <f aca="false">R131/(T131+0.00001)</f>
        <v>0</v>
      </c>
      <c r="W131" s="19" t="n">
        <f aca="false">S131/(U131+0.0001)</f>
        <v>0</v>
      </c>
      <c r="X131" s="47" t="e">
        <f aca="false">IF(Informed=1,K131,0)</f>
        <v>#N/A</v>
      </c>
      <c r="Y131" s="47" t="n">
        <f aca="false">IF(Informed=0,K131,0)</f>
        <v>0</v>
      </c>
      <c r="Z131" s="47" t="e">
        <f aca="false">IF(Informed=1,N131,0)</f>
        <v>#N/A</v>
      </c>
      <c r="AA131" s="47" t="n">
        <f aca="false">IF(Informed=0,N131,0)</f>
        <v>0</v>
      </c>
      <c r="AB131" s="51" t="e">
        <f aca="false">IF(Arterial=0,IF(Informed=1,1,0),0)</f>
        <v>#N/A</v>
      </c>
      <c r="AC131" s="51" t="e">
        <f aca="false">IF(Arterial=0,IF(Informed=0,1,0),0)</f>
        <v>#N/A</v>
      </c>
      <c r="AD131" s="51" t="e">
        <f aca="false">IF(Arterial=1,IF(Informed=1,1,0),0)</f>
        <v>#N/A</v>
      </c>
      <c r="AE131" s="51" t="e">
        <f aca="false">IF(Arterial=1,IF(Informed=0,1,0),0)</f>
        <v>#N/A</v>
      </c>
      <c r="AF131" s="44" t="e">
        <f aca="false">IF(AB131=1,(X131-G$1030)^2,0)</f>
        <v>#N/A</v>
      </c>
      <c r="AG131" s="44" t="e">
        <f aca="false">IF(AC131=1,(Y131-H$1030)^2,0)</f>
        <v>#N/A</v>
      </c>
      <c r="AH131" s="44" t="e">
        <f aca="false">IF(AD131=1,(Z131-I$1030)^2,0)</f>
        <v>#N/A</v>
      </c>
      <c r="AI131" s="44" t="e">
        <f aca="false">IF(AE131=1,(AA131-J$1030)^2,0)</f>
        <v>#N/A</v>
      </c>
    </row>
    <row r="132" customFormat="false" ht="12" hidden="false" customHeight="false" outlineLevel="0" collapsed="false">
      <c r="A132" s="29" t="n">
        <v>115</v>
      </c>
      <c r="B132" s="45" t="n">
        <f aca="true">IF(RAND()&lt;$D$8,1,0)</f>
        <v>1</v>
      </c>
      <c r="C132" s="34" t="n">
        <f aca="true">-LN(RAND())/$D$2</f>
        <v>1.0754918416688</v>
      </c>
      <c r="D132" s="46" t="n">
        <f aca="false">D131+C132</f>
        <v>174.062510653001</v>
      </c>
      <c r="E132" s="47" t="e">
        <f aca="false">MAX($D$3,(1+P131-VLOOKUP(VALUE(D132),$J$18:$Q131,7,TRUE()))*$D$3)</f>
        <v>#N/A</v>
      </c>
      <c r="F132" s="47" t="e">
        <f aca="false">MAX($D$4,(1+Q131-VLOOKUP(VALUE(D132),$M$18:$Q131,5,TRUE()))*$D$4)</f>
        <v>#N/A</v>
      </c>
      <c r="G132" s="48" t="n">
        <v>0.5</v>
      </c>
      <c r="H132" s="46" t="e">
        <f aca="true">IF((B132=1),(IF((F132&lt;E132),1,(IF((F132=E132),(IF(RAND()&lt;G132,1,0)),0)))),(IF((RAND()&lt;G132),1,0)))</f>
        <v>#N/A</v>
      </c>
      <c r="I132" s="46" t="e">
        <f aca="true">IF((H132=1),0,$D$3+$D$5*(RAND()-0.5))</f>
        <v>#N/A</v>
      </c>
      <c r="J132" s="46" t="e">
        <f aca="false">I132+MAX(D132,J131)</f>
        <v>#N/A</v>
      </c>
      <c r="K132" s="46" t="e">
        <f aca="false">IF((H132=0),J132-D132,0)</f>
        <v>#N/A</v>
      </c>
      <c r="L132" s="46" t="e">
        <f aca="true">IF(($H132=0),0,$D$4+$D$5*(RAND()-0.5))</f>
        <v>#N/A</v>
      </c>
      <c r="M132" s="46" t="e">
        <f aca="false">L132+MAX(D132,M131)</f>
        <v>#N/A</v>
      </c>
      <c r="N132" s="46" t="e">
        <f aca="false">IF((H132=1),M132-D132,0)</f>
        <v>#N/A</v>
      </c>
      <c r="O132" s="29" t="n">
        <v>115</v>
      </c>
      <c r="P132" s="49" t="e">
        <f aca="false">IF((Arterial=0),P131+1,P131)</f>
        <v>#N/A</v>
      </c>
      <c r="Q132" s="49" t="e">
        <f aca="false">IF((Arterial=1),Q131+1,Q131)</f>
        <v>#N/A</v>
      </c>
      <c r="R132" s="50" t="n">
        <f aca="false">IF((RESET=1),0,R132+K132)</f>
        <v>0</v>
      </c>
      <c r="S132" s="19" t="n">
        <f aca="false">IF(RESET=1,0,S132+N132)</f>
        <v>0</v>
      </c>
      <c r="T132" s="0" t="n">
        <f aca="false">IF(RESET=1,0,T132+IF(H132=0,1,0))</f>
        <v>0</v>
      </c>
      <c r="U132" s="0" t="n">
        <f aca="false">IF(RESET=1,0,U132+H132)</f>
        <v>0</v>
      </c>
      <c r="V132" s="19" t="n">
        <f aca="false">R132/(T132+0.00001)</f>
        <v>0</v>
      </c>
      <c r="W132" s="19" t="n">
        <f aca="false">S132/(U132+0.0001)</f>
        <v>0</v>
      </c>
      <c r="X132" s="47" t="e">
        <f aca="false">IF(Informed=1,K132,0)</f>
        <v>#N/A</v>
      </c>
      <c r="Y132" s="47" t="n">
        <f aca="false">IF(Informed=0,K132,0)</f>
        <v>0</v>
      </c>
      <c r="Z132" s="47" t="e">
        <f aca="false">IF(Informed=1,N132,0)</f>
        <v>#N/A</v>
      </c>
      <c r="AA132" s="47" t="n">
        <f aca="false">IF(Informed=0,N132,0)</f>
        <v>0</v>
      </c>
      <c r="AB132" s="51" t="e">
        <f aca="false">IF(Arterial=0,IF(Informed=1,1,0),0)</f>
        <v>#N/A</v>
      </c>
      <c r="AC132" s="51" t="e">
        <f aca="false">IF(Arterial=0,IF(Informed=0,1,0),0)</f>
        <v>#N/A</v>
      </c>
      <c r="AD132" s="51" t="e">
        <f aca="false">IF(Arterial=1,IF(Informed=1,1,0),0)</f>
        <v>#N/A</v>
      </c>
      <c r="AE132" s="51" t="e">
        <f aca="false">IF(Arterial=1,IF(Informed=0,1,0),0)</f>
        <v>#N/A</v>
      </c>
      <c r="AF132" s="44" t="e">
        <f aca="false">IF(AB132=1,(X132-G$1030)^2,0)</f>
        <v>#N/A</v>
      </c>
      <c r="AG132" s="44" t="e">
        <f aca="false">IF(AC132=1,(Y132-H$1030)^2,0)</f>
        <v>#N/A</v>
      </c>
      <c r="AH132" s="44" t="e">
        <f aca="false">IF(AD132=1,(Z132-I$1030)^2,0)</f>
        <v>#N/A</v>
      </c>
      <c r="AI132" s="44" t="e">
        <f aca="false">IF(AE132=1,(AA132-J$1030)^2,0)</f>
        <v>#N/A</v>
      </c>
    </row>
    <row r="133" customFormat="false" ht="12" hidden="false" customHeight="false" outlineLevel="0" collapsed="false">
      <c r="A133" s="29" t="n">
        <v>116</v>
      </c>
      <c r="B133" s="45" t="n">
        <f aca="true">IF(RAND()&lt;$D$8,1,0)</f>
        <v>1</v>
      </c>
      <c r="C133" s="34" t="n">
        <f aca="true">-LN(RAND())/$D$2</f>
        <v>3.34855917645638</v>
      </c>
      <c r="D133" s="46" t="n">
        <f aca="false">D132+C133</f>
        <v>177.411069829457</v>
      </c>
      <c r="E133" s="47" t="e">
        <f aca="false">MAX($D$3,(1+P132-VLOOKUP(VALUE(D133),$J$18:$Q132,7,TRUE()))*$D$3)</f>
        <v>#N/A</v>
      </c>
      <c r="F133" s="47" t="e">
        <f aca="false">MAX($D$4,(1+Q132-VLOOKUP(VALUE(D133),$M$18:$Q132,5,TRUE()))*$D$4)</f>
        <v>#N/A</v>
      </c>
      <c r="G133" s="48" t="n">
        <v>0.5</v>
      </c>
      <c r="H133" s="46" t="e">
        <f aca="true">IF((B133=1),(IF((F133&lt;E133),1,(IF((F133=E133),(IF(RAND()&lt;G133,1,0)),0)))),(IF((RAND()&lt;G133),1,0)))</f>
        <v>#N/A</v>
      </c>
      <c r="I133" s="46" t="e">
        <f aca="true">IF((H133=1),0,$D$3+$D$5*(RAND()-0.5))</f>
        <v>#N/A</v>
      </c>
      <c r="J133" s="46" t="e">
        <f aca="false">I133+MAX(D133,J132)</f>
        <v>#N/A</v>
      </c>
      <c r="K133" s="46" t="e">
        <f aca="false">IF((H133=0),J133-D133,0)</f>
        <v>#N/A</v>
      </c>
      <c r="L133" s="46" t="e">
        <f aca="true">IF(($H133=0),0,$D$4+$D$5*(RAND()-0.5))</f>
        <v>#N/A</v>
      </c>
      <c r="M133" s="46" t="e">
        <f aca="false">L133+MAX(D133,M132)</f>
        <v>#N/A</v>
      </c>
      <c r="N133" s="46" t="e">
        <f aca="false">IF((H133=1),M133-D133,0)</f>
        <v>#N/A</v>
      </c>
      <c r="O133" s="29" t="n">
        <v>116</v>
      </c>
      <c r="P133" s="49" t="e">
        <f aca="false">IF((Arterial=0),P132+1,P132)</f>
        <v>#N/A</v>
      </c>
      <c r="Q133" s="49" t="e">
        <f aca="false">IF((Arterial=1),Q132+1,Q132)</f>
        <v>#N/A</v>
      </c>
      <c r="R133" s="50" t="n">
        <f aca="false">IF((RESET=1),0,R133+K133)</f>
        <v>0</v>
      </c>
      <c r="S133" s="19" t="n">
        <f aca="false">IF(RESET=1,0,S133+N133)</f>
        <v>0</v>
      </c>
      <c r="T133" s="0" t="n">
        <f aca="false">IF(RESET=1,0,T133+IF(H133=0,1,0))</f>
        <v>0</v>
      </c>
      <c r="U133" s="0" t="n">
        <f aca="false">IF(RESET=1,0,U133+H133)</f>
        <v>0</v>
      </c>
      <c r="V133" s="19" t="n">
        <f aca="false">R133/(T133+0.00001)</f>
        <v>0</v>
      </c>
      <c r="W133" s="19" t="n">
        <f aca="false">S133/(U133+0.0001)</f>
        <v>0</v>
      </c>
      <c r="X133" s="47" t="e">
        <f aca="false">IF(Informed=1,K133,0)</f>
        <v>#N/A</v>
      </c>
      <c r="Y133" s="47" t="n">
        <f aca="false">IF(Informed=0,K133,0)</f>
        <v>0</v>
      </c>
      <c r="Z133" s="47" t="e">
        <f aca="false">IF(Informed=1,N133,0)</f>
        <v>#N/A</v>
      </c>
      <c r="AA133" s="47" t="n">
        <f aca="false">IF(Informed=0,N133,0)</f>
        <v>0</v>
      </c>
      <c r="AB133" s="51" t="e">
        <f aca="false">IF(Arterial=0,IF(Informed=1,1,0),0)</f>
        <v>#N/A</v>
      </c>
      <c r="AC133" s="51" t="e">
        <f aca="false">IF(Arterial=0,IF(Informed=0,1,0),0)</f>
        <v>#N/A</v>
      </c>
      <c r="AD133" s="51" t="e">
        <f aca="false">IF(Arterial=1,IF(Informed=1,1,0),0)</f>
        <v>#N/A</v>
      </c>
      <c r="AE133" s="51" t="e">
        <f aca="false">IF(Arterial=1,IF(Informed=0,1,0),0)</f>
        <v>#N/A</v>
      </c>
      <c r="AF133" s="44" t="e">
        <f aca="false">IF(AB133=1,(X133-G$1030)^2,0)</f>
        <v>#N/A</v>
      </c>
      <c r="AG133" s="44" t="e">
        <f aca="false">IF(AC133=1,(Y133-H$1030)^2,0)</f>
        <v>#N/A</v>
      </c>
      <c r="AH133" s="44" t="e">
        <f aca="false">IF(AD133=1,(Z133-I$1030)^2,0)</f>
        <v>#N/A</v>
      </c>
      <c r="AI133" s="44" t="e">
        <f aca="false">IF(AE133=1,(AA133-J$1030)^2,0)</f>
        <v>#N/A</v>
      </c>
    </row>
    <row r="134" customFormat="false" ht="12" hidden="false" customHeight="false" outlineLevel="0" collapsed="false">
      <c r="A134" s="29" t="n">
        <v>117</v>
      </c>
      <c r="B134" s="45" t="n">
        <f aca="true">IF(RAND()&lt;$D$8,1,0)</f>
        <v>1</v>
      </c>
      <c r="C134" s="34" t="n">
        <f aca="true">-LN(RAND())/$D$2</f>
        <v>3.46833979771779</v>
      </c>
      <c r="D134" s="46" t="n">
        <f aca="false">D133+C134</f>
        <v>180.879409627175</v>
      </c>
      <c r="E134" s="47" t="e">
        <f aca="false">MAX($D$3,(1+P133-VLOOKUP(VALUE(D134),$J$18:$Q133,7,TRUE()))*$D$3)</f>
        <v>#N/A</v>
      </c>
      <c r="F134" s="47" t="e">
        <f aca="false">MAX($D$4,(1+Q133-VLOOKUP(VALUE(D134),$M$18:$Q133,5,TRUE()))*$D$4)</f>
        <v>#N/A</v>
      </c>
      <c r="G134" s="48" t="n">
        <v>0.5</v>
      </c>
      <c r="H134" s="46" t="e">
        <f aca="true">IF((B134=1),(IF((F134&lt;E134),1,(IF((F134=E134),(IF(RAND()&lt;G134,1,0)),0)))),(IF((RAND()&lt;G134),1,0)))</f>
        <v>#N/A</v>
      </c>
      <c r="I134" s="46" t="e">
        <f aca="true">IF((H134=1),0,$D$3+$D$5*(RAND()-0.5))</f>
        <v>#N/A</v>
      </c>
      <c r="J134" s="46" t="e">
        <f aca="false">I134+MAX(D134,J133)</f>
        <v>#N/A</v>
      </c>
      <c r="K134" s="46" t="e">
        <f aca="false">IF((H134=0),J134-D134,0)</f>
        <v>#N/A</v>
      </c>
      <c r="L134" s="46" t="e">
        <f aca="true">IF(($H134=0),0,$D$4+$D$5*(RAND()-0.5))</f>
        <v>#N/A</v>
      </c>
      <c r="M134" s="46" t="e">
        <f aca="false">L134+MAX(D134,M133)</f>
        <v>#N/A</v>
      </c>
      <c r="N134" s="46" t="e">
        <f aca="false">IF((H134=1),M134-D134,0)</f>
        <v>#N/A</v>
      </c>
      <c r="O134" s="29" t="n">
        <v>117</v>
      </c>
      <c r="P134" s="49" t="e">
        <f aca="false">IF((Arterial=0),P133+1,P133)</f>
        <v>#N/A</v>
      </c>
      <c r="Q134" s="49" t="e">
        <f aca="false">IF((Arterial=1),Q133+1,Q133)</f>
        <v>#N/A</v>
      </c>
      <c r="R134" s="50" t="n">
        <f aca="false">IF((RESET=1),0,R134+K134)</f>
        <v>0</v>
      </c>
      <c r="S134" s="19" t="n">
        <f aca="false">IF(RESET=1,0,S134+N134)</f>
        <v>0</v>
      </c>
      <c r="T134" s="0" t="n">
        <f aca="false">IF(RESET=1,0,T134+IF(H134=0,1,0))</f>
        <v>0</v>
      </c>
      <c r="U134" s="0" t="n">
        <f aca="false">IF(RESET=1,0,U134+H134)</f>
        <v>0</v>
      </c>
      <c r="V134" s="19" t="n">
        <f aca="false">R134/(T134+0.00001)</f>
        <v>0</v>
      </c>
      <c r="W134" s="19" t="n">
        <f aca="false">S134/(U134+0.0001)</f>
        <v>0</v>
      </c>
      <c r="X134" s="47" t="e">
        <f aca="false">IF(Informed=1,K134,0)</f>
        <v>#N/A</v>
      </c>
      <c r="Y134" s="47" t="n">
        <f aca="false">IF(Informed=0,K134,0)</f>
        <v>0</v>
      </c>
      <c r="Z134" s="47" t="e">
        <f aca="false">IF(Informed=1,N134,0)</f>
        <v>#N/A</v>
      </c>
      <c r="AA134" s="47" t="n">
        <f aca="false">IF(Informed=0,N134,0)</f>
        <v>0</v>
      </c>
      <c r="AB134" s="51" t="e">
        <f aca="false">IF(Arterial=0,IF(Informed=1,1,0),0)</f>
        <v>#N/A</v>
      </c>
      <c r="AC134" s="51" t="e">
        <f aca="false">IF(Arterial=0,IF(Informed=0,1,0),0)</f>
        <v>#N/A</v>
      </c>
      <c r="AD134" s="51" t="e">
        <f aca="false">IF(Arterial=1,IF(Informed=1,1,0),0)</f>
        <v>#N/A</v>
      </c>
      <c r="AE134" s="51" t="e">
        <f aca="false">IF(Arterial=1,IF(Informed=0,1,0),0)</f>
        <v>#N/A</v>
      </c>
      <c r="AF134" s="44" t="e">
        <f aca="false">IF(AB134=1,(X134-G$1030)^2,0)</f>
        <v>#N/A</v>
      </c>
      <c r="AG134" s="44" t="e">
        <f aca="false">IF(AC134=1,(Y134-H$1030)^2,0)</f>
        <v>#N/A</v>
      </c>
      <c r="AH134" s="44" t="e">
        <f aca="false">IF(AD134=1,(Z134-I$1030)^2,0)</f>
        <v>#N/A</v>
      </c>
      <c r="AI134" s="44" t="e">
        <f aca="false">IF(AE134=1,(AA134-J$1030)^2,0)</f>
        <v>#N/A</v>
      </c>
    </row>
    <row r="135" customFormat="false" ht="12" hidden="false" customHeight="false" outlineLevel="0" collapsed="false">
      <c r="A135" s="29" t="n">
        <v>118</v>
      </c>
      <c r="B135" s="45" t="n">
        <f aca="true">IF(RAND()&lt;$D$8,1,0)</f>
        <v>1</v>
      </c>
      <c r="C135" s="34" t="n">
        <f aca="true">-LN(RAND())/$D$2</f>
        <v>3.34120909683682</v>
      </c>
      <c r="D135" s="46" t="n">
        <f aca="false">D134+C135</f>
        <v>184.220618724012</v>
      </c>
      <c r="E135" s="47" t="e">
        <f aca="false">MAX($D$3,(1+P134-VLOOKUP(VALUE(D135),$J$18:$Q134,7,TRUE()))*$D$3)</f>
        <v>#N/A</v>
      </c>
      <c r="F135" s="47" t="e">
        <f aca="false">MAX($D$4,(1+Q134-VLOOKUP(VALUE(D135),$M$18:$Q134,5,TRUE()))*$D$4)</f>
        <v>#N/A</v>
      </c>
      <c r="G135" s="48" t="n">
        <v>0.5</v>
      </c>
      <c r="H135" s="46" t="e">
        <f aca="true">IF((B135=1),(IF((F135&lt;E135),1,(IF((F135=E135),(IF(RAND()&lt;G135,1,0)),0)))),(IF((RAND()&lt;G135),1,0)))</f>
        <v>#N/A</v>
      </c>
      <c r="I135" s="46" t="e">
        <f aca="true">IF((H135=1),0,$D$3+$D$5*(RAND()-0.5))</f>
        <v>#N/A</v>
      </c>
      <c r="J135" s="46" t="e">
        <f aca="false">I135+MAX(D135,J134)</f>
        <v>#N/A</v>
      </c>
      <c r="K135" s="46" t="e">
        <f aca="false">IF((H135=0),J135-D135,0)</f>
        <v>#N/A</v>
      </c>
      <c r="L135" s="46" t="e">
        <f aca="true">IF(($H135=0),0,$D$4+$D$5*(RAND()-0.5))</f>
        <v>#N/A</v>
      </c>
      <c r="M135" s="46" t="e">
        <f aca="false">L135+MAX(D135,M134)</f>
        <v>#N/A</v>
      </c>
      <c r="N135" s="46" t="e">
        <f aca="false">IF((H135=1),M135-D135,0)</f>
        <v>#N/A</v>
      </c>
      <c r="O135" s="29" t="n">
        <v>118</v>
      </c>
      <c r="P135" s="49" t="e">
        <f aca="false">IF((Arterial=0),P134+1,P134)</f>
        <v>#N/A</v>
      </c>
      <c r="Q135" s="49" t="e">
        <f aca="false">IF((Arterial=1),Q134+1,Q134)</f>
        <v>#N/A</v>
      </c>
      <c r="R135" s="50" t="n">
        <f aca="false">IF((RESET=1),0,R135+K135)</f>
        <v>0</v>
      </c>
      <c r="S135" s="19" t="n">
        <f aca="false">IF(RESET=1,0,S135+N135)</f>
        <v>0</v>
      </c>
      <c r="T135" s="0" t="n">
        <f aca="false">IF(RESET=1,0,T135+IF(H135=0,1,0))</f>
        <v>0</v>
      </c>
      <c r="U135" s="0" t="n">
        <f aca="false">IF(RESET=1,0,U135+H135)</f>
        <v>0</v>
      </c>
      <c r="V135" s="19" t="n">
        <f aca="false">R135/(T135+0.00001)</f>
        <v>0</v>
      </c>
      <c r="W135" s="19" t="n">
        <f aca="false">S135/(U135+0.0001)</f>
        <v>0</v>
      </c>
      <c r="X135" s="47" t="e">
        <f aca="false">IF(Informed=1,K135,0)</f>
        <v>#N/A</v>
      </c>
      <c r="Y135" s="47" t="n">
        <f aca="false">IF(Informed=0,K135,0)</f>
        <v>0</v>
      </c>
      <c r="Z135" s="47" t="e">
        <f aca="false">IF(Informed=1,N135,0)</f>
        <v>#N/A</v>
      </c>
      <c r="AA135" s="47" t="n">
        <f aca="false">IF(Informed=0,N135,0)</f>
        <v>0</v>
      </c>
      <c r="AB135" s="51" t="e">
        <f aca="false">IF(Arterial=0,IF(Informed=1,1,0),0)</f>
        <v>#N/A</v>
      </c>
      <c r="AC135" s="51" t="e">
        <f aca="false">IF(Arterial=0,IF(Informed=0,1,0),0)</f>
        <v>#N/A</v>
      </c>
      <c r="AD135" s="51" t="e">
        <f aca="false">IF(Arterial=1,IF(Informed=1,1,0),0)</f>
        <v>#N/A</v>
      </c>
      <c r="AE135" s="51" t="e">
        <f aca="false">IF(Arterial=1,IF(Informed=0,1,0),0)</f>
        <v>#N/A</v>
      </c>
      <c r="AF135" s="44" t="e">
        <f aca="false">IF(AB135=1,(X135-G$1030)^2,0)</f>
        <v>#N/A</v>
      </c>
      <c r="AG135" s="44" t="e">
        <f aca="false">IF(AC135=1,(Y135-H$1030)^2,0)</f>
        <v>#N/A</v>
      </c>
      <c r="AH135" s="44" t="e">
        <f aca="false">IF(AD135=1,(Z135-I$1030)^2,0)</f>
        <v>#N/A</v>
      </c>
      <c r="AI135" s="44" t="e">
        <f aca="false">IF(AE135=1,(AA135-J$1030)^2,0)</f>
        <v>#N/A</v>
      </c>
    </row>
    <row r="136" customFormat="false" ht="12" hidden="false" customHeight="false" outlineLevel="0" collapsed="false">
      <c r="A136" s="29" t="n">
        <v>119</v>
      </c>
      <c r="B136" s="45" t="n">
        <f aca="true">IF(RAND()&lt;$D$8,1,0)</f>
        <v>1</v>
      </c>
      <c r="C136" s="34" t="n">
        <f aca="true">-LN(RAND())/$D$2</f>
        <v>1.31796269430402</v>
      </c>
      <c r="D136" s="46" t="n">
        <f aca="false">D135+C136</f>
        <v>185.538581418316</v>
      </c>
      <c r="E136" s="47" t="e">
        <f aca="false">MAX($D$3,(1+P135-VLOOKUP(VALUE(D136),$J$18:$Q135,7,TRUE()))*$D$3)</f>
        <v>#N/A</v>
      </c>
      <c r="F136" s="47" t="e">
        <f aca="false">MAX($D$4,(1+Q135-VLOOKUP(VALUE(D136),$M$18:$Q135,5,TRUE()))*$D$4)</f>
        <v>#N/A</v>
      </c>
      <c r="G136" s="48" t="n">
        <v>0.5</v>
      </c>
      <c r="H136" s="46" t="e">
        <f aca="true">IF((B136=1),(IF((F136&lt;E136),1,(IF((F136=E136),(IF(RAND()&lt;G136,1,0)),0)))),(IF((RAND()&lt;G136),1,0)))</f>
        <v>#N/A</v>
      </c>
      <c r="I136" s="46" t="e">
        <f aca="true">IF((H136=1),0,$D$3+$D$5*(RAND()-0.5))</f>
        <v>#N/A</v>
      </c>
      <c r="J136" s="46" t="e">
        <f aca="false">I136+MAX(D136,J135)</f>
        <v>#N/A</v>
      </c>
      <c r="K136" s="46" t="e">
        <f aca="false">IF((H136=0),J136-D136,0)</f>
        <v>#N/A</v>
      </c>
      <c r="L136" s="46" t="e">
        <f aca="true">IF(($H136=0),0,$D$4+$D$5*(RAND()-0.5))</f>
        <v>#N/A</v>
      </c>
      <c r="M136" s="46" t="e">
        <f aca="false">L136+MAX(D136,M135)</f>
        <v>#N/A</v>
      </c>
      <c r="N136" s="46" t="e">
        <f aca="false">IF((H136=1),M136-D136,0)</f>
        <v>#N/A</v>
      </c>
      <c r="O136" s="29" t="n">
        <v>119</v>
      </c>
      <c r="P136" s="49" t="e">
        <f aca="false">IF((Arterial=0),P135+1,P135)</f>
        <v>#N/A</v>
      </c>
      <c r="Q136" s="49" t="e">
        <f aca="false">IF((Arterial=1),Q135+1,Q135)</f>
        <v>#N/A</v>
      </c>
      <c r="R136" s="50" t="n">
        <f aca="false">IF((RESET=1),0,R136+K136)</f>
        <v>0</v>
      </c>
      <c r="S136" s="19" t="n">
        <f aca="false">IF(RESET=1,0,S136+N136)</f>
        <v>0</v>
      </c>
      <c r="T136" s="0" t="n">
        <f aca="false">IF(RESET=1,0,T136+IF(H136=0,1,0))</f>
        <v>0</v>
      </c>
      <c r="U136" s="0" t="n">
        <f aca="false">IF(RESET=1,0,U136+H136)</f>
        <v>0</v>
      </c>
      <c r="V136" s="19" t="n">
        <f aca="false">R136/(T136+0.00001)</f>
        <v>0</v>
      </c>
      <c r="W136" s="19" t="n">
        <f aca="false">S136/(U136+0.0001)</f>
        <v>0</v>
      </c>
      <c r="X136" s="47" t="e">
        <f aca="false">IF(Informed=1,K136,0)</f>
        <v>#N/A</v>
      </c>
      <c r="Y136" s="47" t="n">
        <f aca="false">IF(Informed=0,K136,0)</f>
        <v>0</v>
      </c>
      <c r="Z136" s="47" t="e">
        <f aca="false">IF(Informed=1,N136,0)</f>
        <v>#N/A</v>
      </c>
      <c r="AA136" s="47" t="n">
        <f aca="false">IF(Informed=0,N136,0)</f>
        <v>0</v>
      </c>
      <c r="AB136" s="51" t="e">
        <f aca="false">IF(Arterial=0,IF(Informed=1,1,0),0)</f>
        <v>#N/A</v>
      </c>
      <c r="AC136" s="51" t="e">
        <f aca="false">IF(Arterial=0,IF(Informed=0,1,0),0)</f>
        <v>#N/A</v>
      </c>
      <c r="AD136" s="51" t="e">
        <f aca="false">IF(Arterial=1,IF(Informed=1,1,0),0)</f>
        <v>#N/A</v>
      </c>
      <c r="AE136" s="51" t="e">
        <f aca="false">IF(Arterial=1,IF(Informed=0,1,0),0)</f>
        <v>#N/A</v>
      </c>
      <c r="AF136" s="44" t="e">
        <f aca="false">IF(AB136=1,(X136-G$1030)^2,0)</f>
        <v>#N/A</v>
      </c>
      <c r="AG136" s="44" t="e">
        <f aca="false">IF(AC136=1,(Y136-H$1030)^2,0)</f>
        <v>#N/A</v>
      </c>
      <c r="AH136" s="44" t="e">
        <f aca="false">IF(AD136=1,(Z136-I$1030)^2,0)</f>
        <v>#N/A</v>
      </c>
      <c r="AI136" s="44" t="e">
        <f aca="false">IF(AE136=1,(AA136-J$1030)^2,0)</f>
        <v>#N/A</v>
      </c>
    </row>
    <row r="137" customFormat="false" ht="12" hidden="false" customHeight="false" outlineLevel="0" collapsed="false">
      <c r="A137" s="29" t="n">
        <v>120</v>
      </c>
      <c r="B137" s="45" t="n">
        <f aca="true">IF(RAND()&lt;$D$8,1,0)</f>
        <v>1</v>
      </c>
      <c r="C137" s="34" t="n">
        <f aca="true">-LN(RAND())/$D$2</f>
        <v>1.48944962266953</v>
      </c>
      <c r="D137" s="46" t="n">
        <f aca="false">D136+C137</f>
        <v>187.028031040985</v>
      </c>
      <c r="E137" s="47" t="e">
        <f aca="false">MAX($D$3,(1+P136-VLOOKUP(VALUE(D137),$J$18:$Q136,7,TRUE()))*$D$3)</f>
        <v>#N/A</v>
      </c>
      <c r="F137" s="47" t="e">
        <f aca="false">MAX($D$4,(1+Q136-VLOOKUP(VALUE(D137),$M$18:$Q136,5,TRUE()))*$D$4)</f>
        <v>#N/A</v>
      </c>
      <c r="G137" s="48" t="n">
        <v>0.5</v>
      </c>
      <c r="H137" s="46" t="e">
        <f aca="true">IF((B137=1),(IF((F137&lt;E137),1,(IF((F137=E137),(IF(RAND()&lt;G137,1,0)),0)))),(IF((RAND()&lt;G137),1,0)))</f>
        <v>#N/A</v>
      </c>
      <c r="I137" s="46" t="e">
        <f aca="true">IF((H137=1),0,$D$3+$D$5*(RAND()-0.5))</f>
        <v>#N/A</v>
      </c>
      <c r="J137" s="46" t="e">
        <f aca="false">I137+MAX(D137,J136)</f>
        <v>#N/A</v>
      </c>
      <c r="K137" s="46" t="e">
        <f aca="false">IF((H137=0),J137-D137,0)</f>
        <v>#N/A</v>
      </c>
      <c r="L137" s="46" t="e">
        <f aca="true">IF(($H137=0),0,$D$4+$D$5*(RAND()-0.5))</f>
        <v>#N/A</v>
      </c>
      <c r="M137" s="46" t="e">
        <f aca="false">L137+MAX(D137,M136)</f>
        <v>#N/A</v>
      </c>
      <c r="N137" s="46" t="e">
        <f aca="false">IF((H137=1),M137-D137,0)</f>
        <v>#N/A</v>
      </c>
      <c r="O137" s="29" t="n">
        <v>120</v>
      </c>
      <c r="P137" s="49" t="e">
        <f aca="false">IF((Arterial=0),P136+1,P136)</f>
        <v>#N/A</v>
      </c>
      <c r="Q137" s="49" t="e">
        <f aca="false">IF((Arterial=1),Q136+1,Q136)</f>
        <v>#N/A</v>
      </c>
      <c r="R137" s="50" t="n">
        <f aca="false">IF((RESET=1),0,R137+K137)</f>
        <v>0</v>
      </c>
      <c r="S137" s="19" t="n">
        <f aca="false">IF(RESET=1,0,S137+N137)</f>
        <v>0</v>
      </c>
      <c r="T137" s="0" t="n">
        <f aca="false">IF(RESET=1,0,T137+IF(H137=0,1,0))</f>
        <v>0</v>
      </c>
      <c r="U137" s="0" t="n">
        <f aca="false">IF(RESET=1,0,U137+H137)</f>
        <v>0</v>
      </c>
      <c r="V137" s="19" t="n">
        <f aca="false">R137/(T137+0.00001)</f>
        <v>0</v>
      </c>
      <c r="W137" s="19" t="n">
        <f aca="false">S137/(U137+0.0001)</f>
        <v>0</v>
      </c>
      <c r="X137" s="47" t="e">
        <f aca="false">IF(Informed=1,K137,0)</f>
        <v>#N/A</v>
      </c>
      <c r="Y137" s="47" t="n">
        <f aca="false">IF(Informed=0,K137,0)</f>
        <v>0</v>
      </c>
      <c r="Z137" s="47" t="e">
        <f aca="false">IF(Informed=1,N137,0)</f>
        <v>#N/A</v>
      </c>
      <c r="AA137" s="47" t="n">
        <f aca="false">IF(Informed=0,N137,0)</f>
        <v>0</v>
      </c>
      <c r="AB137" s="51" t="e">
        <f aca="false">IF(Arterial=0,IF(Informed=1,1,0),0)</f>
        <v>#N/A</v>
      </c>
      <c r="AC137" s="51" t="e">
        <f aca="false">IF(Arterial=0,IF(Informed=0,1,0),0)</f>
        <v>#N/A</v>
      </c>
      <c r="AD137" s="51" t="e">
        <f aca="false">IF(Arterial=1,IF(Informed=1,1,0),0)</f>
        <v>#N/A</v>
      </c>
      <c r="AE137" s="51" t="e">
        <f aca="false">IF(Arterial=1,IF(Informed=0,1,0),0)</f>
        <v>#N/A</v>
      </c>
      <c r="AF137" s="44" t="e">
        <f aca="false">IF(AB137=1,(X137-G$1030)^2,0)</f>
        <v>#N/A</v>
      </c>
      <c r="AG137" s="44" t="e">
        <f aca="false">IF(AC137=1,(Y137-H$1030)^2,0)</f>
        <v>#N/A</v>
      </c>
      <c r="AH137" s="44" t="e">
        <f aca="false">IF(AD137=1,(Z137-I$1030)^2,0)</f>
        <v>#N/A</v>
      </c>
      <c r="AI137" s="44" t="e">
        <f aca="false">IF(AE137=1,(AA137-J$1030)^2,0)</f>
        <v>#N/A</v>
      </c>
    </row>
    <row r="138" customFormat="false" ht="12" hidden="false" customHeight="false" outlineLevel="0" collapsed="false">
      <c r="A138" s="29" t="n">
        <v>121</v>
      </c>
      <c r="B138" s="45" t="n">
        <f aca="true">IF(RAND()&lt;$D$8,1,0)</f>
        <v>1</v>
      </c>
      <c r="C138" s="34" t="n">
        <f aca="true">-LN(RAND())/$D$2</f>
        <v>0.106508732239366</v>
      </c>
      <c r="D138" s="46" t="n">
        <f aca="false">D137+C138</f>
        <v>187.134539773225</v>
      </c>
      <c r="E138" s="47" t="e">
        <f aca="false">MAX($D$3,(1+P137-VLOOKUP(VALUE(D138),$J$18:$Q137,7,TRUE()))*$D$3)</f>
        <v>#N/A</v>
      </c>
      <c r="F138" s="47" t="e">
        <f aca="false">MAX($D$4,(1+Q137-VLOOKUP(VALUE(D138),$M$18:$Q137,5,TRUE()))*$D$4)</f>
        <v>#N/A</v>
      </c>
      <c r="G138" s="48" t="n">
        <v>0.5</v>
      </c>
      <c r="H138" s="46" t="e">
        <f aca="true">IF((B138=1),(IF((F138&lt;E138),1,(IF((F138=E138),(IF(RAND()&lt;G138,1,0)),0)))),(IF((RAND()&lt;G138),1,0)))</f>
        <v>#N/A</v>
      </c>
      <c r="I138" s="46" t="e">
        <f aca="true">IF((H138=1),0,$D$3+$D$5*(RAND()-0.5))</f>
        <v>#N/A</v>
      </c>
      <c r="J138" s="46" t="e">
        <f aca="false">I138+MAX(D138,J137)</f>
        <v>#N/A</v>
      </c>
      <c r="K138" s="46" t="e">
        <f aca="false">IF((H138=0),J138-D138,0)</f>
        <v>#N/A</v>
      </c>
      <c r="L138" s="46" t="e">
        <f aca="true">IF(($H138=0),0,$D$4+$D$5*(RAND()-0.5))</f>
        <v>#N/A</v>
      </c>
      <c r="M138" s="46" t="e">
        <f aca="false">L138+MAX(D138,M137)</f>
        <v>#N/A</v>
      </c>
      <c r="N138" s="46" t="e">
        <f aca="false">IF((H138=1),M138-D138,0)</f>
        <v>#N/A</v>
      </c>
      <c r="O138" s="29" t="n">
        <v>121</v>
      </c>
      <c r="P138" s="49" t="e">
        <f aca="false">IF((Arterial=0),P137+1,P137)</f>
        <v>#N/A</v>
      </c>
      <c r="Q138" s="49" t="e">
        <f aca="false">IF((Arterial=1),Q137+1,Q137)</f>
        <v>#N/A</v>
      </c>
      <c r="R138" s="50" t="n">
        <f aca="false">IF((RESET=1),0,R138+K138)</f>
        <v>0</v>
      </c>
      <c r="S138" s="19" t="n">
        <f aca="false">IF(RESET=1,0,S138+N138)</f>
        <v>0</v>
      </c>
      <c r="T138" s="0" t="n">
        <f aca="false">IF(RESET=1,0,T138+IF(H138=0,1,0))</f>
        <v>0</v>
      </c>
      <c r="U138" s="0" t="n">
        <f aca="false">IF(RESET=1,0,U138+H138)</f>
        <v>0</v>
      </c>
      <c r="V138" s="19" t="n">
        <f aca="false">R138/(T138+0.00001)</f>
        <v>0</v>
      </c>
      <c r="W138" s="19" t="n">
        <f aca="false">S138/(U138+0.0001)</f>
        <v>0</v>
      </c>
      <c r="X138" s="47" t="e">
        <f aca="false">IF(Informed=1,K138,0)</f>
        <v>#N/A</v>
      </c>
      <c r="Y138" s="47" t="n">
        <f aca="false">IF(Informed=0,K138,0)</f>
        <v>0</v>
      </c>
      <c r="Z138" s="47" t="e">
        <f aca="false">IF(Informed=1,N138,0)</f>
        <v>#N/A</v>
      </c>
      <c r="AA138" s="47" t="n">
        <f aca="false">IF(Informed=0,N138,0)</f>
        <v>0</v>
      </c>
      <c r="AB138" s="51" t="e">
        <f aca="false">IF(Arterial=0,IF(Informed=1,1,0),0)</f>
        <v>#N/A</v>
      </c>
      <c r="AC138" s="51" t="e">
        <f aca="false">IF(Arterial=0,IF(Informed=0,1,0),0)</f>
        <v>#N/A</v>
      </c>
      <c r="AD138" s="51" t="e">
        <f aca="false">IF(Arterial=1,IF(Informed=1,1,0),0)</f>
        <v>#N/A</v>
      </c>
      <c r="AE138" s="51" t="e">
        <f aca="false">IF(Arterial=1,IF(Informed=0,1,0),0)</f>
        <v>#N/A</v>
      </c>
      <c r="AF138" s="44" t="e">
        <f aca="false">IF(AB138=1,(X138-G$1030)^2,0)</f>
        <v>#N/A</v>
      </c>
      <c r="AG138" s="44" t="e">
        <f aca="false">IF(AC138=1,(Y138-H$1030)^2,0)</f>
        <v>#N/A</v>
      </c>
      <c r="AH138" s="44" t="e">
        <f aca="false">IF(AD138=1,(Z138-I$1030)^2,0)</f>
        <v>#N/A</v>
      </c>
      <c r="AI138" s="44" t="e">
        <f aca="false">IF(AE138=1,(AA138-J$1030)^2,0)</f>
        <v>#N/A</v>
      </c>
    </row>
    <row r="139" customFormat="false" ht="12" hidden="false" customHeight="false" outlineLevel="0" collapsed="false">
      <c r="A139" s="29" t="n">
        <v>122</v>
      </c>
      <c r="B139" s="45" t="n">
        <f aca="true">IF(RAND()&lt;$D$8,1,0)</f>
        <v>1</v>
      </c>
      <c r="C139" s="34" t="n">
        <f aca="true">-LN(RAND())/$D$2</f>
        <v>0.877757549719157</v>
      </c>
      <c r="D139" s="46" t="n">
        <f aca="false">D138+C139</f>
        <v>188.012297322944</v>
      </c>
      <c r="E139" s="47" t="e">
        <f aca="false">MAX($D$3,(1+P138-VLOOKUP(VALUE(D139),$J$18:$Q138,7,TRUE()))*$D$3)</f>
        <v>#N/A</v>
      </c>
      <c r="F139" s="47" t="e">
        <f aca="false">MAX($D$4,(1+Q138-VLOOKUP(VALUE(D139),$M$18:$Q138,5,TRUE()))*$D$4)</f>
        <v>#N/A</v>
      </c>
      <c r="G139" s="48" t="n">
        <v>0.5</v>
      </c>
      <c r="H139" s="46" t="e">
        <f aca="true">IF((B139=1),(IF((F139&lt;E139),1,(IF((F139=E139),(IF(RAND()&lt;G139,1,0)),0)))),(IF((RAND()&lt;G139),1,0)))</f>
        <v>#N/A</v>
      </c>
      <c r="I139" s="46" t="e">
        <f aca="true">IF((H139=1),0,$D$3+$D$5*(RAND()-0.5))</f>
        <v>#N/A</v>
      </c>
      <c r="J139" s="46" t="e">
        <f aca="false">I139+MAX(D139,J138)</f>
        <v>#N/A</v>
      </c>
      <c r="K139" s="46" t="e">
        <f aca="false">IF((H139=0),J139-D139,0)</f>
        <v>#N/A</v>
      </c>
      <c r="L139" s="46" t="e">
        <f aca="true">IF(($H139=0),0,$D$4+$D$5*(RAND()-0.5))</f>
        <v>#N/A</v>
      </c>
      <c r="M139" s="46" t="e">
        <f aca="false">L139+MAX(D139,M138)</f>
        <v>#N/A</v>
      </c>
      <c r="N139" s="46" t="e">
        <f aca="false">IF((H139=1),M139-D139,0)</f>
        <v>#N/A</v>
      </c>
      <c r="O139" s="29" t="n">
        <v>122</v>
      </c>
      <c r="P139" s="49" t="e">
        <f aca="false">IF((Arterial=0),P138+1,P138)</f>
        <v>#N/A</v>
      </c>
      <c r="Q139" s="49" t="e">
        <f aca="false">IF((Arterial=1),Q138+1,Q138)</f>
        <v>#N/A</v>
      </c>
      <c r="R139" s="50" t="n">
        <f aca="false">IF((RESET=1),0,R139+K139)</f>
        <v>0</v>
      </c>
      <c r="S139" s="19" t="n">
        <f aca="false">IF(RESET=1,0,S139+N139)</f>
        <v>0</v>
      </c>
      <c r="T139" s="0" t="n">
        <f aca="false">IF(RESET=1,0,T139+IF(H139=0,1,0))</f>
        <v>0</v>
      </c>
      <c r="U139" s="0" t="n">
        <f aca="false">IF(RESET=1,0,U139+H139)</f>
        <v>0</v>
      </c>
      <c r="V139" s="19" t="n">
        <f aca="false">R139/(T139+0.00001)</f>
        <v>0</v>
      </c>
      <c r="W139" s="19" t="n">
        <f aca="false">S139/(U139+0.0001)</f>
        <v>0</v>
      </c>
      <c r="X139" s="47" t="e">
        <f aca="false">IF(Informed=1,K139,0)</f>
        <v>#N/A</v>
      </c>
      <c r="Y139" s="47" t="n">
        <f aca="false">IF(Informed=0,K139,0)</f>
        <v>0</v>
      </c>
      <c r="Z139" s="47" t="e">
        <f aca="false">IF(Informed=1,N139,0)</f>
        <v>#N/A</v>
      </c>
      <c r="AA139" s="47" t="n">
        <f aca="false">IF(Informed=0,N139,0)</f>
        <v>0</v>
      </c>
      <c r="AB139" s="51" t="e">
        <f aca="false">IF(Arterial=0,IF(Informed=1,1,0),0)</f>
        <v>#N/A</v>
      </c>
      <c r="AC139" s="51" t="e">
        <f aca="false">IF(Arterial=0,IF(Informed=0,1,0),0)</f>
        <v>#N/A</v>
      </c>
      <c r="AD139" s="51" t="e">
        <f aca="false">IF(Arterial=1,IF(Informed=1,1,0),0)</f>
        <v>#N/A</v>
      </c>
      <c r="AE139" s="51" t="e">
        <f aca="false">IF(Arterial=1,IF(Informed=0,1,0),0)</f>
        <v>#N/A</v>
      </c>
      <c r="AF139" s="44" t="e">
        <f aca="false">IF(AB139=1,(X139-G$1030)^2,0)</f>
        <v>#N/A</v>
      </c>
      <c r="AG139" s="44" t="e">
        <f aca="false">IF(AC139=1,(Y139-H$1030)^2,0)</f>
        <v>#N/A</v>
      </c>
      <c r="AH139" s="44" t="e">
        <f aca="false">IF(AD139=1,(Z139-I$1030)^2,0)</f>
        <v>#N/A</v>
      </c>
      <c r="AI139" s="44" t="e">
        <f aca="false">IF(AE139=1,(AA139-J$1030)^2,0)</f>
        <v>#N/A</v>
      </c>
    </row>
    <row r="140" customFormat="false" ht="12" hidden="false" customHeight="false" outlineLevel="0" collapsed="false">
      <c r="A140" s="29" t="n">
        <v>123</v>
      </c>
      <c r="B140" s="45" t="n">
        <f aca="true">IF(RAND()&lt;$D$8,1,0)</f>
        <v>1</v>
      </c>
      <c r="C140" s="34" t="n">
        <f aca="true">-LN(RAND())/$D$2</f>
        <v>1.75680049810481</v>
      </c>
      <c r="D140" s="46" t="n">
        <f aca="false">D139+C140</f>
        <v>189.769097821049</v>
      </c>
      <c r="E140" s="47" t="e">
        <f aca="false">MAX($D$3,(1+P139-VLOOKUP(VALUE(D140),$J$18:$Q139,7,TRUE()))*$D$3)</f>
        <v>#N/A</v>
      </c>
      <c r="F140" s="47" t="e">
        <f aca="false">MAX($D$4,(1+Q139-VLOOKUP(VALUE(D140),$M$18:$Q139,5,TRUE()))*$D$4)</f>
        <v>#N/A</v>
      </c>
      <c r="G140" s="48" t="n">
        <v>0.5</v>
      </c>
      <c r="H140" s="46" t="e">
        <f aca="true">IF((B140=1),(IF((F140&lt;E140),1,(IF((F140=E140),(IF(RAND()&lt;G140,1,0)),0)))),(IF((RAND()&lt;G140),1,0)))</f>
        <v>#N/A</v>
      </c>
      <c r="I140" s="46" t="e">
        <f aca="true">IF((H140=1),0,$D$3+$D$5*(RAND()-0.5))</f>
        <v>#N/A</v>
      </c>
      <c r="J140" s="46" t="e">
        <f aca="false">I140+MAX(D140,J139)</f>
        <v>#N/A</v>
      </c>
      <c r="K140" s="46" t="e">
        <f aca="false">IF((H140=0),J140-D140,0)</f>
        <v>#N/A</v>
      </c>
      <c r="L140" s="46" t="e">
        <f aca="true">IF(($H140=0),0,$D$4+$D$5*(RAND()-0.5))</f>
        <v>#N/A</v>
      </c>
      <c r="M140" s="46" t="e">
        <f aca="false">L140+MAX(D140,M139)</f>
        <v>#N/A</v>
      </c>
      <c r="N140" s="46" t="e">
        <f aca="false">IF((H140=1),M140-D140,0)</f>
        <v>#N/A</v>
      </c>
      <c r="O140" s="29" t="n">
        <v>123</v>
      </c>
      <c r="P140" s="49" t="e">
        <f aca="false">IF((Arterial=0),P139+1,P139)</f>
        <v>#N/A</v>
      </c>
      <c r="Q140" s="49" t="e">
        <f aca="false">IF((Arterial=1),Q139+1,Q139)</f>
        <v>#N/A</v>
      </c>
      <c r="R140" s="50" t="n">
        <f aca="false">IF((RESET=1),0,R140+K140)</f>
        <v>0</v>
      </c>
      <c r="S140" s="19" t="n">
        <f aca="false">IF(RESET=1,0,S140+N140)</f>
        <v>0</v>
      </c>
      <c r="T140" s="0" t="n">
        <f aca="false">IF(RESET=1,0,T140+IF(H140=0,1,0))</f>
        <v>0</v>
      </c>
      <c r="U140" s="0" t="n">
        <f aca="false">IF(RESET=1,0,U140+H140)</f>
        <v>0</v>
      </c>
      <c r="V140" s="19" t="n">
        <f aca="false">R140/(T140+0.00001)</f>
        <v>0</v>
      </c>
      <c r="W140" s="19" t="n">
        <f aca="false">S140/(U140+0.0001)</f>
        <v>0</v>
      </c>
      <c r="X140" s="47" t="e">
        <f aca="false">IF(Informed=1,K140,0)</f>
        <v>#N/A</v>
      </c>
      <c r="Y140" s="47" t="n">
        <f aca="false">IF(Informed=0,K140,0)</f>
        <v>0</v>
      </c>
      <c r="Z140" s="47" t="e">
        <f aca="false">IF(Informed=1,N140,0)</f>
        <v>#N/A</v>
      </c>
      <c r="AA140" s="47" t="n">
        <f aca="false">IF(Informed=0,N140,0)</f>
        <v>0</v>
      </c>
      <c r="AB140" s="51" t="e">
        <f aca="false">IF(Arterial=0,IF(Informed=1,1,0),0)</f>
        <v>#N/A</v>
      </c>
      <c r="AC140" s="51" t="e">
        <f aca="false">IF(Arterial=0,IF(Informed=0,1,0),0)</f>
        <v>#N/A</v>
      </c>
      <c r="AD140" s="51" t="e">
        <f aca="false">IF(Arterial=1,IF(Informed=1,1,0),0)</f>
        <v>#N/A</v>
      </c>
      <c r="AE140" s="51" t="e">
        <f aca="false">IF(Arterial=1,IF(Informed=0,1,0),0)</f>
        <v>#N/A</v>
      </c>
      <c r="AF140" s="44" t="e">
        <f aca="false">IF(AB140=1,(X140-G$1030)^2,0)</f>
        <v>#N/A</v>
      </c>
      <c r="AG140" s="44" t="e">
        <f aca="false">IF(AC140=1,(Y140-H$1030)^2,0)</f>
        <v>#N/A</v>
      </c>
      <c r="AH140" s="44" t="e">
        <f aca="false">IF(AD140=1,(Z140-I$1030)^2,0)</f>
        <v>#N/A</v>
      </c>
      <c r="AI140" s="44" t="e">
        <f aca="false">IF(AE140=1,(AA140-J$1030)^2,0)</f>
        <v>#N/A</v>
      </c>
    </row>
    <row r="141" customFormat="false" ht="12" hidden="false" customHeight="false" outlineLevel="0" collapsed="false">
      <c r="A141" s="29" t="n">
        <v>124</v>
      </c>
      <c r="B141" s="45" t="n">
        <f aca="true">IF(RAND()&lt;$D$8,1,0)</f>
        <v>1</v>
      </c>
      <c r="C141" s="34" t="n">
        <f aca="true">-LN(RAND())/$D$2</f>
        <v>1.3362077327018</v>
      </c>
      <c r="D141" s="46" t="n">
        <f aca="false">D140+C141</f>
        <v>191.105305553751</v>
      </c>
      <c r="E141" s="47" t="e">
        <f aca="false">MAX($D$3,(1+P140-VLOOKUP(VALUE(D141),$J$18:$Q140,7,TRUE()))*$D$3)</f>
        <v>#N/A</v>
      </c>
      <c r="F141" s="47" t="e">
        <f aca="false">MAX($D$4,(1+Q140-VLOOKUP(VALUE(D141),$M$18:$Q140,5,TRUE()))*$D$4)</f>
        <v>#N/A</v>
      </c>
      <c r="G141" s="48" t="n">
        <v>0.5</v>
      </c>
      <c r="H141" s="46" t="e">
        <f aca="true">IF((B141=1),(IF((F141&lt;E141),1,(IF((F141=E141),(IF(RAND()&lt;G141,1,0)),0)))),(IF((RAND()&lt;G141),1,0)))</f>
        <v>#N/A</v>
      </c>
      <c r="I141" s="46" t="e">
        <f aca="true">IF((H141=1),0,$D$3+$D$5*(RAND()-0.5))</f>
        <v>#N/A</v>
      </c>
      <c r="J141" s="46" t="e">
        <f aca="false">I141+MAX(D141,J140)</f>
        <v>#N/A</v>
      </c>
      <c r="K141" s="46" t="e">
        <f aca="false">IF((H141=0),J141-D141,0)</f>
        <v>#N/A</v>
      </c>
      <c r="L141" s="46" t="e">
        <f aca="true">IF(($H141=0),0,$D$4+$D$5*(RAND()-0.5))</f>
        <v>#N/A</v>
      </c>
      <c r="M141" s="46" t="e">
        <f aca="false">L141+MAX(D141,M140)</f>
        <v>#N/A</v>
      </c>
      <c r="N141" s="46" t="e">
        <f aca="false">IF((H141=1),M141-D141,0)</f>
        <v>#N/A</v>
      </c>
      <c r="O141" s="29" t="n">
        <v>124</v>
      </c>
      <c r="P141" s="49" t="e">
        <f aca="false">IF((Arterial=0),P140+1,P140)</f>
        <v>#N/A</v>
      </c>
      <c r="Q141" s="49" t="e">
        <f aca="false">IF((Arterial=1),Q140+1,Q140)</f>
        <v>#N/A</v>
      </c>
      <c r="R141" s="50" t="n">
        <f aca="false">IF((RESET=1),0,R141+K141)</f>
        <v>0</v>
      </c>
      <c r="S141" s="19" t="n">
        <f aca="false">IF(RESET=1,0,S141+N141)</f>
        <v>0</v>
      </c>
      <c r="T141" s="0" t="n">
        <f aca="false">IF(RESET=1,0,T141+IF(H141=0,1,0))</f>
        <v>0</v>
      </c>
      <c r="U141" s="0" t="n">
        <f aca="false">IF(RESET=1,0,U141+H141)</f>
        <v>0</v>
      </c>
      <c r="V141" s="19" t="n">
        <f aca="false">R141/(T141+0.00001)</f>
        <v>0</v>
      </c>
      <c r="W141" s="19" t="n">
        <f aca="false">S141/(U141+0.0001)</f>
        <v>0</v>
      </c>
      <c r="X141" s="47" t="e">
        <f aca="false">IF(Informed=1,K141,0)</f>
        <v>#N/A</v>
      </c>
      <c r="Y141" s="47" t="n">
        <f aca="false">IF(Informed=0,K141,0)</f>
        <v>0</v>
      </c>
      <c r="Z141" s="47" t="e">
        <f aca="false">IF(Informed=1,N141,0)</f>
        <v>#N/A</v>
      </c>
      <c r="AA141" s="47" t="n">
        <f aca="false">IF(Informed=0,N141,0)</f>
        <v>0</v>
      </c>
      <c r="AB141" s="51" t="e">
        <f aca="false">IF(Arterial=0,IF(Informed=1,1,0),0)</f>
        <v>#N/A</v>
      </c>
      <c r="AC141" s="51" t="e">
        <f aca="false">IF(Arterial=0,IF(Informed=0,1,0),0)</f>
        <v>#N/A</v>
      </c>
      <c r="AD141" s="51" t="e">
        <f aca="false">IF(Arterial=1,IF(Informed=1,1,0),0)</f>
        <v>#N/A</v>
      </c>
      <c r="AE141" s="51" t="e">
        <f aca="false">IF(Arterial=1,IF(Informed=0,1,0),0)</f>
        <v>#N/A</v>
      </c>
      <c r="AF141" s="44" t="e">
        <f aca="false">IF(AB141=1,(X141-G$1030)^2,0)</f>
        <v>#N/A</v>
      </c>
      <c r="AG141" s="44" t="e">
        <f aca="false">IF(AC141=1,(Y141-H$1030)^2,0)</f>
        <v>#N/A</v>
      </c>
      <c r="AH141" s="44" t="e">
        <f aca="false">IF(AD141=1,(Z141-I$1030)^2,0)</f>
        <v>#N/A</v>
      </c>
      <c r="AI141" s="44" t="e">
        <f aca="false">IF(AE141=1,(AA141-J$1030)^2,0)</f>
        <v>#N/A</v>
      </c>
    </row>
    <row r="142" customFormat="false" ht="12" hidden="false" customHeight="false" outlineLevel="0" collapsed="false">
      <c r="A142" s="29" t="n">
        <v>125</v>
      </c>
      <c r="B142" s="45" t="n">
        <f aca="true">IF(RAND()&lt;$D$8,1,0)</f>
        <v>1</v>
      </c>
      <c r="C142" s="34" t="n">
        <f aca="true">-LN(RAND())/$D$2</f>
        <v>0.242501761503685</v>
      </c>
      <c r="D142" s="46" t="n">
        <f aca="false">D141+C142</f>
        <v>191.347807315254</v>
      </c>
      <c r="E142" s="47" t="e">
        <f aca="false">MAX($D$3,(1+P141-VLOOKUP(VALUE(D142),$J$18:$Q141,7,TRUE()))*$D$3)</f>
        <v>#N/A</v>
      </c>
      <c r="F142" s="47" t="e">
        <f aca="false">MAX($D$4,(1+Q141-VLOOKUP(VALUE(D142),$M$18:$Q141,5,TRUE()))*$D$4)</f>
        <v>#N/A</v>
      </c>
      <c r="G142" s="48" t="n">
        <v>0.5</v>
      </c>
      <c r="H142" s="46" t="e">
        <f aca="true">IF((B142=1),(IF((F142&lt;E142),1,(IF((F142=E142),(IF(RAND()&lt;G142,1,0)),0)))),(IF((RAND()&lt;G142),1,0)))</f>
        <v>#N/A</v>
      </c>
      <c r="I142" s="46" t="e">
        <f aca="true">IF((H142=1),0,$D$3+$D$5*(RAND()-0.5))</f>
        <v>#N/A</v>
      </c>
      <c r="J142" s="46" t="e">
        <f aca="false">I142+MAX(D142,J141)</f>
        <v>#N/A</v>
      </c>
      <c r="K142" s="46" t="e">
        <f aca="false">IF((H142=0),J142-D142,0)</f>
        <v>#N/A</v>
      </c>
      <c r="L142" s="46" t="e">
        <f aca="true">IF(($H142=0),0,$D$4+$D$5*(RAND()-0.5))</f>
        <v>#N/A</v>
      </c>
      <c r="M142" s="46" t="e">
        <f aca="false">L142+MAX(D142,M141)</f>
        <v>#N/A</v>
      </c>
      <c r="N142" s="46" t="e">
        <f aca="false">IF((H142=1),M142-D142,0)</f>
        <v>#N/A</v>
      </c>
      <c r="O142" s="29" t="n">
        <v>125</v>
      </c>
      <c r="P142" s="49" t="e">
        <f aca="false">IF((Arterial=0),P141+1,P141)</f>
        <v>#N/A</v>
      </c>
      <c r="Q142" s="49" t="e">
        <f aca="false">IF((Arterial=1),Q141+1,Q141)</f>
        <v>#N/A</v>
      </c>
      <c r="R142" s="50" t="n">
        <f aca="false">IF((RESET=1),0,R142+K142)</f>
        <v>0</v>
      </c>
      <c r="S142" s="19" t="n">
        <f aca="false">IF(RESET=1,0,S142+N142)</f>
        <v>0</v>
      </c>
      <c r="T142" s="0" t="n">
        <f aca="false">IF(RESET=1,0,T142+IF(H142=0,1,0))</f>
        <v>0</v>
      </c>
      <c r="U142" s="0" t="n">
        <f aca="false">IF(RESET=1,0,U142+H142)</f>
        <v>0</v>
      </c>
      <c r="V142" s="19" t="n">
        <f aca="false">R142/(T142+0.00001)</f>
        <v>0</v>
      </c>
      <c r="W142" s="19" t="n">
        <f aca="false">S142/(U142+0.0001)</f>
        <v>0</v>
      </c>
      <c r="X142" s="47" t="e">
        <f aca="false">IF(Informed=1,K142,0)</f>
        <v>#N/A</v>
      </c>
      <c r="Y142" s="47" t="n">
        <f aca="false">IF(Informed=0,K142,0)</f>
        <v>0</v>
      </c>
      <c r="Z142" s="47" t="e">
        <f aca="false">IF(Informed=1,N142,0)</f>
        <v>#N/A</v>
      </c>
      <c r="AA142" s="47" t="n">
        <f aca="false">IF(Informed=0,N142,0)</f>
        <v>0</v>
      </c>
      <c r="AB142" s="51" t="e">
        <f aca="false">IF(Arterial=0,IF(Informed=1,1,0),0)</f>
        <v>#N/A</v>
      </c>
      <c r="AC142" s="51" t="e">
        <f aca="false">IF(Arterial=0,IF(Informed=0,1,0),0)</f>
        <v>#N/A</v>
      </c>
      <c r="AD142" s="51" t="e">
        <f aca="false">IF(Arterial=1,IF(Informed=1,1,0),0)</f>
        <v>#N/A</v>
      </c>
      <c r="AE142" s="51" t="e">
        <f aca="false">IF(Arterial=1,IF(Informed=0,1,0),0)</f>
        <v>#N/A</v>
      </c>
      <c r="AF142" s="44" t="e">
        <f aca="false">IF(AB142=1,(X142-G$1030)^2,0)</f>
        <v>#N/A</v>
      </c>
      <c r="AG142" s="44" t="e">
        <f aca="false">IF(AC142=1,(Y142-H$1030)^2,0)</f>
        <v>#N/A</v>
      </c>
      <c r="AH142" s="44" t="e">
        <f aca="false">IF(AD142=1,(Z142-I$1030)^2,0)</f>
        <v>#N/A</v>
      </c>
      <c r="AI142" s="44" t="e">
        <f aca="false">IF(AE142=1,(AA142-J$1030)^2,0)</f>
        <v>#N/A</v>
      </c>
    </row>
    <row r="143" customFormat="false" ht="12" hidden="false" customHeight="false" outlineLevel="0" collapsed="false">
      <c r="A143" s="29" t="n">
        <v>126</v>
      </c>
      <c r="B143" s="45" t="n">
        <f aca="true">IF(RAND()&lt;$D$8,1,0)</f>
        <v>1</v>
      </c>
      <c r="C143" s="34" t="n">
        <f aca="true">-LN(RAND())/$D$2</f>
        <v>1.22675162732937</v>
      </c>
      <c r="D143" s="46" t="n">
        <f aca="false">D142+C143</f>
        <v>192.574558942584</v>
      </c>
      <c r="E143" s="47" t="e">
        <f aca="false">MAX($D$3,(1+P142-VLOOKUP(VALUE(D143),$J$18:$Q142,7,TRUE()))*$D$3)</f>
        <v>#N/A</v>
      </c>
      <c r="F143" s="47" t="e">
        <f aca="false">MAX($D$4,(1+Q142-VLOOKUP(VALUE(D143),$M$18:$Q142,5,TRUE()))*$D$4)</f>
        <v>#N/A</v>
      </c>
      <c r="G143" s="48" t="n">
        <v>0.5</v>
      </c>
      <c r="H143" s="46" t="e">
        <f aca="true">IF((B143=1),(IF((F143&lt;E143),1,(IF((F143=E143),(IF(RAND()&lt;G143,1,0)),0)))),(IF((RAND()&lt;G143),1,0)))</f>
        <v>#N/A</v>
      </c>
      <c r="I143" s="46" t="e">
        <f aca="true">IF((H143=1),0,$D$3+$D$5*(RAND()-0.5))</f>
        <v>#N/A</v>
      </c>
      <c r="J143" s="46" t="e">
        <f aca="false">I143+MAX(D143,J142)</f>
        <v>#N/A</v>
      </c>
      <c r="K143" s="46" t="e">
        <f aca="false">IF((H143=0),J143-D143,0)</f>
        <v>#N/A</v>
      </c>
      <c r="L143" s="46" t="e">
        <f aca="true">IF(($H143=0),0,$D$4+$D$5*(RAND()-0.5))</f>
        <v>#N/A</v>
      </c>
      <c r="M143" s="46" t="e">
        <f aca="false">L143+MAX(D143,M142)</f>
        <v>#N/A</v>
      </c>
      <c r="N143" s="46" t="e">
        <f aca="false">IF((H143=1),M143-D143,0)</f>
        <v>#N/A</v>
      </c>
      <c r="O143" s="29" t="n">
        <v>126</v>
      </c>
      <c r="P143" s="49" t="e">
        <f aca="false">IF((Arterial=0),P142+1,P142)</f>
        <v>#N/A</v>
      </c>
      <c r="Q143" s="49" t="e">
        <f aca="false">IF((Arterial=1),Q142+1,Q142)</f>
        <v>#N/A</v>
      </c>
      <c r="R143" s="50" t="n">
        <f aca="false">IF((RESET=1),0,R143+K143)</f>
        <v>0</v>
      </c>
      <c r="S143" s="19" t="n">
        <f aca="false">IF(RESET=1,0,S143+N143)</f>
        <v>0</v>
      </c>
      <c r="T143" s="0" t="n">
        <f aca="false">IF(RESET=1,0,T143+IF(H143=0,1,0))</f>
        <v>0</v>
      </c>
      <c r="U143" s="0" t="n">
        <f aca="false">IF(RESET=1,0,U143+H143)</f>
        <v>0</v>
      </c>
      <c r="V143" s="19" t="n">
        <f aca="false">R143/(T143+0.00001)</f>
        <v>0</v>
      </c>
      <c r="W143" s="19" t="n">
        <f aca="false">S143/(U143+0.0001)</f>
        <v>0</v>
      </c>
      <c r="X143" s="47" t="e">
        <f aca="false">IF(Informed=1,K143,0)</f>
        <v>#N/A</v>
      </c>
      <c r="Y143" s="47" t="n">
        <f aca="false">IF(Informed=0,K143,0)</f>
        <v>0</v>
      </c>
      <c r="Z143" s="47" t="e">
        <f aca="false">IF(Informed=1,N143,0)</f>
        <v>#N/A</v>
      </c>
      <c r="AA143" s="47" t="n">
        <f aca="false">IF(Informed=0,N143,0)</f>
        <v>0</v>
      </c>
      <c r="AB143" s="51" t="e">
        <f aca="false">IF(Arterial=0,IF(Informed=1,1,0),0)</f>
        <v>#N/A</v>
      </c>
      <c r="AC143" s="51" t="e">
        <f aca="false">IF(Arterial=0,IF(Informed=0,1,0),0)</f>
        <v>#N/A</v>
      </c>
      <c r="AD143" s="51" t="e">
        <f aca="false">IF(Arterial=1,IF(Informed=1,1,0),0)</f>
        <v>#N/A</v>
      </c>
      <c r="AE143" s="51" t="e">
        <f aca="false">IF(Arterial=1,IF(Informed=0,1,0),0)</f>
        <v>#N/A</v>
      </c>
      <c r="AF143" s="44" t="e">
        <f aca="false">IF(AB143=1,(X143-G$1030)^2,0)</f>
        <v>#N/A</v>
      </c>
      <c r="AG143" s="44" t="e">
        <f aca="false">IF(AC143=1,(Y143-H$1030)^2,0)</f>
        <v>#N/A</v>
      </c>
      <c r="AH143" s="44" t="e">
        <f aca="false">IF(AD143=1,(Z143-I$1030)^2,0)</f>
        <v>#N/A</v>
      </c>
      <c r="AI143" s="44" t="e">
        <f aca="false">IF(AE143=1,(AA143-J$1030)^2,0)</f>
        <v>#N/A</v>
      </c>
    </row>
    <row r="144" customFormat="false" ht="12" hidden="false" customHeight="false" outlineLevel="0" collapsed="false">
      <c r="A144" s="29" t="n">
        <v>127</v>
      </c>
      <c r="B144" s="45" t="n">
        <f aca="true">IF(RAND()&lt;$D$8,1,0)</f>
        <v>1</v>
      </c>
      <c r="C144" s="34" t="n">
        <f aca="true">-LN(RAND())/$D$2</f>
        <v>3.05478290258225</v>
      </c>
      <c r="D144" s="46" t="n">
        <f aca="false">D143+C144</f>
        <v>195.629341845166</v>
      </c>
      <c r="E144" s="47" t="e">
        <f aca="false">MAX($D$3,(1+P143-VLOOKUP(VALUE(D144),$J$18:$Q143,7,TRUE()))*$D$3)</f>
        <v>#N/A</v>
      </c>
      <c r="F144" s="47" t="e">
        <f aca="false">MAX($D$4,(1+Q143-VLOOKUP(VALUE(D144),$M$18:$Q143,5,TRUE()))*$D$4)</f>
        <v>#N/A</v>
      </c>
      <c r="G144" s="48" t="n">
        <v>0.5</v>
      </c>
      <c r="H144" s="46" t="e">
        <f aca="true">IF((B144=1),(IF((F144&lt;E144),1,(IF((F144=E144),(IF(RAND()&lt;G144,1,0)),0)))),(IF((RAND()&lt;G144),1,0)))</f>
        <v>#N/A</v>
      </c>
      <c r="I144" s="46" t="e">
        <f aca="true">IF((H144=1),0,$D$3+$D$5*(RAND()-0.5))</f>
        <v>#N/A</v>
      </c>
      <c r="J144" s="46" t="e">
        <f aca="false">I144+MAX(D144,J143)</f>
        <v>#N/A</v>
      </c>
      <c r="K144" s="46" t="e">
        <f aca="false">IF((H144=0),J144-D144,0)</f>
        <v>#N/A</v>
      </c>
      <c r="L144" s="46" t="e">
        <f aca="true">IF(($H144=0),0,$D$4+$D$5*(RAND()-0.5))</f>
        <v>#N/A</v>
      </c>
      <c r="M144" s="46" t="e">
        <f aca="false">L144+MAX(D144,M143)</f>
        <v>#N/A</v>
      </c>
      <c r="N144" s="46" t="e">
        <f aca="false">IF((H144=1),M144-D144,0)</f>
        <v>#N/A</v>
      </c>
      <c r="O144" s="29" t="n">
        <v>127</v>
      </c>
      <c r="P144" s="49" t="e">
        <f aca="false">IF((Arterial=0),P143+1,P143)</f>
        <v>#N/A</v>
      </c>
      <c r="Q144" s="49" t="e">
        <f aca="false">IF((Arterial=1),Q143+1,Q143)</f>
        <v>#N/A</v>
      </c>
      <c r="R144" s="50" t="n">
        <f aca="false">IF((RESET=1),0,R144+K144)</f>
        <v>0</v>
      </c>
      <c r="S144" s="19" t="n">
        <f aca="false">IF(RESET=1,0,S144+N144)</f>
        <v>0</v>
      </c>
      <c r="T144" s="0" t="n">
        <f aca="false">IF(RESET=1,0,T144+IF(H144=0,1,0))</f>
        <v>0</v>
      </c>
      <c r="U144" s="0" t="n">
        <f aca="false">IF(RESET=1,0,U144+H144)</f>
        <v>0</v>
      </c>
      <c r="V144" s="19" t="n">
        <f aca="false">R144/(T144+0.00001)</f>
        <v>0</v>
      </c>
      <c r="W144" s="19" t="n">
        <f aca="false">S144/(U144+0.0001)</f>
        <v>0</v>
      </c>
      <c r="X144" s="47" t="e">
        <f aca="false">IF(Informed=1,K144,0)</f>
        <v>#N/A</v>
      </c>
      <c r="Y144" s="47" t="n">
        <f aca="false">IF(Informed=0,K144,0)</f>
        <v>0</v>
      </c>
      <c r="Z144" s="47" t="e">
        <f aca="false">IF(Informed=1,N144,0)</f>
        <v>#N/A</v>
      </c>
      <c r="AA144" s="47" t="n">
        <f aca="false">IF(Informed=0,N144,0)</f>
        <v>0</v>
      </c>
      <c r="AB144" s="51" t="e">
        <f aca="false">IF(Arterial=0,IF(Informed=1,1,0),0)</f>
        <v>#N/A</v>
      </c>
      <c r="AC144" s="51" t="e">
        <f aca="false">IF(Arterial=0,IF(Informed=0,1,0),0)</f>
        <v>#N/A</v>
      </c>
      <c r="AD144" s="51" t="e">
        <f aca="false">IF(Arterial=1,IF(Informed=1,1,0),0)</f>
        <v>#N/A</v>
      </c>
      <c r="AE144" s="51" t="e">
        <f aca="false">IF(Arterial=1,IF(Informed=0,1,0),0)</f>
        <v>#N/A</v>
      </c>
      <c r="AF144" s="44" t="e">
        <f aca="false">IF(AB144=1,(X144-G$1030)^2,0)</f>
        <v>#N/A</v>
      </c>
      <c r="AG144" s="44" t="e">
        <f aca="false">IF(AC144=1,(Y144-H$1030)^2,0)</f>
        <v>#N/A</v>
      </c>
      <c r="AH144" s="44" t="e">
        <f aca="false">IF(AD144=1,(Z144-I$1030)^2,0)</f>
        <v>#N/A</v>
      </c>
      <c r="AI144" s="44" t="e">
        <f aca="false">IF(AE144=1,(AA144-J$1030)^2,0)</f>
        <v>#N/A</v>
      </c>
    </row>
    <row r="145" customFormat="false" ht="12" hidden="false" customHeight="false" outlineLevel="0" collapsed="false">
      <c r="A145" s="29" t="n">
        <v>128</v>
      </c>
      <c r="B145" s="45" t="n">
        <f aca="true">IF(RAND()&lt;$D$8,1,0)</f>
        <v>1</v>
      </c>
      <c r="C145" s="34" t="n">
        <f aca="true">-LN(RAND())/$D$2</f>
        <v>3.98241910142442</v>
      </c>
      <c r="D145" s="46" t="n">
        <f aca="false">D144+C145</f>
        <v>199.61176094659</v>
      </c>
      <c r="E145" s="47" t="e">
        <f aca="false">MAX($D$3,(1+P144-VLOOKUP(VALUE(D145),$J$18:$Q144,7,TRUE()))*$D$3)</f>
        <v>#N/A</v>
      </c>
      <c r="F145" s="47" t="e">
        <f aca="false">MAX($D$4,(1+Q144-VLOOKUP(VALUE(D145),$M$18:$Q144,5,TRUE()))*$D$4)</f>
        <v>#N/A</v>
      </c>
      <c r="G145" s="48" t="n">
        <v>0.5</v>
      </c>
      <c r="H145" s="46" t="e">
        <f aca="true">IF((B145=1),(IF((F145&lt;E145),1,(IF((F145=E145),(IF(RAND()&lt;G145,1,0)),0)))),(IF((RAND()&lt;G145),1,0)))</f>
        <v>#N/A</v>
      </c>
      <c r="I145" s="46" t="e">
        <f aca="true">IF((H145=1),0,$D$3+$D$5*(RAND()-0.5))</f>
        <v>#N/A</v>
      </c>
      <c r="J145" s="46" t="e">
        <f aca="false">I145+MAX(D145,J144)</f>
        <v>#N/A</v>
      </c>
      <c r="K145" s="46" t="e">
        <f aca="false">IF((H145=0),J145-D145,0)</f>
        <v>#N/A</v>
      </c>
      <c r="L145" s="46" t="e">
        <f aca="true">IF(($H145=0),0,$D$4+$D$5*(RAND()-0.5))</f>
        <v>#N/A</v>
      </c>
      <c r="M145" s="46" t="e">
        <f aca="false">L145+MAX(D145,M144)</f>
        <v>#N/A</v>
      </c>
      <c r="N145" s="46" t="e">
        <f aca="false">IF((H145=1),M145-D145,0)</f>
        <v>#N/A</v>
      </c>
      <c r="O145" s="29" t="n">
        <v>128</v>
      </c>
      <c r="P145" s="49" t="e">
        <f aca="false">IF((Arterial=0),P144+1,P144)</f>
        <v>#N/A</v>
      </c>
      <c r="Q145" s="49" t="e">
        <f aca="false">IF((Arterial=1),Q144+1,Q144)</f>
        <v>#N/A</v>
      </c>
      <c r="R145" s="50" t="n">
        <f aca="false">IF((RESET=1),0,R145+K145)</f>
        <v>0</v>
      </c>
      <c r="S145" s="19" t="n">
        <f aca="false">IF(RESET=1,0,S145+N145)</f>
        <v>0</v>
      </c>
      <c r="T145" s="0" t="n">
        <f aca="false">IF(RESET=1,0,T145+IF(H145=0,1,0))</f>
        <v>0</v>
      </c>
      <c r="U145" s="0" t="n">
        <f aca="false">IF(RESET=1,0,U145+H145)</f>
        <v>0</v>
      </c>
      <c r="V145" s="19" t="n">
        <f aca="false">R145/(T145+0.00001)</f>
        <v>0</v>
      </c>
      <c r="W145" s="19" t="n">
        <f aca="false">S145/(U145+0.0001)</f>
        <v>0</v>
      </c>
      <c r="X145" s="47" t="e">
        <f aca="false">IF(Informed=1,K145,0)</f>
        <v>#N/A</v>
      </c>
      <c r="Y145" s="47" t="n">
        <f aca="false">IF(Informed=0,K145,0)</f>
        <v>0</v>
      </c>
      <c r="Z145" s="47" t="e">
        <f aca="false">IF(Informed=1,N145,0)</f>
        <v>#N/A</v>
      </c>
      <c r="AA145" s="47" t="n">
        <f aca="false">IF(Informed=0,N145,0)</f>
        <v>0</v>
      </c>
      <c r="AB145" s="51" t="e">
        <f aca="false">IF(Arterial=0,IF(Informed=1,1,0),0)</f>
        <v>#N/A</v>
      </c>
      <c r="AC145" s="51" t="e">
        <f aca="false">IF(Arterial=0,IF(Informed=0,1,0),0)</f>
        <v>#N/A</v>
      </c>
      <c r="AD145" s="51" t="e">
        <f aca="false">IF(Arterial=1,IF(Informed=1,1,0),0)</f>
        <v>#N/A</v>
      </c>
      <c r="AE145" s="51" t="e">
        <f aca="false">IF(Arterial=1,IF(Informed=0,1,0),0)</f>
        <v>#N/A</v>
      </c>
      <c r="AF145" s="44" t="e">
        <f aca="false">IF(AB145=1,(X145-G$1030)^2,0)</f>
        <v>#N/A</v>
      </c>
      <c r="AG145" s="44" t="e">
        <f aca="false">IF(AC145=1,(Y145-H$1030)^2,0)</f>
        <v>#N/A</v>
      </c>
      <c r="AH145" s="44" t="e">
        <f aca="false">IF(AD145=1,(Z145-I$1030)^2,0)</f>
        <v>#N/A</v>
      </c>
      <c r="AI145" s="44" t="e">
        <f aca="false">IF(AE145=1,(AA145-J$1030)^2,0)</f>
        <v>#N/A</v>
      </c>
    </row>
    <row r="146" customFormat="false" ht="12" hidden="false" customHeight="false" outlineLevel="0" collapsed="false">
      <c r="A146" s="29" t="n">
        <v>129</v>
      </c>
      <c r="B146" s="45" t="n">
        <f aca="true">IF(RAND()&lt;$D$8,1,0)</f>
        <v>1</v>
      </c>
      <c r="C146" s="34" t="n">
        <f aca="true">-LN(RAND())/$D$2</f>
        <v>6.62723425919378</v>
      </c>
      <c r="D146" s="46" t="n">
        <f aca="false">D145+C146</f>
        <v>206.238995205784</v>
      </c>
      <c r="E146" s="47" t="e">
        <f aca="false">MAX($D$3,(1+P145-VLOOKUP(VALUE(D146),$J$18:$Q145,7,TRUE()))*$D$3)</f>
        <v>#N/A</v>
      </c>
      <c r="F146" s="47" t="e">
        <f aca="false">MAX($D$4,(1+Q145-VLOOKUP(VALUE(D146),$M$18:$Q145,5,TRUE()))*$D$4)</f>
        <v>#N/A</v>
      </c>
      <c r="G146" s="48" t="n">
        <v>0.5</v>
      </c>
      <c r="H146" s="46" t="e">
        <f aca="true">IF((B146=1),(IF((F146&lt;E146),1,(IF((F146=E146),(IF(RAND()&lt;G146,1,0)),0)))),(IF((RAND()&lt;G146),1,0)))</f>
        <v>#N/A</v>
      </c>
      <c r="I146" s="46" t="e">
        <f aca="true">IF((H146=1),0,$D$3+$D$5*(RAND()-0.5))</f>
        <v>#N/A</v>
      </c>
      <c r="J146" s="46" t="e">
        <f aca="false">I146+MAX(D146,J145)</f>
        <v>#N/A</v>
      </c>
      <c r="K146" s="46" t="e">
        <f aca="false">IF((H146=0),J146-D146,0)</f>
        <v>#N/A</v>
      </c>
      <c r="L146" s="46" t="e">
        <f aca="true">IF(($H146=0),0,$D$4+$D$5*(RAND()-0.5))</f>
        <v>#N/A</v>
      </c>
      <c r="M146" s="46" t="e">
        <f aca="false">L146+MAX(D146,M145)</f>
        <v>#N/A</v>
      </c>
      <c r="N146" s="46" t="e">
        <f aca="false">IF((H146=1),M146-D146,0)</f>
        <v>#N/A</v>
      </c>
      <c r="O146" s="29" t="n">
        <v>129</v>
      </c>
      <c r="P146" s="49" t="e">
        <f aca="false">IF((Arterial=0),P145+1,P145)</f>
        <v>#N/A</v>
      </c>
      <c r="Q146" s="49" t="e">
        <f aca="false">IF((Arterial=1),Q145+1,Q145)</f>
        <v>#N/A</v>
      </c>
      <c r="R146" s="50" t="n">
        <f aca="false">IF((RESET=1),0,R146+K146)</f>
        <v>0</v>
      </c>
      <c r="S146" s="19" t="n">
        <f aca="false">IF(RESET=1,0,S146+N146)</f>
        <v>0</v>
      </c>
      <c r="T146" s="0" t="n">
        <f aca="false">IF(RESET=1,0,T146+IF(H146=0,1,0))</f>
        <v>0</v>
      </c>
      <c r="U146" s="0" t="n">
        <f aca="false">IF(RESET=1,0,U146+H146)</f>
        <v>0</v>
      </c>
      <c r="V146" s="19" t="n">
        <f aca="false">R146/(T146+0.00001)</f>
        <v>0</v>
      </c>
      <c r="W146" s="19" t="n">
        <f aca="false">S146/(U146+0.0001)</f>
        <v>0</v>
      </c>
      <c r="X146" s="47" t="e">
        <f aca="false">IF(Informed=1,K146,0)</f>
        <v>#N/A</v>
      </c>
      <c r="Y146" s="47" t="n">
        <f aca="false">IF(Informed=0,K146,0)</f>
        <v>0</v>
      </c>
      <c r="Z146" s="47" t="e">
        <f aca="false">IF(Informed=1,N146,0)</f>
        <v>#N/A</v>
      </c>
      <c r="AA146" s="47" t="n">
        <f aca="false">IF(Informed=0,N146,0)</f>
        <v>0</v>
      </c>
      <c r="AB146" s="51" t="e">
        <f aca="false">IF(Arterial=0,IF(Informed=1,1,0),0)</f>
        <v>#N/A</v>
      </c>
      <c r="AC146" s="51" t="e">
        <f aca="false">IF(Arterial=0,IF(Informed=0,1,0),0)</f>
        <v>#N/A</v>
      </c>
      <c r="AD146" s="51" t="e">
        <f aca="false">IF(Arterial=1,IF(Informed=1,1,0),0)</f>
        <v>#N/A</v>
      </c>
      <c r="AE146" s="51" t="e">
        <f aca="false">IF(Arterial=1,IF(Informed=0,1,0),0)</f>
        <v>#N/A</v>
      </c>
      <c r="AF146" s="44" t="e">
        <f aca="false">IF(AB146=1,(X146-G$1030)^2,0)</f>
        <v>#N/A</v>
      </c>
      <c r="AG146" s="44" t="e">
        <f aca="false">IF(AC146=1,(Y146-H$1030)^2,0)</f>
        <v>#N/A</v>
      </c>
      <c r="AH146" s="44" t="e">
        <f aca="false">IF(AD146=1,(Z146-I$1030)^2,0)</f>
        <v>#N/A</v>
      </c>
      <c r="AI146" s="44" t="e">
        <f aca="false">IF(AE146=1,(AA146-J$1030)^2,0)</f>
        <v>#N/A</v>
      </c>
    </row>
    <row r="147" customFormat="false" ht="12" hidden="false" customHeight="false" outlineLevel="0" collapsed="false">
      <c r="A147" s="29" t="n">
        <v>130</v>
      </c>
      <c r="B147" s="45" t="n">
        <f aca="true">IF(RAND()&lt;$D$8,1,0)</f>
        <v>1</v>
      </c>
      <c r="C147" s="34" t="n">
        <f aca="true">-LN(RAND())/$D$2</f>
        <v>2.75156793945611</v>
      </c>
      <c r="D147" s="46" t="n">
        <f aca="false">D146+C147</f>
        <v>208.99056314524</v>
      </c>
      <c r="E147" s="47" t="e">
        <f aca="false">MAX($D$3,(1+P146-VLOOKUP(VALUE(D147),$J$18:$Q146,7,TRUE()))*$D$3)</f>
        <v>#N/A</v>
      </c>
      <c r="F147" s="47" t="e">
        <f aca="false">MAX($D$4,(1+Q146-VLOOKUP(VALUE(D147),$M$18:$Q146,5,TRUE()))*$D$4)</f>
        <v>#N/A</v>
      </c>
      <c r="G147" s="48" t="n">
        <v>0.5</v>
      </c>
      <c r="H147" s="46" t="e">
        <f aca="true">IF((B147=1),(IF((F147&lt;E147),1,(IF((F147=E147),(IF(RAND()&lt;G147,1,0)),0)))),(IF((RAND()&lt;G147),1,0)))</f>
        <v>#N/A</v>
      </c>
      <c r="I147" s="46" t="e">
        <f aca="true">IF((H147=1),0,$D$3+$D$5*(RAND()-0.5))</f>
        <v>#N/A</v>
      </c>
      <c r="J147" s="46" t="e">
        <f aca="false">I147+MAX(D147,J146)</f>
        <v>#N/A</v>
      </c>
      <c r="K147" s="46" t="e">
        <f aca="false">IF((H147=0),J147-D147,0)</f>
        <v>#N/A</v>
      </c>
      <c r="L147" s="46" t="e">
        <f aca="true">IF(($H147=0),0,$D$4+$D$5*(RAND()-0.5))</f>
        <v>#N/A</v>
      </c>
      <c r="M147" s="46" t="e">
        <f aca="false">L147+MAX(D147,M146)</f>
        <v>#N/A</v>
      </c>
      <c r="N147" s="46" t="e">
        <f aca="false">IF((H147=1),M147-D147,0)</f>
        <v>#N/A</v>
      </c>
      <c r="O147" s="29" t="n">
        <v>130</v>
      </c>
      <c r="P147" s="49" t="e">
        <f aca="false">IF((Arterial=0),P146+1,P146)</f>
        <v>#N/A</v>
      </c>
      <c r="Q147" s="49" t="e">
        <f aca="false">IF((Arterial=1),Q146+1,Q146)</f>
        <v>#N/A</v>
      </c>
      <c r="R147" s="50" t="n">
        <f aca="false">IF((RESET=1),0,R147+K147)</f>
        <v>0</v>
      </c>
      <c r="S147" s="19" t="n">
        <f aca="false">IF(RESET=1,0,S147+N147)</f>
        <v>0</v>
      </c>
      <c r="T147" s="0" t="n">
        <f aca="false">IF(RESET=1,0,T147+IF(H147=0,1,0))</f>
        <v>0</v>
      </c>
      <c r="U147" s="0" t="n">
        <f aca="false">IF(RESET=1,0,U147+H147)</f>
        <v>0</v>
      </c>
      <c r="V147" s="19" t="n">
        <f aca="false">R147/(T147+0.00001)</f>
        <v>0</v>
      </c>
      <c r="W147" s="19" t="n">
        <f aca="false">S147/(U147+0.0001)</f>
        <v>0</v>
      </c>
      <c r="X147" s="47" t="e">
        <f aca="false">IF(Informed=1,K147,0)</f>
        <v>#N/A</v>
      </c>
      <c r="Y147" s="47" t="n">
        <f aca="false">IF(Informed=0,K147,0)</f>
        <v>0</v>
      </c>
      <c r="Z147" s="47" t="e">
        <f aca="false">IF(Informed=1,N147,0)</f>
        <v>#N/A</v>
      </c>
      <c r="AA147" s="47" t="n">
        <f aca="false">IF(Informed=0,N147,0)</f>
        <v>0</v>
      </c>
      <c r="AB147" s="51" t="e">
        <f aca="false">IF(Arterial=0,IF(Informed=1,1,0),0)</f>
        <v>#N/A</v>
      </c>
      <c r="AC147" s="51" t="e">
        <f aca="false">IF(Arterial=0,IF(Informed=0,1,0),0)</f>
        <v>#N/A</v>
      </c>
      <c r="AD147" s="51" t="e">
        <f aca="false">IF(Arterial=1,IF(Informed=1,1,0),0)</f>
        <v>#N/A</v>
      </c>
      <c r="AE147" s="51" t="e">
        <f aca="false">IF(Arterial=1,IF(Informed=0,1,0),0)</f>
        <v>#N/A</v>
      </c>
      <c r="AF147" s="44" t="e">
        <f aca="false">IF(AB147=1,(X147-G$1030)^2,0)</f>
        <v>#N/A</v>
      </c>
      <c r="AG147" s="44" t="e">
        <f aca="false">IF(AC147=1,(Y147-H$1030)^2,0)</f>
        <v>#N/A</v>
      </c>
      <c r="AH147" s="44" t="e">
        <f aca="false">IF(AD147=1,(Z147-I$1030)^2,0)</f>
        <v>#N/A</v>
      </c>
      <c r="AI147" s="44" t="e">
        <f aca="false">IF(AE147=1,(AA147-J$1030)^2,0)</f>
        <v>#N/A</v>
      </c>
    </row>
    <row r="148" customFormat="false" ht="12" hidden="false" customHeight="false" outlineLevel="0" collapsed="false">
      <c r="A148" s="29" t="n">
        <v>131</v>
      </c>
      <c r="B148" s="45" t="n">
        <f aca="true">IF(RAND()&lt;$D$8,1,0)</f>
        <v>1</v>
      </c>
      <c r="C148" s="34" t="n">
        <f aca="true">-LN(RAND())/$D$2</f>
        <v>2.47530216136544</v>
      </c>
      <c r="D148" s="46" t="n">
        <f aca="false">D147+C148</f>
        <v>211.465865306606</v>
      </c>
      <c r="E148" s="47" t="e">
        <f aca="false">MAX($D$3,(1+P147-VLOOKUP(VALUE(D148),$J$18:$Q147,7,TRUE()))*$D$3)</f>
        <v>#N/A</v>
      </c>
      <c r="F148" s="47" t="e">
        <f aca="false">MAX($D$4,(1+Q147-VLOOKUP(VALUE(D148),$M$18:$Q147,5,TRUE()))*$D$4)</f>
        <v>#N/A</v>
      </c>
      <c r="G148" s="48" t="n">
        <v>0.5</v>
      </c>
      <c r="H148" s="46" t="e">
        <f aca="true">IF((B148=1),(IF((F148&lt;E148),1,(IF((F148=E148),(IF(RAND()&lt;G148,1,0)),0)))),(IF((RAND()&lt;G148),1,0)))</f>
        <v>#N/A</v>
      </c>
      <c r="I148" s="46" t="e">
        <f aca="true">IF((H148=1),0,$D$3+$D$5*(RAND()-0.5))</f>
        <v>#N/A</v>
      </c>
      <c r="J148" s="46" t="e">
        <f aca="false">I148+MAX(D148,J147)</f>
        <v>#N/A</v>
      </c>
      <c r="K148" s="46" t="e">
        <f aca="false">IF((H148=0),J148-D148,0)</f>
        <v>#N/A</v>
      </c>
      <c r="L148" s="46" t="e">
        <f aca="true">IF(($H148=0),0,$D$4+$D$5*(RAND()-0.5))</f>
        <v>#N/A</v>
      </c>
      <c r="M148" s="46" t="e">
        <f aca="false">L148+MAX(D148,M147)</f>
        <v>#N/A</v>
      </c>
      <c r="N148" s="46" t="e">
        <f aca="false">IF((H148=1),M148-D148,0)</f>
        <v>#N/A</v>
      </c>
      <c r="O148" s="29" t="n">
        <v>131</v>
      </c>
      <c r="P148" s="49" t="e">
        <f aca="false">IF((Arterial=0),P147+1,P147)</f>
        <v>#N/A</v>
      </c>
      <c r="Q148" s="49" t="e">
        <f aca="false">IF((Arterial=1),Q147+1,Q147)</f>
        <v>#N/A</v>
      </c>
      <c r="R148" s="50" t="n">
        <f aca="false">IF((RESET=1),0,R148+K148)</f>
        <v>0</v>
      </c>
      <c r="S148" s="19" t="n">
        <f aca="false">IF(RESET=1,0,S148+N148)</f>
        <v>0</v>
      </c>
      <c r="T148" s="0" t="n">
        <f aca="false">IF(RESET=1,0,T148+IF(H148=0,1,0))</f>
        <v>0</v>
      </c>
      <c r="U148" s="0" t="n">
        <f aca="false">IF(RESET=1,0,U148+H148)</f>
        <v>0</v>
      </c>
      <c r="V148" s="19" t="n">
        <f aca="false">R148/(T148+0.00001)</f>
        <v>0</v>
      </c>
      <c r="W148" s="19" t="n">
        <f aca="false">S148/(U148+0.0001)</f>
        <v>0</v>
      </c>
      <c r="X148" s="47" t="e">
        <f aca="false">IF(Informed=1,K148,0)</f>
        <v>#N/A</v>
      </c>
      <c r="Y148" s="47" t="n">
        <f aca="false">IF(Informed=0,K148,0)</f>
        <v>0</v>
      </c>
      <c r="Z148" s="47" t="e">
        <f aca="false">IF(Informed=1,N148,0)</f>
        <v>#N/A</v>
      </c>
      <c r="AA148" s="47" t="n">
        <f aca="false">IF(Informed=0,N148,0)</f>
        <v>0</v>
      </c>
      <c r="AB148" s="51" t="e">
        <f aca="false">IF(Arterial=0,IF(Informed=1,1,0),0)</f>
        <v>#N/A</v>
      </c>
      <c r="AC148" s="51" t="e">
        <f aca="false">IF(Arterial=0,IF(Informed=0,1,0),0)</f>
        <v>#N/A</v>
      </c>
      <c r="AD148" s="51" t="e">
        <f aca="false">IF(Arterial=1,IF(Informed=1,1,0),0)</f>
        <v>#N/A</v>
      </c>
      <c r="AE148" s="51" t="e">
        <f aca="false">IF(Arterial=1,IF(Informed=0,1,0),0)</f>
        <v>#N/A</v>
      </c>
      <c r="AF148" s="44" t="e">
        <f aca="false">IF(AB148=1,(X148-G$1030)^2,0)</f>
        <v>#N/A</v>
      </c>
      <c r="AG148" s="44" t="e">
        <f aca="false">IF(AC148=1,(Y148-H$1030)^2,0)</f>
        <v>#N/A</v>
      </c>
      <c r="AH148" s="44" t="e">
        <f aca="false">IF(AD148=1,(Z148-I$1030)^2,0)</f>
        <v>#N/A</v>
      </c>
      <c r="AI148" s="44" t="e">
        <f aca="false">IF(AE148=1,(AA148-J$1030)^2,0)</f>
        <v>#N/A</v>
      </c>
    </row>
    <row r="149" customFormat="false" ht="12" hidden="false" customHeight="false" outlineLevel="0" collapsed="false">
      <c r="A149" s="29" t="n">
        <v>132</v>
      </c>
      <c r="B149" s="45" t="n">
        <f aca="true">IF(RAND()&lt;$D$8,1,0)</f>
        <v>1</v>
      </c>
      <c r="C149" s="34" t="n">
        <f aca="true">-LN(RAND())/$D$2</f>
        <v>0.346387887346819</v>
      </c>
      <c r="D149" s="46" t="n">
        <f aca="false">D148+C149</f>
        <v>211.812253193953</v>
      </c>
      <c r="E149" s="47" t="e">
        <f aca="false">MAX($D$3,(1+P148-VLOOKUP(VALUE(D149),$J$18:$Q148,7,TRUE()))*$D$3)</f>
        <v>#N/A</v>
      </c>
      <c r="F149" s="47" t="e">
        <f aca="false">MAX($D$4,(1+Q148-VLOOKUP(VALUE(D149),$M$18:$Q148,5,TRUE()))*$D$4)</f>
        <v>#N/A</v>
      </c>
      <c r="G149" s="48" t="n">
        <v>0.5</v>
      </c>
      <c r="H149" s="46" t="e">
        <f aca="true">IF((B149=1),(IF((F149&lt;E149),1,(IF((F149=E149),(IF(RAND()&lt;G149,1,0)),0)))),(IF((RAND()&lt;G149),1,0)))</f>
        <v>#N/A</v>
      </c>
      <c r="I149" s="46" t="e">
        <f aca="true">IF((H149=1),0,$D$3+$D$5*(RAND()-0.5))</f>
        <v>#N/A</v>
      </c>
      <c r="J149" s="46" t="e">
        <f aca="false">I149+MAX(D149,J148)</f>
        <v>#N/A</v>
      </c>
      <c r="K149" s="46" t="e">
        <f aca="false">IF((H149=0),J149-D149,0)</f>
        <v>#N/A</v>
      </c>
      <c r="L149" s="46" t="e">
        <f aca="true">IF(($H149=0),0,$D$4+$D$5*(RAND()-0.5))</f>
        <v>#N/A</v>
      </c>
      <c r="M149" s="46" t="e">
        <f aca="false">L149+MAX(D149,M148)</f>
        <v>#N/A</v>
      </c>
      <c r="N149" s="46" t="e">
        <f aca="false">IF((H149=1),M149-D149,0)</f>
        <v>#N/A</v>
      </c>
      <c r="O149" s="29" t="n">
        <v>132</v>
      </c>
      <c r="P149" s="49" t="e">
        <f aca="false">IF((Arterial=0),P148+1,P148)</f>
        <v>#N/A</v>
      </c>
      <c r="Q149" s="49" t="e">
        <f aca="false">IF((Arterial=1),Q148+1,Q148)</f>
        <v>#N/A</v>
      </c>
      <c r="R149" s="50" t="n">
        <f aca="false">IF((RESET=1),0,R149+K149)</f>
        <v>0</v>
      </c>
      <c r="S149" s="19" t="n">
        <f aca="false">IF(RESET=1,0,S149+N149)</f>
        <v>0</v>
      </c>
      <c r="T149" s="0" t="n">
        <f aca="false">IF(RESET=1,0,T149+IF(H149=0,1,0))</f>
        <v>0</v>
      </c>
      <c r="U149" s="0" t="n">
        <f aca="false">IF(RESET=1,0,U149+H149)</f>
        <v>0</v>
      </c>
      <c r="V149" s="19" t="n">
        <f aca="false">R149/(T149+0.00001)</f>
        <v>0</v>
      </c>
      <c r="W149" s="19" t="n">
        <f aca="false">S149/(U149+0.0001)</f>
        <v>0</v>
      </c>
      <c r="X149" s="47" t="e">
        <f aca="false">IF(Informed=1,K149,0)</f>
        <v>#N/A</v>
      </c>
      <c r="Y149" s="47" t="n">
        <f aca="false">IF(Informed=0,K149,0)</f>
        <v>0</v>
      </c>
      <c r="Z149" s="47" t="e">
        <f aca="false">IF(Informed=1,N149,0)</f>
        <v>#N/A</v>
      </c>
      <c r="AA149" s="47" t="n">
        <f aca="false">IF(Informed=0,N149,0)</f>
        <v>0</v>
      </c>
      <c r="AB149" s="51" t="e">
        <f aca="false">IF(Arterial=0,IF(Informed=1,1,0),0)</f>
        <v>#N/A</v>
      </c>
      <c r="AC149" s="51" t="e">
        <f aca="false">IF(Arterial=0,IF(Informed=0,1,0),0)</f>
        <v>#N/A</v>
      </c>
      <c r="AD149" s="51" t="e">
        <f aca="false">IF(Arterial=1,IF(Informed=1,1,0),0)</f>
        <v>#N/A</v>
      </c>
      <c r="AE149" s="51" t="e">
        <f aca="false">IF(Arterial=1,IF(Informed=0,1,0),0)</f>
        <v>#N/A</v>
      </c>
      <c r="AF149" s="44" t="e">
        <f aca="false">IF(AB149=1,(X149-G$1030)^2,0)</f>
        <v>#N/A</v>
      </c>
      <c r="AG149" s="44" t="e">
        <f aca="false">IF(AC149=1,(Y149-H$1030)^2,0)</f>
        <v>#N/A</v>
      </c>
      <c r="AH149" s="44" t="e">
        <f aca="false">IF(AD149=1,(Z149-I$1030)^2,0)</f>
        <v>#N/A</v>
      </c>
      <c r="AI149" s="44" t="e">
        <f aca="false">IF(AE149=1,(AA149-J$1030)^2,0)</f>
        <v>#N/A</v>
      </c>
    </row>
    <row r="150" customFormat="false" ht="12" hidden="false" customHeight="false" outlineLevel="0" collapsed="false">
      <c r="A150" s="29" t="n">
        <v>133</v>
      </c>
      <c r="B150" s="45" t="n">
        <f aca="true">IF(RAND()&lt;$D$8,1,0)</f>
        <v>1</v>
      </c>
      <c r="C150" s="34" t="n">
        <f aca="true">-LN(RAND())/$D$2</f>
        <v>0.113429356490554</v>
      </c>
      <c r="D150" s="46" t="n">
        <f aca="false">D149+C150</f>
        <v>211.925682550443</v>
      </c>
      <c r="E150" s="47" t="e">
        <f aca="false">MAX($D$3,(1+P149-VLOOKUP(VALUE(D150),$J$18:$Q149,7,TRUE()))*$D$3)</f>
        <v>#N/A</v>
      </c>
      <c r="F150" s="47" t="e">
        <f aca="false">MAX($D$4,(1+Q149-VLOOKUP(VALUE(D150),$M$18:$Q149,5,TRUE()))*$D$4)</f>
        <v>#N/A</v>
      </c>
      <c r="G150" s="48" t="n">
        <v>0.5</v>
      </c>
      <c r="H150" s="46" t="e">
        <f aca="true">IF((B150=1),(IF((F150&lt;E150),1,(IF((F150=E150),(IF(RAND()&lt;G150,1,0)),0)))),(IF((RAND()&lt;G150),1,0)))</f>
        <v>#N/A</v>
      </c>
      <c r="I150" s="46" t="e">
        <f aca="true">IF((H150=1),0,$D$3+$D$5*(RAND()-0.5))</f>
        <v>#N/A</v>
      </c>
      <c r="J150" s="46" t="e">
        <f aca="false">I150+MAX(D150,J149)</f>
        <v>#N/A</v>
      </c>
      <c r="K150" s="46" t="e">
        <f aca="false">IF((H150=0),J150-D150,0)</f>
        <v>#N/A</v>
      </c>
      <c r="L150" s="46" t="e">
        <f aca="true">IF(($H150=0),0,$D$4+$D$5*(RAND()-0.5))</f>
        <v>#N/A</v>
      </c>
      <c r="M150" s="46" t="e">
        <f aca="false">L150+MAX(D150,M149)</f>
        <v>#N/A</v>
      </c>
      <c r="N150" s="46" t="e">
        <f aca="false">IF((H150=1),M150-D150,0)</f>
        <v>#N/A</v>
      </c>
      <c r="O150" s="29" t="n">
        <v>133</v>
      </c>
      <c r="P150" s="49" t="e">
        <f aca="false">IF((Arterial=0),P149+1,P149)</f>
        <v>#N/A</v>
      </c>
      <c r="Q150" s="49" t="e">
        <f aca="false">IF((Arterial=1),Q149+1,Q149)</f>
        <v>#N/A</v>
      </c>
      <c r="R150" s="50" t="n">
        <f aca="false">IF((RESET=1),0,R150+K150)</f>
        <v>0</v>
      </c>
      <c r="S150" s="19" t="n">
        <f aca="false">IF(RESET=1,0,S150+N150)</f>
        <v>0</v>
      </c>
      <c r="T150" s="0" t="n">
        <f aca="false">IF(RESET=1,0,T150+IF(H150=0,1,0))</f>
        <v>0</v>
      </c>
      <c r="U150" s="0" t="n">
        <f aca="false">IF(RESET=1,0,U150+H150)</f>
        <v>0</v>
      </c>
      <c r="V150" s="19" t="n">
        <f aca="false">R150/(T150+0.00001)</f>
        <v>0</v>
      </c>
      <c r="W150" s="19" t="n">
        <f aca="false">S150/(U150+0.0001)</f>
        <v>0</v>
      </c>
      <c r="X150" s="47" t="e">
        <f aca="false">IF(Informed=1,K150,0)</f>
        <v>#N/A</v>
      </c>
      <c r="Y150" s="47" t="n">
        <f aca="false">IF(Informed=0,K150,0)</f>
        <v>0</v>
      </c>
      <c r="Z150" s="47" t="e">
        <f aca="false">IF(Informed=1,N150,0)</f>
        <v>#N/A</v>
      </c>
      <c r="AA150" s="47" t="n">
        <f aca="false">IF(Informed=0,N150,0)</f>
        <v>0</v>
      </c>
      <c r="AB150" s="51" t="e">
        <f aca="false">IF(Arterial=0,IF(Informed=1,1,0),0)</f>
        <v>#N/A</v>
      </c>
      <c r="AC150" s="51" t="e">
        <f aca="false">IF(Arterial=0,IF(Informed=0,1,0),0)</f>
        <v>#N/A</v>
      </c>
      <c r="AD150" s="51" t="e">
        <f aca="false">IF(Arterial=1,IF(Informed=1,1,0),0)</f>
        <v>#N/A</v>
      </c>
      <c r="AE150" s="51" t="e">
        <f aca="false">IF(Arterial=1,IF(Informed=0,1,0),0)</f>
        <v>#N/A</v>
      </c>
      <c r="AF150" s="44" t="e">
        <f aca="false">IF(AB150=1,(X150-G$1030)^2,0)</f>
        <v>#N/A</v>
      </c>
      <c r="AG150" s="44" t="e">
        <f aca="false">IF(AC150=1,(Y150-H$1030)^2,0)</f>
        <v>#N/A</v>
      </c>
      <c r="AH150" s="44" t="e">
        <f aca="false">IF(AD150=1,(Z150-I$1030)^2,0)</f>
        <v>#N/A</v>
      </c>
      <c r="AI150" s="44" t="e">
        <f aca="false">IF(AE150=1,(AA150-J$1030)^2,0)</f>
        <v>#N/A</v>
      </c>
    </row>
    <row r="151" customFormat="false" ht="12" hidden="false" customHeight="false" outlineLevel="0" collapsed="false">
      <c r="A151" s="29" t="n">
        <v>134</v>
      </c>
      <c r="B151" s="45" t="n">
        <f aca="true">IF(RAND()&lt;$D$8,1,0)</f>
        <v>1</v>
      </c>
      <c r="C151" s="34" t="n">
        <f aca="true">-LN(RAND())/$D$2</f>
        <v>1.28122537342492</v>
      </c>
      <c r="D151" s="46" t="n">
        <f aca="false">D150+C151</f>
        <v>213.206907923868</v>
      </c>
      <c r="E151" s="47" t="e">
        <f aca="false">MAX($D$3,(1+P150-VLOOKUP(VALUE(D151),$J$18:$Q150,7,TRUE()))*$D$3)</f>
        <v>#N/A</v>
      </c>
      <c r="F151" s="47" t="e">
        <f aca="false">MAX($D$4,(1+Q150-VLOOKUP(VALUE(D151),$M$18:$Q150,5,TRUE()))*$D$4)</f>
        <v>#N/A</v>
      </c>
      <c r="G151" s="48" t="n">
        <v>0.5</v>
      </c>
      <c r="H151" s="46" t="e">
        <f aca="true">IF((B151=1),(IF((F151&lt;E151),1,(IF((F151=E151),(IF(RAND()&lt;G151,1,0)),0)))),(IF((RAND()&lt;G151),1,0)))</f>
        <v>#N/A</v>
      </c>
      <c r="I151" s="46" t="e">
        <f aca="true">IF((H151=1),0,$D$3+$D$5*(RAND()-0.5))</f>
        <v>#N/A</v>
      </c>
      <c r="J151" s="46" t="e">
        <f aca="false">I151+MAX(D151,J150)</f>
        <v>#N/A</v>
      </c>
      <c r="K151" s="46" t="e">
        <f aca="false">IF((H151=0),J151-D151,0)</f>
        <v>#N/A</v>
      </c>
      <c r="L151" s="46" t="e">
        <f aca="true">IF(($H151=0),0,$D$4+$D$5*(RAND()-0.5))</f>
        <v>#N/A</v>
      </c>
      <c r="M151" s="46" t="e">
        <f aca="false">L151+MAX(D151,M150)</f>
        <v>#N/A</v>
      </c>
      <c r="N151" s="46" t="e">
        <f aca="false">IF((H151=1),M151-D151,0)</f>
        <v>#N/A</v>
      </c>
      <c r="O151" s="29" t="n">
        <v>134</v>
      </c>
      <c r="P151" s="49" t="e">
        <f aca="false">IF((Arterial=0),P150+1,P150)</f>
        <v>#N/A</v>
      </c>
      <c r="Q151" s="49" t="e">
        <f aca="false">IF((Arterial=1),Q150+1,Q150)</f>
        <v>#N/A</v>
      </c>
      <c r="R151" s="50" t="n">
        <f aca="false">IF((RESET=1),0,R151+K151)</f>
        <v>0</v>
      </c>
      <c r="S151" s="19" t="n">
        <f aca="false">IF(RESET=1,0,S151+N151)</f>
        <v>0</v>
      </c>
      <c r="T151" s="0" t="n">
        <f aca="false">IF(RESET=1,0,T151+IF(H151=0,1,0))</f>
        <v>0</v>
      </c>
      <c r="U151" s="0" t="n">
        <f aca="false">IF(RESET=1,0,U151+H151)</f>
        <v>0</v>
      </c>
      <c r="V151" s="19" t="n">
        <f aca="false">R151/(T151+0.00001)</f>
        <v>0</v>
      </c>
      <c r="W151" s="19" t="n">
        <f aca="false">S151/(U151+0.0001)</f>
        <v>0</v>
      </c>
      <c r="X151" s="47" t="e">
        <f aca="false">IF(Informed=1,K151,0)</f>
        <v>#N/A</v>
      </c>
      <c r="Y151" s="47" t="n">
        <f aca="false">IF(Informed=0,K151,0)</f>
        <v>0</v>
      </c>
      <c r="Z151" s="47" t="e">
        <f aca="false">IF(Informed=1,N151,0)</f>
        <v>#N/A</v>
      </c>
      <c r="AA151" s="47" t="n">
        <f aca="false">IF(Informed=0,N151,0)</f>
        <v>0</v>
      </c>
      <c r="AB151" s="51" t="e">
        <f aca="false">IF(Arterial=0,IF(Informed=1,1,0),0)</f>
        <v>#N/A</v>
      </c>
      <c r="AC151" s="51" t="e">
        <f aca="false">IF(Arterial=0,IF(Informed=0,1,0),0)</f>
        <v>#N/A</v>
      </c>
      <c r="AD151" s="51" t="e">
        <f aca="false">IF(Arterial=1,IF(Informed=1,1,0),0)</f>
        <v>#N/A</v>
      </c>
      <c r="AE151" s="51" t="e">
        <f aca="false">IF(Arterial=1,IF(Informed=0,1,0),0)</f>
        <v>#N/A</v>
      </c>
      <c r="AF151" s="44" t="e">
        <f aca="false">IF(AB151=1,(X151-G$1030)^2,0)</f>
        <v>#N/A</v>
      </c>
      <c r="AG151" s="44" t="e">
        <f aca="false">IF(AC151=1,(Y151-H$1030)^2,0)</f>
        <v>#N/A</v>
      </c>
      <c r="AH151" s="44" t="e">
        <f aca="false">IF(AD151=1,(Z151-I$1030)^2,0)</f>
        <v>#N/A</v>
      </c>
      <c r="AI151" s="44" t="e">
        <f aca="false">IF(AE151=1,(AA151-J$1030)^2,0)</f>
        <v>#N/A</v>
      </c>
    </row>
    <row r="152" customFormat="false" ht="12" hidden="false" customHeight="false" outlineLevel="0" collapsed="false">
      <c r="A152" s="29" t="n">
        <v>135</v>
      </c>
      <c r="B152" s="45" t="n">
        <f aca="true">IF(RAND()&lt;$D$8,1,0)</f>
        <v>1</v>
      </c>
      <c r="C152" s="34" t="n">
        <f aca="true">-LN(RAND())/$D$2</f>
        <v>0.19446573663543</v>
      </c>
      <c r="D152" s="46" t="n">
        <f aca="false">D151+C152</f>
        <v>213.401373660503</v>
      </c>
      <c r="E152" s="47" t="e">
        <f aca="false">MAX($D$3,(1+P151-VLOOKUP(VALUE(D152),$J$18:$Q151,7,TRUE()))*$D$3)</f>
        <v>#N/A</v>
      </c>
      <c r="F152" s="47" t="e">
        <f aca="false">MAX($D$4,(1+Q151-VLOOKUP(VALUE(D152),$M$18:$Q151,5,TRUE()))*$D$4)</f>
        <v>#N/A</v>
      </c>
      <c r="G152" s="48" t="n">
        <v>0.5</v>
      </c>
      <c r="H152" s="46" t="e">
        <f aca="true">IF((B152=1),(IF((F152&lt;E152),1,(IF((F152=E152),(IF(RAND()&lt;G152,1,0)),0)))),(IF((RAND()&lt;G152),1,0)))</f>
        <v>#N/A</v>
      </c>
      <c r="I152" s="46" t="e">
        <f aca="true">IF((H152=1),0,$D$3+$D$5*(RAND()-0.5))</f>
        <v>#N/A</v>
      </c>
      <c r="J152" s="46" t="e">
        <f aca="false">I152+MAX(D152,J151)</f>
        <v>#N/A</v>
      </c>
      <c r="K152" s="46" t="e">
        <f aca="false">IF((H152=0),J152-D152,0)</f>
        <v>#N/A</v>
      </c>
      <c r="L152" s="46" t="e">
        <f aca="true">IF(($H152=0),0,$D$4+$D$5*(RAND()-0.5))</f>
        <v>#N/A</v>
      </c>
      <c r="M152" s="46" t="e">
        <f aca="false">L152+MAX(D152,M151)</f>
        <v>#N/A</v>
      </c>
      <c r="N152" s="46" t="e">
        <f aca="false">IF((H152=1),M152-D152,0)</f>
        <v>#N/A</v>
      </c>
      <c r="O152" s="29" t="n">
        <v>135</v>
      </c>
      <c r="P152" s="49" t="e">
        <f aca="false">IF((Arterial=0),P151+1,P151)</f>
        <v>#N/A</v>
      </c>
      <c r="Q152" s="49" t="e">
        <f aca="false">IF((Arterial=1),Q151+1,Q151)</f>
        <v>#N/A</v>
      </c>
      <c r="R152" s="50" t="n">
        <f aca="false">IF((RESET=1),0,R152+K152)</f>
        <v>0</v>
      </c>
      <c r="S152" s="19" t="n">
        <f aca="false">IF(RESET=1,0,S152+N152)</f>
        <v>0</v>
      </c>
      <c r="T152" s="0" t="n">
        <f aca="false">IF(RESET=1,0,T152+IF(H152=0,1,0))</f>
        <v>0</v>
      </c>
      <c r="U152" s="0" t="n">
        <f aca="false">IF(RESET=1,0,U152+H152)</f>
        <v>0</v>
      </c>
      <c r="V152" s="19" t="n">
        <f aca="false">R152/(T152+0.00001)</f>
        <v>0</v>
      </c>
      <c r="W152" s="19" t="n">
        <f aca="false">S152/(U152+0.0001)</f>
        <v>0</v>
      </c>
      <c r="X152" s="47" t="e">
        <f aca="false">IF(Informed=1,K152,0)</f>
        <v>#N/A</v>
      </c>
      <c r="Y152" s="47" t="n">
        <f aca="false">IF(Informed=0,K152,0)</f>
        <v>0</v>
      </c>
      <c r="Z152" s="47" t="e">
        <f aca="false">IF(Informed=1,N152,0)</f>
        <v>#N/A</v>
      </c>
      <c r="AA152" s="47" t="n">
        <f aca="false">IF(Informed=0,N152,0)</f>
        <v>0</v>
      </c>
      <c r="AB152" s="51" t="e">
        <f aca="false">IF(Arterial=0,IF(Informed=1,1,0),0)</f>
        <v>#N/A</v>
      </c>
      <c r="AC152" s="51" t="e">
        <f aca="false">IF(Arterial=0,IF(Informed=0,1,0),0)</f>
        <v>#N/A</v>
      </c>
      <c r="AD152" s="51" t="e">
        <f aca="false">IF(Arterial=1,IF(Informed=1,1,0),0)</f>
        <v>#N/A</v>
      </c>
      <c r="AE152" s="51" t="e">
        <f aca="false">IF(Arterial=1,IF(Informed=0,1,0),0)</f>
        <v>#N/A</v>
      </c>
      <c r="AF152" s="44" t="e">
        <f aca="false">IF(AB152=1,(X152-G$1030)^2,0)</f>
        <v>#N/A</v>
      </c>
      <c r="AG152" s="44" t="e">
        <f aca="false">IF(AC152=1,(Y152-H$1030)^2,0)</f>
        <v>#N/A</v>
      </c>
      <c r="AH152" s="44" t="e">
        <f aca="false">IF(AD152=1,(Z152-I$1030)^2,0)</f>
        <v>#N/A</v>
      </c>
      <c r="AI152" s="44" t="e">
        <f aca="false">IF(AE152=1,(AA152-J$1030)^2,0)</f>
        <v>#N/A</v>
      </c>
    </row>
    <row r="153" customFormat="false" ht="12" hidden="false" customHeight="false" outlineLevel="0" collapsed="false">
      <c r="A153" s="29" t="n">
        <v>136</v>
      </c>
      <c r="B153" s="45" t="n">
        <f aca="true">IF(RAND()&lt;$D$8,1,0)</f>
        <v>1</v>
      </c>
      <c r="C153" s="34" t="n">
        <f aca="true">-LN(RAND())/$D$2</f>
        <v>2.40405267170303</v>
      </c>
      <c r="D153" s="46" t="n">
        <f aca="false">D152+C153</f>
        <v>215.805426332206</v>
      </c>
      <c r="E153" s="47" t="e">
        <f aca="false">MAX($D$3,(1+P152-VLOOKUP(VALUE(D153),$J$18:$Q152,7,TRUE()))*$D$3)</f>
        <v>#N/A</v>
      </c>
      <c r="F153" s="47" t="e">
        <f aca="false">MAX($D$4,(1+Q152-VLOOKUP(VALUE(D153),$M$18:$Q152,5,TRUE()))*$D$4)</f>
        <v>#N/A</v>
      </c>
      <c r="G153" s="48" t="n">
        <v>0.5</v>
      </c>
      <c r="H153" s="46" t="e">
        <f aca="true">IF((B153=1),(IF((F153&lt;E153),1,(IF((F153=E153),(IF(RAND()&lt;G153,1,0)),0)))),(IF((RAND()&lt;G153),1,0)))</f>
        <v>#N/A</v>
      </c>
      <c r="I153" s="46" t="e">
        <f aca="true">IF((H153=1),0,$D$3+$D$5*(RAND()-0.5))</f>
        <v>#N/A</v>
      </c>
      <c r="J153" s="46" t="e">
        <f aca="false">I153+MAX(D153,J152)</f>
        <v>#N/A</v>
      </c>
      <c r="K153" s="46" t="e">
        <f aca="false">IF((H153=0),J153-D153,0)</f>
        <v>#N/A</v>
      </c>
      <c r="L153" s="46" t="e">
        <f aca="true">IF(($H153=0),0,$D$4+$D$5*(RAND()-0.5))</f>
        <v>#N/A</v>
      </c>
      <c r="M153" s="46" t="e">
        <f aca="false">L153+MAX(D153,M152)</f>
        <v>#N/A</v>
      </c>
      <c r="N153" s="46" t="e">
        <f aca="false">IF((H153=1),M153-D153,0)</f>
        <v>#N/A</v>
      </c>
      <c r="O153" s="29" t="n">
        <v>136</v>
      </c>
      <c r="P153" s="49" t="e">
        <f aca="false">IF((Arterial=0),P152+1,P152)</f>
        <v>#N/A</v>
      </c>
      <c r="Q153" s="49" t="e">
        <f aca="false">IF((Arterial=1),Q152+1,Q152)</f>
        <v>#N/A</v>
      </c>
      <c r="R153" s="50" t="n">
        <f aca="false">IF((RESET=1),0,R153+K153)</f>
        <v>0</v>
      </c>
      <c r="S153" s="19" t="n">
        <f aca="false">IF(RESET=1,0,S153+N153)</f>
        <v>0</v>
      </c>
      <c r="T153" s="0" t="n">
        <f aca="false">IF(RESET=1,0,T153+IF(H153=0,1,0))</f>
        <v>0</v>
      </c>
      <c r="U153" s="0" t="n">
        <f aca="false">IF(RESET=1,0,U153+H153)</f>
        <v>0</v>
      </c>
      <c r="V153" s="19" t="n">
        <f aca="false">R153/(T153+0.00001)</f>
        <v>0</v>
      </c>
      <c r="W153" s="19" t="n">
        <f aca="false">S153/(U153+0.0001)</f>
        <v>0</v>
      </c>
      <c r="X153" s="47" t="e">
        <f aca="false">IF(Informed=1,K153,0)</f>
        <v>#N/A</v>
      </c>
      <c r="Y153" s="47" t="n">
        <f aca="false">IF(Informed=0,K153,0)</f>
        <v>0</v>
      </c>
      <c r="Z153" s="47" t="e">
        <f aca="false">IF(Informed=1,N153,0)</f>
        <v>#N/A</v>
      </c>
      <c r="AA153" s="47" t="n">
        <f aca="false">IF(Informed=0,N153,0)</f>
        <v>0</v>
      </c>
      <c r="AB153" s="51" t="e">
        <f aca="false">IF(Arterial=0,IF(Informed=1,1,0),0)</f>
        <v>#N/A</v>
      </c>
      <c r="AC153" s="51" t="e">
        <f aca="false">IF(Arterial=0,IF(Informed=0,1,0),0)</f>
        <v>#N/A</v>
      </c>
      <c r="AD153" s="51" t="e">
        <f aca="false">IF(Arterial=1,IF(Informed=1,1,0),0)</f>
        <v>#N/A</v>
      </c>
      <c r="AE153" s="51" t="e">
        <f aca="false">IF(Arterial=1,IF(Informed=0,1,0),0)</f>
        <v>#N/A</v>
      </c>
      <c r="AF153" s="44" t="e">
        <f aca="false">IF(AB153=1,(X153-G$1030)^2,0)</f>
        <v>#N/A</v>
      </c>
      <c r="AG153" s="44" t="e">
        <f aca="false">IF(AC153=1,(Y153-H$1030)^2,0)</f>
        <v>#N/A</v>
      </c>
      <c r="AH153" s="44" t="e">
        <f aca="false">IF(AD153=1,(Z153-I$1030)^2,0)</f>
        <v>#N/A</v>
      </c>
      <c r="AI153" s="44" t="e">
        <f aca="false">IF(AE153=1,(AA153-J$1030)^2,0)</f>
        <v>#N/A</v>
      </c>
    </row>
    <row r="154" customFormat="false" ht="12" hidden="false" customHeight="false" outlineLevel="0" collapsed="false">
      <c r="A154" s="29" t="n">
        <v>137</v>
      </c>
      <c r="B154" s="45" t="n">
        <f aca="true">IF(RAND()&lt;$D$8,1,0)</f>
        <v>1</v>
      </c>
      <c r="C154" s="34" t="n">
        <f aca="true">-LN(RAND())/$D$2</f>
        <v>0.681527998676407</v>
      </c>
      <c r="D154" s="46" t="n">
        <f aca="false">D153+C154</f>
        <v>216.486954330883</v>
      </c>
      <c r="E154" s="47" t="e">
        <f aca="false">MAX($D$3,(1+P153-VLOOKUP(VALUE(D154),$J$18:$Q153,7,TRUE()))*$D$3)</f>
        <v>#N/A</v>
      </c>
      <c r="F154" s="47" t="e">
        <f aca="false">MAX($D$4,(1+Q153-VLOOKUP(VALUE(D154),$M$18:$Q153,5,TRUE()))*$D$4)</f>
        <v>#N/A</v>
      </c>
      <c r="G154" s="48" t="n">
        <v>0.5</v>
      </c>
      <c r="H154" s="46" t="e">
        <f aca="true">IF((B154=1),(IF((F154&lt;E154),1,(IF((F154=E154),(IF(RAND()&lt;G154,1,0)),0)))),(IF((RAND()&lt;G154),1,0)))</f>
        <v>#N/A</v>
      </c>
      <c r="I154" s="46" t="e">
        <f aca="true">IF((H154=1),0,$D$3+$D$5*(RAND()-0.5))</f>
        <v>#N/A</v>
      </c>
      <c r="J154" s="46" t="e">
        <f aca="false">I154+MAX(D154,J153)</f>
        <v>#N/A</v>
      </c>
      <c r="K154" s="46" t="e">
        <f aca="false">IF((H154=0),J154-D154,0)</f>
        <v>#N/A</v>
      </c>
      <c r="L154" s="46" t="e">
        <f aca="true">IF(($H154=0),0,$D$4+$D$5*(RAND()-0.5))</f>
        <v>#N/A</v>
      </c>
      <c r="M154" s="46" t="e">
        <f aca="false">L154+MAX(D154,M153)</f>
        <v>#N/A</v>
      </c>
      <c r="N154" s="46" t="e">
        <f aca="false">IF((H154=1),M154-D154,0)</f>
        <v>#N/A</v>
      </c>
      <c r="O154" s="29" t="n">
        <v>137</v>
      </c>
      <c r="P154" s="49" t="e">
        <f aca="false">IF((Arterial=0),P153+1,P153)</f>
        <v>#N/A</v>
      </c>
      <c r="Q154" s="49" t="e">
        <f aca="false">IF((Arterial=1),Q153+1,Q153)</f>
        <v>#N/A</v>
      </c>
      <c r="R154" s="50" t="n">
        <f aca="false">IF((RESET=1),0,R154+K154)</f>
        <v>0</v>
      </c>
      <c r="S154" s="19" t="n">
        <f aca="false">IF(RESET=1,0,S154+N154)</f>
        <v>0</v>
      </c>
      <c r="T154" s="0" t="n">
        <f aca="false">IF(RESET=1,0,T154+IF(H154=0,1,0))</f>
        <v>0</v>
      </c>
      <c r="U154" s="0" t="n">
        <f aca="false">IF(RESET=1,0,U154+H154)</f>
        <v>0</v>
      </c>
      <c r="V154" s="19" t="n">
        <f aca="false">R154/(T154+0.00001)</f>
        <v>0</v>
      </c>
      <c r="W154" s="19" t="n">
        <f aca="false">S154/(U154+0.0001)</f>
        <v>0</v>
      </c>
      <c r="X154" s="47" t="e">
        <f aca="false">IF(Informed=1,K154,0)</f>
        <v>#N/A</v>
      </c>
      <c r="Y154" s="47" t="n">
        <f aca="false">IF(Informed=0,K154,0)</f>
        <v>0</v>
      </c>
      <c r="Z154" s="47" t="e">
        <f aca="false">IF(Informed=1,N154,0)</f>
        <v>#N/A</v>
      </c>
      <c r="AA154" s="47" t="n">
        <f aca="false">IF(Informed=0,N154,0)</f>
        <v>0</v>
      </c>
      <c r="AB154" s="51" t="e">
        <f aca="false">IF(Arterial=0,IF(Informed=1,1,0),0)</f>
        <v>#N/A</v>
      </c>
      <c r="AC154" s="51" t="e">
        <f aca="false">IF(Arterial=0,IF(Informed=0,1,0),0)</f>
        <v>#N/A</v>
      </c>
      <c r="AD154" s="51" t="e">
        <f aca="false">IF(Arterial=1,IF(Informed=1,1,0),0)</f>
        <v>#N/A</v>
      </c>
      <c r="AE154" s="51" t="e">
        <f aca="false">IF(Arterial=1,IF(Informed=0,1,0),0)</f>
        <v>#N/A</v>
      </c>
      <c r="AF154" s="44" t="e">
        <f aca="false">IF(AB154=1,(X154-G$1030)^2,0)</f>
        <v>#N/A</v>
      </c>
      <c r="AG154" s="44" t="e">
        <f aca="false">IF(AC154=1,(Y154-H$1030)^2,0)</f>
        <v>#N/A</v>
      </c>
      <c r="AH154" s="44" t="e">
        <f aca="false">IF(AD154=1,(Z154-I$1030)^2,0)</f>
        <v>#N/A</v>
      </c>
      <c r="AI154" s="44" t="e">
        <f aca="false">IF(AE154=1,(AA154-J$1030)^2,0)</f>
        <v>#N/A</v>
      </c>
    </row>
    <row r="155" customFormat="false" ht="12" hidden="false" customHeight="false" outlineLevel="0" collapsed="false">
      <c r="A155" s="29" t="n">
        <v>138</v>
      </c>
      <c r="B155" s="45" t="n">
        <f aca="true">IF(RAND()&lt;$D$8,1,0)</f>
        <v>1</v>
      </c>
      <c r="C155" s="34" t="n">
        <f aca="true">-LN(RAND())/$D$2</f>
        <v>0.514397333695759</v>
      </c>
      <c r="D155" s="46" t="n">
        <f aca="false">D154+C155</f>
        <v>217.001351664579</v>
      </c>
      <c r="E155" s="47" t="e">
        <f aca="false">MAX($D$3,(1+P154-VLOOKUP(VALUE(D155),$J$18:$Q154,7,TRUE()))*$D$3)</f>
        <v>#N/A</v>
      </c>
      <c r="F155" s="47" t="e">
        <f aca="false">MAX($D$4,(1+Q154-VLOOKUP(VALUE(D155),$M$18:$Q154,5,TRUE()))*$D$4)</f>
        <v>#N/A</v>
      </c>
      <c r="G155" s="48" t="n">
        <v>0.5</v>
      </c>
      <c r="H155" s="46" t="e">
        <f aca="true">IF((B155=1),(IF((F155&lt;E155),1,(IF((F155=E155),(IF(RAND()&lt;G155,1,0)),0)))),(IF((RAND()&lt;G155),1,0)))</f>
        <v>#N/A</v>
      </c>
      <c r="I155" s="46" t="e">
        <f aca="true">IF((H155=1),0,$D$3+$D$5*(RAND()-0.5))</f>
        <v>#N/A</v>
      </c>
      <c r="J155" s="46" t="e">
        <f aca="false">I155+MAX(D155,J154)</f>
        <v>#N/A</v>
      </c>
      <c r="K155" s="46" t="e">
        <f aca="false">IF((H155=0),J155-D155,0)</f>
        <v>#N/A</v>
      </c>
      <c r="L155" s="46" t="e">
        <f aca="true">IF(($H155=0),0,$D$4+$D$5*(RAND()-0.5))</f>
        <v>#N/A</v>
      </c>
      <c r="M155" s="46" t="e">
        <f aca="false">L155+MAX(D155,M154)</f>
        <v>#N/A</v>
      </c>
      <c r="N155" s="46" t="e">
        <f aca="false">IF((H155=1),M155-D155,0)</f>
        <v>#N/A</v>
      </c>
      <c r="O155" s="29" t="n">
        <v>138</v>
      </c>
      <c r="P155" s="49" t="e">
        <f aca="false">IF((Arterial=0),P154+1,P154)</f>
        <v>#N/A</v>
      </c>
      <c r="Q155" s="49" t="e">
        <f aca="false">IF((Arterial=1),Q154+1,Q154)</f>
        <v>#N/A</v>
      </c>
      <c r="R155" s="50" t="n">
        <f aca="false">IF((RESET=1),0,R155+K155)</f>
        <v>0</v>
      </c>
      <c r="S155" s="19" t="n">
        <f aca="false">IF(RESET=1,0,S155+N155)</f>
        <v>0</v>
      </c>
      <c r="T155" s="0" t="n">
        <f aca="false">IF(RESET=1,0,T155+IF(H155=0,1,0))</f>
        <v>0</v>
      </c>
      <c r="U155" s="0" t="n">
        <f aca="false">IF(RESET=1,0,U155+H155)</f>
        <v>0</v>
      </c>
      <c r="V155" s="19" t="n">
        <f aca="false">R155/(T155+0.00001)</f>
        <v>0</v>
      </c>
      <c r="W155" s="19" t="n">
        <f aca="false">S155/(U155+0.0001)</f>
        <v>0</v>
      </c>
      <c r="X155" s="47" t="e">
        <f aca="false">IF(Informed=1,K155,0)</f>
        <v>#N/A</v>
      </c>
      <c r="Y155" s="47" t="n">
        <f aca="false">IF(Informed=0,K155,0)</f>
        <v>0</v>
      </c>
      <c r="Z155" s="47" t="e">
        <f aca="false">IF(Informed=1,N155,0)</f>
        <v>#N/A</v>
      </c>
      <c r="AA155" s="47" t="n">
        <f aca="false">IF(Informed=0,N155,0)</f>
        <v>0</v>
      </c>
      <c r="AB155" s="51" t="e">
        <f aca="false">IF(Arterial=0,IF(Informed=1,1,0),0)</f>
        <v>#N/A</v>
      </c>
      <c r="AC155" s="51" t="e">
        <f aca="false">IF(Arterial=0,IF(Informed=0,1,0),0)</f>
        <v>#N/A</v>
      </c>
      <c r="AD155" s="51" t="e">
        <f aca="false">IF(Arterial=1,IF(Informed=1,1,0),0)</f>
        <v>#N/A</v>
      </c>
      <c r="AE155" s="51" t="e">
        <f aca="false">IF(Arterial=1,IF(Informed=0,1,0),0)</f>
        <v>#N/A</v>
      </c>
      <c r="AF155" s="44" t="e">
        <f aca="false">IF(AB155=1,(X155-G$1030)^2,0)</f>
        <v>#N/A</v>
      </c>
      <c r="AG155" s="44" t="e">
        <f aca="false">IF(AC155=1,(Y155-H$1030)^2,0)</f>
        <v>#N/A</v>
      </c>
      <c r="AH155" s="44" t="e">
        <f aca="false">IF(AD155=1,(Z155-I$1030)^2,0)</f>
        <v>#N/A</v>
      </c>
      <c r="AI155" s="44" t="e">
        <f aca="false">IF(AE155=1,(AA155-J$1030)^2,0)</f>
        <v>#N/A</v>
      </c>
    </row>
    <row r="156" customFormat="false" ht="12" hidden="false" customHeight="false" outlineLevel="0" collapsed="false">
      <c r="A156" s="29" t="n">
        <v>139</v>
      </c>
      <c r="B156" s="45" t="n">
        <f aca="true">IF(RAND()&lt;$D$8,1,0)</f>
        <v>1</v>
      </c>
      <c r="C156" s="34" t="n">
        <f aca="true">-LN(RAND())/$D$2</f>
        <v>2.29894989242812</v>
      </c>
      <c r="D156" s="46" t="n">
        <f aca="false">D155+C156</f>
        <v>219.300301557007</v>
      </c>
      <c r="E156" s="47" t="e">
        <f aca="false">MAX($D$3,(1+P155-VLOOKUP(VALUE(D156),$J$18:$Q155,7,TRUE()))*$D$3)</f>
        <v>#N/A</v>
      </c>
      <c r="F156" s="47" t="e">
        <f aca="false">MAX($D$4,(1+Q155-VLOOKUP(VALUE(D156),$M$18:$Q155,5,TRUE()))*$D$4)</f>
        <v>#N/A</v>
      </c>
      <c r="G156" s="48" t="n">
        <v>0.5</v>
      </c>
      <c r="H156" s="46" t="e">
        <f aca="true">IF((B156=1),(IF((F156&lt;E156),1,(IF((F156=E156),(IF(RAND()&lt;G156,1,0)),0)))),(IF((RAND()&lt;G156),1,0)))</f>
        <v>#N/A</v>
      </c>
      <c r="I156" s="46" t="e">
        <f aca="true">IF((H156=1),0,$D$3+$D$5*(RAND()-0.5))</f>
        <v>#N/A</v>
      </c>
      <c r="J156" s="46" t="e">
        <f aca="false">I156+MAX(D156,J155)</f>
        <v>#N/A</v>
      </c>
      <c r="K156" s="46" t="e">
        <f aca="false">IF((H156=0),J156-D156,0)</f>
        <v>#N/A</v>
      </c>
      <c r="L156" s="46" t="e">
        <f aca="true">IF(($H156=0),0,$D$4+$D$5*(RAND()-0.5))</f>
        <v>#N/A</v>
      </c>
      <c r="M156" s="46" t="e">
        <f aca="false">L156+MAX(D156,M155)</f>
        <v>#N/A</v>
      </c>
      <c r="N156" s="46" t="e">
        <f aca="false">IF((H156=1),M156-D156,0)</f>
        <v>#N/A</v>
      </c>
      <c r="O156" s="29" t="n">
        <v>139</v>
      </c>
      <c r="P156" s="49" t="e">
        <f aca="false">IF((Arterial=0),P155+1,P155)</f>
        <v>#N/A</v>
      </c>
      <c r="Q156" s="49" t="e">
        <f aca="false">IF((Arterial=1),Q155+1,Q155)</f>
        <v>#N/A</v>
      </c>
      <c r="R156" s="50" t="n">
        <f aca="false">IF((RESET=1),0,R156+K156)</f>
        <v>0</v>
      </c>
      <c r="S156" s="19" t="n">
        <f aca="false">IF(RESET=1,0,S156+N156)</f>
        <v>0</v>
      </c>
      <c r="T156" s="0" t="n">
        <f aca="false">IF(RESET=1,0,T156+IF(H156=0,1,0))</f>
        <v>0</v>
      </c>
      <c r="U156" s="0" t="n">
        <f aca="false">IF(RESET=1,0,U156+H156)</f>
        <v>0</v>
      </c>
      <c r="V156" s="19" t="n">
        <f aca="false">R156/(T156+0.00001)</f>
        <v>0</v>
      </c>
      <c r="W156" s="19" t="n">
        <f aca="false">S156/(U156+0.0001)</f>
        <v>0</v>
      </c>
      <c r="X156" s="47" t="e">
        <f aca="false">IF(Informed=1,K156,0)</f>
        <v>#N/A</v>
      </c>
      <c r="Y156" s="47" t="n">
        <f aca="false">IF(Informed=0,K156,0)</f>
        <v>0</v>
      </c>
      <c r="Z156" s="47" t="e">
        <f aca="false">IF(Informed=1,N156,0)</f>
        <v>#N/A</v>
      </c>
      <c r="AA156" s="47" t="n">
        <f aca="false">IF(Informed=0,N156,0)</f>
        <v>0</v>
      </c>
      <c r="AB156" s="51" t="e">
        <f aca="false">IF(Arterial=0,IF(Informed=1,1,0),0)</f>
        <v>#N/A</v>
      </c>
      <c r="AC156" s="51" t="e">
        <f aca="false">IF(Arterial=0,IF(Informed=0,1,0),0)</f>
        <v>#N/A</v>
      </c>
      <c r="AD156" s="51" t="e">
        <f aca="false">IF(Arterial=1,IF(Informed=1,1,0),0)</f>
        <v>#N/A</v>
      </c>
      <c r="AE156" s="51" t="e">
        <f aca="false">IF(Arterial=1,IF(Informed=0,1,0),0)</f>
        <v>#N/A</v>
      </c>
      <c r="AF156" s="44" t="e">
        <f aca="false">IF(AB156=1,(X156-G$1030)^2,0)</f>
        <v>#N/A</v>
      </c>
      <c r="AG156" s="44" t="e">
        <f aca="false">IF(AC156=1,(Y156-H$1030)^2,0)</f>
        <v>#N/A</v>
      </c>
      <c r="AH156" s="44" t="e">
        <f aca="false">IF(AD156=1,(Z156-I$1030)^2,0)</f>
        <v>#N/A</v>
      </c>
      <c r="AI156" s="44" t="e">
        <f aca="false">IF(AE156=1,(AA156-J$1030)^2,0)</f>
        <v>#N/A</v>
      </c>
    </row>
    <row r="157" customFormat="false" ht="12" hidden="false" customHeight="false" outlineLevel="0" collapsed="false">
      <c r="A157" s="29" t="n">
        <v>140</v>
      </c>
      <c r="B157" s="45" t="n">
        <f aca="true">IF(RAND()&lt;$D$8,1,0)</f>
        <v>1</v>
      </c>
      <c r="C157" s="34" t="n">
        <f aca="true">-LN(RAND())/$D$2</f>
        <v>2.81383118106308</v>
      </c>
      <c r="D157" s="46" t="n">
        <f aca="false">D156+C157</f>
        <v>222.11413273807</v>
      </c>
      <c r="E157" s="47" t="e">
        <f aca="false">MAX($D$3,(1+P156-VLOOKUP(VALUE(D157),$J$18:$Q156,7,TRUE()))*$D$3)</f>
        <v>#N/A</v>
      </c>
      <c r="F157" s="47" t="e">
        <f aca="false">MAX($D$4,(1+Q156-VLOOKUP(VALUE(D157),$M$18:$Q156,5,TRUE()))*$D$4)</f>
        <v>#N/A</v>
      </c>
      <c r="G157" s="48" t="n">
        <v>0.5</v>
      </c>
      <c r="H157" s="46" t="e">
        <f aca="true">IF((B157=1),(IF((F157&lt;E157),1,(IF((F157=E157),(IF(RAND()&lt;G157,1,0)),0)))),(IF((RAND()&lt;G157),1,0)))</f>
        <v>#N/A</v>
      </c>
      <c r="I157" s="46" t="e">
        <f aca="true">IF((H157=1),0,$D$3+$D$5*(RAND()-0.5))</f>
        <v>#N/A</v>
      </c>
      <c r="J157" s="46" t="e">
        <f aca="false">I157+MAX(D157,J156)</f>
        <v>#N/A</v>
      </c>
      <c r="K157" s="46" t="e">
        <f aca="false">IF((H157=0),J157-D157,0)</f>
        <v>#N/A</v>
      </c>
      <c r="L157" s="46" t="e">
        <f aca="true">IF(($H157=0),0,$D$4+$D$5*(RAND()-0.5))</f>
        <v>#N/A</v>
      </c>
      <c r="M157" s="46" t="e">
        <f aca="false">L157+MAX(D157,M156)</f>
        <v>#N/A</v>
      </c>
      <c r="N157" s="46" t="e">
        <f aca="false">IF((H157=1),M157-D157,0)</f>
        <v>#N/A</v>
      </c>
      <c r="O157" s="29" t="n">
        <v>140</v>
      </c>
      <c r="P157" s="49" t="e">
        <f aca="false">IF((Arterial=0),P156+1,P156)</f>
        <v>#N/A</v>
      </c>
      <c r="Q157" s="49" t="e">
        <f aca="false">IF((Arterial=1),Q156+1,Q156)</f>
        <v>#N/A</v>
      </c>
      <c r="R157" s="50" t="n">
        <f aca="false">IF((RESET=1),0,R157+K157)</f>
        <v>0</v>
      </c>
      <c r="S157" s="19" t="n">
        <f aca="false">IF(RESET=1,0,S157+N157)</f>
        <v>0</v>
      </c>
      <c r="T157" s="0" t="n">
        <f aca="false">IF(RESET=1,0,T157+IF(H157=0,1,0))</f>
        <v>0</v>
      </c>
      <c r="U157" s="0" t="n">
        <f aca="false">IF(RESET=1,0,U157+H157)</f>
        <v>0</v>
      </c>
      <c r="V157" s="19" t="n">
        <f aca="false">R157/(T157+0.00001)</f>
        <v>0</v>
      </c>
      <c r="W157" s="19" t="n">
        <f aca="false">S157/(U157+0.0001)</f>
        <v>0</v>
      </c>
      <c r="X157" s="47" t="e">
        <f aca="false">IF(Informed=1,K157,0)</f>
        <v>#N/A</v>
      </c>
      <c r="Y157" s="47" t="n">
        <f aca="false">IF(Informed=0,K157,0)</f>
        <v>0</v>
      </c>
      <c r="Z157" s="47" t="e">
        <f aca="false">IF(Informed=1,N157,0)</f>
        <v>#N/A</v>
      </c>
      <c r="AA157" s="47" t="n">
        <f aca="false">IF(Informed=0,N157,0)</f>
        <v>0</v>
      </c>
      <c r="AB157" s="51" t="e">
        <f aca="false">IF(Arterial=0,IF(Informed=1,1,0),0)</f>
        <v>#N/A</v>
      </c>
      <c r="AC157" s="51" t="e">
        <f aca="false">IF(Arterial=0,IF(Informed=0,1,0),0)</f>
        <v>#N/A</v>
      </c>
      <c r="AD157" s="51" t="e">
        <f aca="false">IF(Arterial=1,IF(Informed=1,1,0),0)</f>
        <v>#N/A</v>
      </c>
      <c r="AE157" s="51" t="e">
        <f aca="false">IF(Arterial=1,IF(Informed=0,1,0),0)</f>
        <v>#N/A</v>
      </c>
      <c r="AF157" s="44" t="e">
        <f aca="false">IF(AB157=1,(X157-G$1030)^2,0)</f>
        <v>#N/A</v>
      </c>
      <c r="AG157" s="44" t="e">
        <f aca="false">IF(AC157=1,(Y157-H$1030)^2,0)</f>
        <v>#N/A</v>
      </c>
      <c r="AH157" s="44" t="e">
        <f aca="false">IF(AD157=1,(Z157-I$1030)^2,0)</f>
        <v>#N/A</v>
      </c>
      <c r="AI157" s="44" t="e">
        <f aca="false">IF(AE157=1,(AA157-J$1030)^2,0)</f>
        <v>#N/A</v>
      </c>
    </row>
    <row r="158" customFormat="false" ht="12" hidden="false" customHeight="false" outlineLevel="0" collapsed="false">
      <c r="A158" s="29" t="n">
        <v>141</v>
      </c>
      <c r="B158" s="45" t="n">
        <f aca="true">IF(RAND()&lt;$D$8,1,0)</f>
        <v>1</v>
      </c>
      <c r="C158" s="34" t="n">
        <f aca="true">-LN(RAND())/$D$2</f>
        <v>0.618866730666499</v>
      </c>
      <c r="D158" s="46" t="n">
        <f aca="false">D157+C158</f>
        <v>222.732999468736</v>
      </c>
      <c r="E158" s="47" t="e">
        <f aca="false">MAX($D$3,(1+P157-VLOOKUP(VALUE(D158),$J$18:$Q157,7,TRUE()))*$D$3)</f>
        <v>#N/A</v>
      </c>
      <c r="F158" s="47" t="e">
        <f aca="false">MAX($D$4,(1+Q157-VLOOKUP(VALUE(D158),$M$18:$Q157,5,TRUE()))*$D$4)</f>
        <v>#N/A</v>
      </c>
      <c r="G158" s="48" t="n">
        <v>0.5</v>
      </c>
      <c r="H158" s="46" t="e">
        <f aca="true">IF((B158=1),(IF((F158&lt;E158),1,(IF((F158=E158),(IF(RAND()&lt;G158,1,0)),0)))),(IF((RAND()&lt;G158),1,0)))</f>
        <v>#N/A</v>
      </c>
      <c r="I158" s="46" t="e">
        <f aca="true">IF((H158=1),0,$D$3+$D$5*(RAND()-0.5))</f>
        <v>#N/A</v>
      </c>
      <c r="J158" s="46" t="e">
        <f aca="false">I158+MAX(D158,J157)</f>
        <v>#N/A</v>
      </c>
      <c r="K158" s="46" t="e">
        <f aca="false">IF((H158=0),J158-D158,0)</f>
        <v>#N/A</v>
      </c>
      <c r="L158" s="46" t="e">
        <f aca="true">IF(($H158=0),0,$D$4+$D$5*(RAND()-0.5))</f>
        <v>#N/A</v>
      </c>
      <c r="M158" s="46" t="e">
        <f aca="false">L158+MAX(D158,M157)</f>
        <v>#N/A</v>
      </c>
      <c r="N158" s="46" t="e">
        <f aca="false">IF((H158=1),M158-D158,0)</f>
        <v>#N/A</v>
      </c>
      <c r="O158" s="29" t="n">
        <v>141</v>
      </c>
      <c r="P158" s="49" t="e">
        <f aca="false">IF((Arterial=0),P157+1,P157)</f>
        <v>#N/A</v>
      </c>
      <c r="Q158" s="49" t="e">
        <f aca="false">IF((Arterial=1),Q157+1,Q157)</f>
        <v>#N/A</v>
      </c>
      <c r="R158" s="50" t="n">
        <f aca="false">IF((RESET=1),0,R158+K158)</f>
        <v>0</v>
      </c>
      <c r="S158" s="19" t="n">
        <f aca="false">IF(RESET=1,0,S158+N158)</f>
        <v>0</v>
      </c>
      <c r="T158" s="0" t="n">
        <f aca="false">IF(RESET=1,0,T158+IF(H158=0,1,0))</f>
        <v>0</v>
      </c>
      <c r="U158" s="0" t="n">
        <f aca="false">IF(RESET=1,0,U158+H158)</f>
        <v>0</v>
      </c>
      <c r="V158" s="19" t="n">
        <f aca="false">R158/(T158+0.00001)</f>
        <v>0</v>
      </c>
      <c r="W158" s="19" t="n">
        <f aca="false">S158/(U158+0.0001)</f>
        <v>0</v>
      </c>
      <c r="X158" s="47" t="e">
        <f aca="false">IF(Informed=1,K158,0)</f>
        <v>#N/A</v>
      </c>
      <c r="Y158" s="47" t="n">
        <f aca="false">IF(Informed=0,K158,0)</f>
        <v>0</v>
      </c>
      <c r="Z158" s="47" t="e">
        <f aca="false">IF(Informed=1,N158,0)</f>
        <v>#N/A</v>
      </c>
      <c r="AA158" s="47" t="n">
        <f aca="false">IF(Informed=0,N158,0)</f>
        <v>0</v>
      </c>
      <c r="AB158" s="51" t="e">
        <f aca="false">IF(Arterial=0,IF(Informed=1,1,0),0)</f>
        <v>#N/A</v>
      </c>
      <c r="AC158" s="51" t="e">
        <f aca="false">IF(Arterial=0,IF(Informed=0,1,0),0)</f>
        <v>#N/A</v>
      </c>
      <c r="AD158" s="51" t="e">
        <f aca="false">IF(Arterial=1,IF(Informed=1,1,0),0)</f>
        <v>#N/A</v>
      </c>
      <c r="AE158" s="51" t="e">
        <f aca="false">IF(Arterial=1,IF(Informed=0,1,0),0)</f>
        <v>#N/A</v>
      </c>
      <c r="AF158" s="44" t="e">
        <f aca="false">IF(AB158=1,(X158-G$1030)^2,0)</f>
        <v>#N/A</v>
      </c>
      <c r="AG158" s="44" t="e">
        <f aca="false">IF(AC158=1,(Y158-H$1030)^2,0)</f>
        <v>#N/A</v>
      </c>
      <c r="AH158" s="44" t="e">
        <f aca="false">IF(AD158=1,(Z158-I$1030)^2,0)</f>
        <v>#N/A</v>
      </c>
      <c r="AI158" s="44" t="e">
        <f aca="false">IF(AE158=1,(AA158-J$1030)^2,0)</f>
        <v>#N/A</v>
      </c>
    </row>
    <row r="159" customFormat="false" ht="12" hidden="false" customHeight="false" outlineLevel="0" collapsed="false">
      <c r="A159" s="29" t="n">
        <v>142</v>
      </c>
      <c r="B159" s="45" t="n">
        <f aca="true">IF(RAND()&lt;$D$8,1,0)</f>
        <v>1</v>
      </c>
      <c r="C159" s="34" t="n">
        <f aca="true">-LN(RAND())/$D$2</f>
        <v>1.56542718227776</v>
      </c>
      <c r="D159" s="46" t="n">
        <f aca="false">D158+C159</f>
        <v>224.298426651014</v>
      </c>
      <c r="E159" s="47" t="e">
        <f aca="false">MAX($D$3,(1+P158-VLOOKUP(VALUE(D159),$J$18:$Q158,7,TRUE()))*$D$3)</f>
        <v>#N/A</v>
      </c>
      <c r="F159" s="47" t="e">
        <f aca="false">MAX($D$4,(1+Q158-VLOOKUP(VALUE(D159),$M$18:$Q158,5,TRUE()))*$D$4)</f>
        <v>#N/A</v>
      </c>
      <c r="G159" s="48" t="n">
        <v>0.5</v>
      </c>
      <c r="H159" s="46" t="e">
        <f aca="true">IF((B159=1),(IF((F159&lt;E159),1,(IF((F159=E159),(IF(RAND()&lt;G159,1,0)),0)))),(IF((RAND()&lt;G159),1,0)))</f>
        <v>#N/A</v>
      </c>
      <c r="I159" s="46" t="e">
        <f aca="true">IF((H159=1),0,$D$3+$D$5*(RAND()-0.5))</f>
        <v>#N/A</v>
      </c>
      <c r="J159" s="46" t="e">
        <f aca="false">I159+MAX(D159,J158)</f>
        <v>#N/A</v>
      </c>
      <c r="K159" s="46" t="e">
        <f aca="false">IF((H159=0),J159-D159,0)</f>
        <v>#N/A</v>
      </c>
      <c r="L159" s="46" t="e">
        <f aca="true">IF(($H159=0),0,$D$4+$D$5*(RAND()-0.5))</f>
        <v>#N/A</v>
      </c>
      <c r="M159" s="46" t="e">
        <f aca="false">L159+MAX(D159,M158)</f>
        <v>#N/A</v>
      </c>
      <c r="N159" s="46" t="e">
        <f aca="false">IF((H159=1),M159-D159,0)</f>
        <v>#N/A</v>
      </c>
      <c r="O159" s="29" t="n">
        <v>142</v>
      </c>
      <c r="P159" s="49" t="e">
        <f aca="false">IF((Arterial=0),P158+1,P158)</f>
        <v>#N/A</v>
      </c>
      <c r="Q159" s="49" t="e">
        <f aca="false">IF((Arterial=1),Q158+1,Q158)</f>
        <v>#N/A</v>
      </c>
      <c r="R159" s="50" t="n">
        <f aca="false">IF((RESET=1),0,R159+K159)</f>
        <v>0</v>
      </c>
      <c r="S159" s="19" t="n">
        <f aca="false">IF(RESET=1,0,S159+N159)</f>
        <v>0</v>
      </c>
      <c r="T159" s="0" t="n">
        <f aca="false">IF(RESET=1,0,T159+IF(H159=0,1,0))</f>
        <v>0</v>
      </c>
      <c r="U159" s="0" t="n">
        <f aca="false">IF(RESET=1,0,U159+H159)</f>
        <v>0</v>
      </c>
      <c r="V159" s="19" t="n">
        <f aca="false">R159/(T159+0.00001)</f>
        <v>0</v>
      </c>
      <c r="W159" s="19" t="n">
        <f aca="false">S159/(U159+0.0001)</f>
        <v>0</v>
      </c>
      <c r="X159" s="47" t="e">
        <f aca="false">IF(Informed=1,K159,0)</f>
        <v>#N/A</v>
      </c>
      <c r="Y159" s="47" t="n">
        <f aca="false">IF(Informed=0,K159,0)</f>
        <v>0</v>
      </c>
      <c r="Z159" s="47" t="e">
        <f aca="false">IF(Informed=1,N159,0)</f>
        <v>#N/A</v>
      </c>
      <c r="AA159" s="47" t="n">
        <f aca="false">IF(Informed=0,N159,0)</f>
        <v>0</v>
      </c>
      <c r="AB159" s="51" t="e">
        <f aca="false">IF(Arterial=0,IF(Informed=1,1,0),0)</f>
        <v>#N/A</v>
      </c>
      <c r="AC159" s="51" t="e">
        <f aca="false">IF(Arterial=0,IF(Informed=0,1,0),0)</f>
        <v>#N/A</v>
      </c>
      <c r="AD159" s="51" t="e">
        <f aca="false">IF(Arterial=1,IF(Informed=1,1,0),0)</f>
        <v>#N/A</v>
      </c>
      <c r="AE159" s="51" t="e">
        <f aca="false">IF(Arterial=1,IF(Informed=0,1,0),0)</f>
        <v>#N/A</v>
      </c>
      <c r="AF159" s="44" t="e">
        <f aca="false">IF(AB159=1,(X159-G$1030)^2,0)</f>
        <v>#N/A</v>
      </c>
      <c r="AG159" s="44" t="e">
        <f aca="false">IF(AC159=1,(Y159-H$1030)^2,0)</f>
        <v>#N/A</v>
      </c>
      <c r="AH159" s="44" t="e">
        <f aca="false">IF(AD159=1,(Z159-I$1030)^2,0)</f>
        <v>#N/A</v>
      </c>
      <c r="AI159" s="44" t="e">
        <f aca="false">IF(AE159=1,(AA159-J$1030)^2,0)</f>
        <v>#N/A</v>
      </c>
    </row>
    <row r="160" customFormat="false" ht="12" hidden="false" customHeight="false" outlineLevel="0" collapsed="false">
      <c r="A160" s="29" t="n">
        <v>143</v>
      </c>
      <c r="B160" s="45" t="n">
        <f aca="true">IF(RAND()&lt;$D$8,1,0)</f>
        <v>1</v>
      </c>
      <c r="C160" s="34" t="n">
        <f aca="true">-LN(RAND())/$D$2</f>
        <v>0.985862482492768</v>
      </c>
      <c r="D160" s="46" t="n">
        <f aca="false">D159+C160</f>
        <v>225.284289133507</v>
      </c>
      <c r="E160" s="47" t="e">
        <f aca="false">MAX($D$3,(1+P159-VLOOKUP(VALUE(D160),$J$18:$Q159,7,TRUE()))*$D$3)</f>
        <v>#N/A</v>
      </c>
      <c r="F160" s="47" t="e">
        <f aca="false">MAX($D$4,(1+Q159-VLOOKUP(VALUE(D160),$M$18:$Q159,5,TRUE()))*$D$4)</f>
        <v>#N/A</v>
      </c>
      <c r="G160" s="48" t="n">
        <v>0.5</v>
      </c>
      <c r="H160" s="46" t="e">
        <f aca="true">IF((B160=1),(IF((F160&lt;E160),1,(IF((F160=E160),(IF(RAND()&lt;G160,1,0)),0)))),(IF((RAND()&lt;G160),1,0)))</f>
        <v>#N/A</v>
      </c>
      <c r="I160" s="46" t="e">
        <f aca="true">IF((H160=1),0,$D$3+$D$5*(RAND()-0.5))</f>
        <v>#N/A</v>
      </c>
      <c r="J160" s="46" t="e">
        <f aca="false">I160+MAX(D160,J159)</f>
        <v>#N/A</v>
      </c>
      <c r="K160" s="46" t="e">
        <f aca="false">IF((H160=0),J160-D160,0)</f>
        <v>#N/A</v>
      </c>
      <c r="L160" s="46" t="e">
        <f aca="true">IF(($H160=0),0,$D$4+$D$5*(RAND()-0.5))</f>
        <v>#N/A</v>
      </c>
      <c r="M160" s="46" t="e">
        <f aca="false">L160+MAX(D160,M159)</f>
        <v>#N/A</v>
      </c>
      <c r="N160" s="46" t="e">
        <f aca="false">IF((H160=1),M160-D160,0)</f>
        <v>#N/A</v>
      </c>
      <c r="O160" s="29" t="n">
        <v>143</v>
      </c>
      <c r="P160" s="49" t="e">
        <f aca="false">IF((Arterial=0),P159+1,P159)</f>
        <v>#N/A</v>
      </c>
      <c r="Q160" s="49" t="e">
        <f aca="false">IF((Arterial=1),Q159+1,Q159)</f>
        <v>#N/A</v>
      </c>
      <c r="R160" s="50" t="n">
        <f aca="false">IF((RESET=1),0,R160+K160)</f>
        <v>0</v>
      </c>
      <c r="S160" s="19" t="n">
        <f aca="false">IF(RESET=1,0,S160+N160)</f>
        <v>0</v>
      </c>
      <c r="T160" s="0" t="n">
        <f aca="false">IF(RESET=1,0,T160+IF(H160=0,1,0))</f>
        <v>0</v>
      </c>
      <c r="U160" s="0" t="n">
        <f aca="false">IF(RESET=1,0,U160+H160)</f>
        <v>0</v>
      </c>
      <c r="V160" s="19" t="n">
        <f aca="false">R160/(T160+0.00001)</f>
        <v>0</v>
      </c>
      <c r="W160" s="19" t="n">
        <f aca="false">S160/(U160+0.0001)</f>
        <v>0</v>
      </c>
      <c r="X160" s="47" t="e">
        <f aca="false">IF(Informed=1,K160,0)</f>
        <v>#N/A</v>
      </c>
      <c r="Y160" s="47" t="n">
        <f aca="false">IF(Informed=0,K160,0)</f>
        <v>0</v>
      </c>
      <c r="Z160" s="47" t="e">
        <f aca="false">IF(Informed=1,N160,0)</f>
        <v>#N/A</v>
      </c>
      <c r="AA160" s="47" t="n">
        <f aca="false">IF(Informed=0,N160,0)</f>
        <v>0</v>
      </c>
      <c r="AB160" s="51" t="e">
        <f aca="false">IF(Arterial=0,IF(Informed=1,1,0),0)</f>
        <v>#N/A</v>
      </c>
      <c r="AC160" s="51" t="e">
        <f aca="false">IF(Arterial=0,IF(Informed=0,1,0),0)</f>
        <v>#N/A</v>
      </c>
      <c r="AD160" s="51" t="e">
        <f aca="false">IF(Arterial=1,IF(Informed=1,1,0),0)</f>
        <v>#N/A</v>
      </c>
      <c r="AE160" s="51" t="e">
        <f aca="false">IF(Arterial=1,IF(Informed=0,1,0),0)</f>
        <v>#N/A</v>
      </c>
      <c r="AF160" s="44" t="e">
        <f aca="false">IF(AB160=1,(X160-G$1030)^2,0)</f>
        <v>#N/A</v>
      </c>
      <c r="AG160" s="44" t="e">
        <f aca="false">IF(AC160=1,(Y160-H$1030)^2,0)</f>
        <v>#N/A</v>
      </c>
      <c r="AH160" s="44" t="e">
        <f aca="false">IF(AD160=1,(Z160-I$1030)^2,0)</f>
        <v>#N/A</v>
      </c>
      <c r="AI160" s="44" t="e">
        <f aca="false">IF(AE160=1,(AA160-J$1030)^2,0)</f>
        <v>#N/A</v>
      </c>
    </row>
    <row r="161" customFormat="false" ht="12" hidden="false" customHeight="false" outlineLevel="0" collapsed="false">
      <c r="A161" s="29" t="n">
        <v>144</v>
      </c>
      <c r="B161" s="45" t="n">
        <f aca="true">IF(RAND()&lt;$D$8,1,0)</f>
        <v>1</v>
      </c>
      <c r="C161" s="34" t="n">
        <f aca="true">-LN(RAND())/$D$2</f>
        <v>0.721548980680113</v>
      </c>
      <c r="D161" s="46" t="n">
        <f aca="false">D160+C161</f>
        <v>226.005838114187</v>
      </c>
      <c r="E161" s="47" t="e">
        <f aca="false">MAX($D$3,(1+P160-VLOOKUP(VALUE(D161),$J$18:$Q160,7,TRUE()))*$D$3)</f>
        <v>#N/A</v>
      </c>
      <c r="F161" s="47" t="e">
        <f aca="false">MAX($D$4,(1+Q160-VLOOKUP(VALUE(D161),$M$18:$Q160,5,TRUE()))*$D$4)</f>
        <v>#N/A</v>
      </c>
      <c r="G161" s="48" t="n">
        <v>0.5</v>
      </c>
      <c r="H161" s="46" t="e">
        <f aca="true">IF((B161=1),(IF((F161&lt;E161),1,(IF((F161=E161),(IF(RAND()&lt;G161,1,0)),0)))),(IF((RAND()&lt;G161),1,0)))</f>
        <v>#N/A</v>
      </c>
      <c r="I161" s="46" t="e">
        <f aca="true">IF((H161=1),0,$D$3+$D$5*(RAND()-0.5))</f>
        <v>#N/A</v>
      </c>
      <c r="J161" s="46" t="e">
        <f aca="false">I161+MAX(D161,J160)</f>
        <v>#N/A</v>
      </c>
      <c r="K161" s="46" t="e">
        <f aca="false">IF((H161=0),J161-D161,0)</f>
        <v>#N/A</v>
      </c>
      <c r="L161" s="46" t="e">
        <f aca="true">IF(($H161=0),0,$D$4+$D$5*(RAND()-0.5))</f>
        <v>#N/A</v>
      </c>
      <c r="M161" s="46" t="e">
        <f aca="false">L161+MAX(D161,M160)</f>
        <v>#N/A</v>
      </c>
      <c r="N161" s="46" t="e">
        <f aca="false">IF((H161=1),M161-D161,0)</f>
        <v>#N/A</v>
      </c>
      <c r="O161" s="29" t="n">
        <v>144</v>
      </c>
      <c r="P161" s="49" t="e">
        <f aca="false">IF((Arterial=0),P160+1,P160)</f>
        <v>#N/A</v>
      </c>
      <c r="Q161" s="49" t="e">
        <f aca="false">IF((Arterial=1),Q160+1,Q160)</f>
        <v>#N/A</v>
      </c>
      <c r="R161" s="50" t="n">
        <f aca="false">IF((RESET=1),0,R161+K161)</f>
        <v>0</v>
      </c>
      <c r="S161" s="19" t="n">
        <f aca="false">IF(RESET=1,0,S161+N161)</f>
        <v>0</v>
      </c>
      <c r="T161" s="0" t="n">
        <f aca="false">IF(RESET=1,0,T161+IF(H161=0,1,0))</f>
        <v>0</v>
      </c>
      <c r="U161" s="0" t="n">
        <f aca="false">IF(RESET=1,0,U161+H161)</f>
        <v>0</v>
      </c>
      <c r="V161" s="19" t="n">
        <f aca="false">R161/(T161+0.00001)</f>
        <v>0</v>
      </c>
      <c r="W161" s="19" t="n">
        <f aca="false">S161/(U161+0.0001)</f>
        <v>0</v>
      </c>
      <c r="X161" s="47" t="e">
        <f aca="false">IF(Informed=1,K161,0)</f>
        <v>#N/A</v>
      </c>
      <c r="Y161" s="47" t="n">
        <f aca="false">IF(Informed=0,K161,0)</f>
        <v>0</v>
      </c>
      <c r="Z161" s="47" t="e">
        <f aca="false">IF(Informed=1,N161,0)</f>
        <v>#N/A</v>
      </c>
      <c r="AA161" s="47" t="n">
        <f aca="false">IF(Informed=0,N161,0)</f>
        <v>0</v>
      </c>
      <c r="AB161" s="51" t="e">
        <f aca="false">IF(Arterial=0,IF(Informed=1,1,0),0)</f>
        <v>#N/A</v>
      </c>
      <c r="AC161" s="51" t="e">
        <f aca="false">IF(Arterial=0,IF(Informed=0,1,0),0)</f>
        <v>#N/A</v>
      </c>
      <c r="AD161" s="51" t="e">
        <f aca="false">IF(Arterial=1,IF(Informed=1,1,0),0)</f>
        <v>#N/A</v>
      </c>
      <c r="AE161" s="51" t="e">
        <f aca="false">IF(Arterial=1,IF(Informed=0,1,0),0)</f>
        <v>#N/A</v>
      </c>
      <c r="AF161" s="44" t="e">
        <f aca="false">IF(AB161=1,(X161-G$1030)^2,0)</f>
        <v>#N/A</v>
      </c>
      <c r="AG161" s="44" t="e">
        <f aca="false">IF(AC161=1,(Y161-H$1030)^2,0)</f>
        <v>#N/A</v>
      </c>
      <c r="AH161" s="44" t="e">
        <f aca="false">IF(AD161=1,(Z161-I$1030)^2,0)</f>
        <v>#N/A</v>
      </c>
      <c r="AI161" s="44" t="e">
        <f aca="false">IF(AE161=1,(AA161-J$1030)^2,0)</f>
        <v>#N/A</v>
      </c>
    </row>
    <row r="162" customFormat="false" ht="12" hidden="false" customHeight="false" outlineLevel="0" collapsed="false">
      <c r="A162" s="29" t="n">
        <v>145</v>
      </c>
      <c r="B162" s="45" t="n">
        <f aca="true">IF(RAND()&lt;$D$8,1,0)</f>
        <v>1</v>
      </c>
      <c r="C162" s="34" t="n">
        <f aca="true">-LN(RAND())/$D$2</f>
        <v>0.51855717841386</v>
      </c>
      <c r="D162" s="46" t="n">
        <f aca="false">D161+C162</f>
        <v>226.524395292601</v>
      </c>
      <c r="E162" s="47" t="e">
        <f aca="false">MAX($D$3,(1+P161-VLOOKUP(VALUE(D162),$J$18:$Q161,7,TRUE()))*$D$3)</f>
        <v>#N/A</v>
      </c>
      <c r="F162" s="47" t="e">
        <f aca="false">MAX($D$4,(1+Q161-VLOOKUP(VALUE(D162),$M$18:$Q161,5,TRUE()))*$D$4)</f>
        <v>#N/A</v>
      </c>
      <c r="G162" s="48" t="n">
        <v>0.5</v>
      </c>
      <c r="H162" s="46" t="e">
        <f aca="true">IF((B162=1),(IF((F162&lt;E162),1,(IF((F162=E162),(IF(RAND()&lt;G162,1,0)),0)))),(IF((RAND()&lt;G162),1,0)))</f>
        <v>#N/A</v>
      </c>
      <c r="I162" s="46" t="e">
        <f aca="true">IF((H162=1),0,$D$3+$D$5*(RAND()-0.5))</f>
        <v>#N/A</v>
      </c>
      <c r="J162" s="46" t="e">
        <f aca="false">I162+MAX(D162,J161)</f>
        <v>#N/A</v>
      </c>
      <c r="K162" s="46" t="e">
        <f aca="false">IF((H162=0),J162-D162,0)</f>
        <v>#N/A</v>
      </c>
      <c r="L162" s="46" t="e">
        <f aca="true">IF(($H162=0),0,$D$4+$D$5*(RAND()-0.5))</f>
        <v>#N/A</v>
      </c>
      <c r="M162" s="46" t="e">
        <f aca="false">L162+MAX(D162,M161)</f>
        <v>#N/A</v>
      </c>
      <c r="N162" s="46" t="e">
        <f aca="false">IF((H162=1),M162-D162,0)</f>
        <v>#N/A</v>
      </c>
      <c r="O162" s="29" t="n">
        <v>145</v>
      </c>
      <c r="P162" s="49" t="e">
        <f aca="false">IF((Arterial=0),P161+1,P161)</f>
        <v>#N/A</v>
      </c>
      <c r="Q162" s="49" t="e">
        <f aca="false">IF((Arterial=1),Q161+1,Q161)</f>
        <v>#N/A</v>
      </c>
      <c r="R162" s="50" t="n">
        <f aca="false">IF((RESET=1),0,R162+K162)</f>
        <v>0</v>
      </c>
      <c r="S162" s="19" t="n">
        <f aca="false">IF(RESET=1,0,S162+N162)</f>
        <v>0</v>
      </c>
      <c r="T162" s="0" t="n">
        <f aca="false">IF(RESET=1,0,T162+IF(H162=0,1,0))</f>
        <v>0</v>
      </c>
      <c r="U162" s="0" t="n">
        <f aca="false">IF(RESET=1,0,U162+H162)</f>
        <v>0</v>
      </c>
      <c r="V162" s="19" t="n">
        <f aca="false">R162/(T162+0.00001)</f>
        <v>0</v>
      </c>
      <c r="W162" s="19" t="n">
        <f aca="false">S162/(U162+0.0001)</f>
        <v>0</v>
      </c>
      <c r="X162" s="47" t="e">
        <f aca="false">IF(Informed=1,K162,0)</f>
        <v>#N/A</v>
      </c>
      <c r="Y162" s="47" t="n">
        <f aca="false">IF(Informed=0,K162,0)</f>
        <v>0</v>
      </c>
      <c r="Z162" s="47" t="e">
        <f aca="false">IF(Informed=1,N162,0)</f>
        <v>#N/A</v>
      </c>
      <c r="AA162" s="47" t="n">
        <f aca="false">IF(Informed=0,N162,0)</f>
        <v>0</v>
      </c>
      <c r="AB162" s="51" t="e">
        <f aca="false">IF(Arterial=0,IF(Informed=1,1,0),0)</f>
        <v>#N/A</v>
      </c>
      <c r="AC162" s="51" t="e">
        <f aca="false">IF(Arterial=0,IF(Informed=0,1,0),0)</f>
        <v>#N/A</v>
      </c>
      <c r="AD162" s="51" t="e">
        <f aca="false">IF(Arterial=1,IF(Informed=1,1,0),0)</f>
        <v>#N/A</v>
      </c>
      <c r="AE162" s="51" t="e">
        <f aca="false">IF(Arterial=1,IF(Informed=0,1,0),0)</f>
        <v>#N/A</v>
      </c>
      <c r="AF162" s="44" t="e">
        <f aca="false">IF(AB162=1,(X162-G$1030)^2,0)</f>
        <v>#N/A</v>
      </c>
      <c r="AG162" s="44" t="e">
        <f aca="false">IF(AC162=1,(Y162-H$1030)^2,0)</f>
        <v>#N/A</v>
      </c>
      <c r="AH162" s="44" t="e">
        <f aca="false">IF(AD162=1,(Z162-I$1030)^2,0)</f>
        <v>#N/A</v>
      </c>
      <c r="AI162" s="44" t="e">
        <f aca="false">IF(AE162=1,(AA162-J$1030)^2,0)</f>
        <v>#N/A</v>
      </c>
    </row>
    <row r="163" customFormat="false" ht="12" hidden="false" customHeight="false" outlineLevel="0" collapsed="false">
      <c r="A163" s="29" t="n">
        <v>146</v>
      </c>
      <c r="B163" s="45" t="n">
        <f aca="true">IF(RAND()&lt;$D$8,1,0)</f>
        <v>1</v>
      </c>
      <c r="C163" s="34" t="n">
        <f aca="true">-LN(RAND())/$D$2</f>
        <v>2.35490261991637</v>
      </c>
      <c r="D163" s="46" t="n">
        <f aca="false">D162+C163</f>
        <v>228.879297912517</v>
      </c>
      <c r="E163" s="47" t="e">
        <f aca="false">MAX($D$3,(1+P162-VLOOKUP(VALUE(D163),$J$18:$Q162,7,TRUE()))*$D$3)</f>
        <v>#N/A</v>
      </c>
      <c r="F163" s="47" t="e">
        <f aca="false">MAX($D$4,(1+Q162-VLOOKUP(VALUE(D163),$M$18:$Q162,5,TRUE()))*$D$4)</f>
        <v>#N/A</v>
      </c>
      <c r="G163" s="48" t="n">
        <v>0.5</v>
      </c>
      <c r="H163" s="46" t="e">
        <f aca="true">IF((B163=1),(IF((F163&lt;E163),1,(IF((F163=E163),(IF(RAND()&lt;G163,1,0)),0)))),(IF((RAND()&lt;G163),1,0)))</f>
        <v>#N/A</v>
      </c>
      <c r="I163" s="46" t="e">
        <f aca="true">IF((H163=1),0,$D$3+$D$5*(RAND()-0.5))</f>
        <v>#N/A</v>
      </c>
      <c r="J163" s="46" t="e">
        <f aca="false">I163+MAX(D163,J162)</f>
        <v>#N/A</v>
      </c>
      <c r="K163" s="46" t="e">
        <f aca="false">IF((H163=0),J163-D163,0)</f>
        <v>#N/A</v>
      </c>
      <c r="L163" s="46" t="e">
        <f aca="true">IF(($H163=0),0,$D$4+$D$5*(RAND()-0.5))</f>
        <v>#N/A</v>
      </c>
      <c r="M163" s="46" t="e">
        <f aca="false">L163+MAX(D163,M162)</f>
        <v>#N/A</v>
      </c>
      <c r="N163" s="46" t="e">
        <f aca="false">IF((H163=1),M163-D163,0)</f>
        <v>#N/A</v>
      </c>
      <c r="O163" s="29" t="n">
        <v>146</v>
      </c>
      <c r="P163" s="49" t="e">
        <f aca="false">IF((Arterial=0),P162+1,P162)</f>
        <v>#N/A</v>
      </c>
      <c r="Q163" s="49" t="e">
        <f aca="false">IF((Arterial=1),Q162+1,Q162)</f>
        <v>#N/A</v>
      </c>
      <c r="R163" s="50" t="n">
        <f aca="false">IF((RESET=1),0,R163+K163)</f>
        <v>0</v>
      </c>
      <c r="S163" s="19" t="n">
        <f aca="false">IF(RESET=1,0,S163+N163)</f>
        <v>0</v>
      </c>
      <c r="T163" s="0" t="n">
        <f aca="false">IF(RESET=1,0,T163+IF(H163=0,1,0))</f>
        <v>0</v>
      </c>
      <c r="U163" s="0" t="n">
        <f aca="false">IF(RESET=1,0,U163+H163)</f>
        <v>0</v>
      </c>
      <c r="V163" s="19" t="n">
        <f aca="false">R163/(T163+0.00001)</f>
        <v>0</v>
      </c>
      <c r="W163" s="19" t="n">
        <f aca="false">S163/(U163+0.0001)</f>
        <v>0</v>
      </c>
      <c r="X163" s="47" t="e">
        <f aca="false">IF(Informed=1,K163,0)</f>
        <v>#N/A</v>
      </c>
      <c r="Y163" s="47" t="n">
        <f aca="false">IF(Informed=0,K163,0)</f>
        <v>0</v>
      </c>
      <c r="Z163" s="47" t="e">
        <f aca="false">IF(Informed=1,N163,0)</f>
        <v>#N/A</v>
      </c>
      <c r="AA163" s="47" t="n">
        <f aca="false">IF(Informed=0,N163,0)</f>
        <v>0</v>
      </c>
      <c r="AB163" s="51" t="e">
        <f aca="false">IF(Arterial=0,IF(Informed=1,1,0),0)</f>
        <v>#N/A</v>
      </c>
      <c r="AC163" s="51" t="e">
        <f aca="false">IF(Arterial=0,IF(Informed=0,1,0),0)</f>
        <v>#N/A</v>
      </c>
      <c r="AD163" s="51" t="e">
        <f aca="false">IF(Arterial=1,IF(Informed=1,1,0),0)</f>
        <v>#N/A</v>
      </c>
      <c r="AE163" s="51" t="e">
        <f aca="false">IF(Arterial=1,IF(Informed=0,1,0),0)</f>
        <v>#N/A</v>
      </c>
      <c r="AF163" s="44" t="e">
        <f aca="false">IF(AB163=1,(X163-G$1030)^2,0)</f>
        <v>#N/A</v>
      </c>
      <c r="AG163" s="44" t="e">
        <f aca="false">IF(AC163=1,(Y163-H$1030)^2,0)</f>
        <v>#N/A</v>
      </c>
      <c r="AH163" s="44" t="e">
        <f aca="false">IF(AD163=1,(Z163-I$1030)^2,0)</f>
        <v>#N/A</v>
      </c>
      <c r="AI163" s="44" t="e">
        <f aca="false">IF(AE163=1,(AA163-J$1030)^2,0)</f>
        <v>#N/A</v>
      </c>
    </row>
    <row r="164" customFormat="false" ht="12" hidden="false" customHeight="false" outlineLevel="0" collapsed="false">
      <c r="A164" s="29" t="n">
        <v>147</v>
      </c>
      <c r="B164" s="45" t="n">
        <f aca="true">IF(RAND()&lt;$D$8,1,0)</f>
        <v>1</v>
      </c>
      <c r="C164" s="34" t="n">
        <f aca="true">-LN(RAND())/$D$2</f>
        <v>4.37528624015884</v>
      </c>
      <c r="D164" s="46" t="n">
        <f aca="false">D163+C164</f>
        <v>233.254584152676</v>
      </c>
      <c r="E164" s="47" t="e">
        <f aca="false">MAX($D$3,(1+P163-VLOOKUP(VALUE(D164),$J$18:$Q163,7,TRUE()))*$D$3)</f>
        <v>#N/A</v>
      </c>
      <c r="F164" s="47" t="e">
        <f aca="false">MAX($D$4,(1+Q163-VLOOKUP(VALUE(D164),$M$18:$Q163,5,TRUE()))*$D$4)</f>
        <v>#N/A</v>
      </c>
      <c r="G164" s="48" t="n">
        <v>0.5</v>
      </c>
      <c r="H164" s="46" t="e">
        <f aca="true">IF((B164=1),(IF((F164&lt;E164),1,(IF((F164=E164),(IF(RAND()&lt;G164,1,0)),0)))),(IF((RAND()&lt;G164),1,0)))</f>
        <v>#N/A</v>
      </c>
      <c r="I164" s="46" t="e">
        <f aca="true">IF((H164=1),0,$D$3+$D$5*(RAND()-0.5))</f>
        <v>#N/A</v>
      </c>
      <c r="J164" s="46" t="e">
        <f aca="false">I164+MAX(D164,J163)</f>
        <v>#N/A</v>
      </c>
      <c r="K164" s="46" t="e">
        <f aca="false">IF((H164=0),J164-D164,0)</f>
        <v>#N/A</v>
      </c>
      <c r="L164" s="46" t="e">
        <f aca="true">IF(($H164=0),0,$D$4+$D$5*(RAND()-0.5))</f>
        <v>#N/A</v>
      </c>
      <c r="M164" s="46" t="e">
        <f aca="false">L164+MAX(D164,M163)</f>
        <v>#N/A</v>
      </c>
      <c r="N164" s="46" t="e">
        <f aca="false">IF((H164=1),M164-D164,0)</f>
        <v>#N/A</v>
      </c>
      <c r="O164" s="29" t="n">
        <v>147</v>
      </c>
      <c r="P164" s="49" t="e">
        <f aca="false">IF((Arterial=0),P163+1,P163)</f>
        <v>#N/A</v>
      </c>
      <c r="Q164" s="49" t="e">
        <f aca="false">IF((Arterial=1),Q163+1,Q163)</f>
        <v>#N/A</v>
      </c>
      <c r="R164" s="50" t="n">
        <f aca="false">IF((RESET=1),0,R164+K164)</f>
        <v>0</v>
      </c>
      <c r="S164" s="19" t="n">
        <f aca="false">IF(RESET=1,0,S164+N164)</f>
        <v>0</v>
      </c>
      <c r="T164" s="0" t="n">
        <f aca="false">IF(RESET=1,0,T164+IF(H164=0,1,0))</f>
        <v>0</v>
      </c>
      <c r="U164" s="0" t="n">
        <f aca="false">IF(RESET=1,0,U164+H164)</f>
        <v>0</v>
      </c>
      <c r="V164" s="19" t="n">
        <f aca="false">R164/(T164+0.00001)</f>
        <v>0</v>
      </c>
      <c r="W164" s="19" t="n">
        <f aca="false">S164/(U164+0.0001)</f>
        <v>0</v>
      </c>
      <c r="X164" s="47" t="e">
        <f aca="false">IF(Informed=1,K164,0)</f>
        <v>#N/A</v>
      </c>
      <c r="Y164" s="47" t="n">
        <f aca="false">IF(Informed=0,K164,0)</f>
        <v>0</v>
      </c>
      <c r="Z164" s="47" t="e">
        <f aca="false">IF(Informed=1,N164,0)</f>
        <v>#N/A</v>
      </c>
      <c r="AA164" s="47" t="n">
        <f aca="false">IF(Informed=0,N164,0)</f>
        <v>0</v>
      </c>
      <c r="AB164" s="51" t="e">
        <f aca="false">IF(Arterial=0,IF(Informed=1,1,0),0)</f>
        <v>#N/A</v>
      </c>
      <c r="AC164" s="51" t="e">
        <f aca="false">IF(Arterial=0,IF(Informed=0,1,0),0)</f>
        <v>#N/A</v>
      </c>
      <c r="AD164" s="51" t="e">
        <f aca="false">IF(Arterial=1,IF(Informed=1,1,0),0)</f>
        <v>#N/A</v>
      </c>
      <c r="AE164" s="51" t="e">
        <f aca="false">IF(Arterial=1,IF(Informed=0,1,0),0)</f>
        <v>#N/A</v>
      </c>
      <c r="AF164" s="44" t="e">
        <f aca="false">IF(AB164=1,(X164-G$1030)^2,0)</f>
        <v>#N/A</v>
      </c>
      <c r="AG164" s="44" t="e">
        <f aca="false">IF(AC164=1,(Y164-H$1030)^2,0)</f>
        <v>#N/A</v>
      </c>
      <c r="AH164" s="44" t="e">
        <f aca="false">IF(AD164=1,(Z164-I$1030)^2,0)</f>
        <v>#N/A</v>
      </c>
      <c r="AI164" s="44" t="e">
        <f aca="false">IF(AE164=1,(AA164-J$1030)^2,0)</f>
        <v>#N/A</v>
      </c>
    </row>
    <row r="165" customFormat="false" ht="12" hidden="false" customHeight="false" outlineLevel="0" collapsed="false">
      <c r="A165" s="29" t="n">
        <v>148</v>
      </c>
      <c r="B165" s="45" t="n">
        <f aca="true">IF(RAND()&lt;$D$8,1,0)</f>
        <v>1</v>
      </c>
      <c r="C165" s="34" t="n">
        <f aca="true">-LN(RAND())/$D$2</f>
        <v>1.8840797083086</v>
      </c>
      <c r="D165" s="46" t="n">
        <f aca="false">D164+C165</f>
        <v>235.138663860985</v>
      </c>
      <c r="E165" s="47" t="e">
        <f aca="false">MAX($D$3,(1+P164-VLOOKUP(VALUE(D165),$J$18:$Q164,7,TRUE()))*$D$3)</f>
        <v>#N/A</v>
      </c>
      <c r="F165" s="47" t="e">
        <f aca="false">MAX($D$4,(1+Q164-VLOOKUP(VALUE(D165),$M$18:$Q164,5,TRUE()))*$D$4)</f>
        <v>#N/A</v>
      </c>
      <c r="G165" s="48" t="n">
        <v>0.5</v>
      </c>
      <c r="H165" s="46" t="e">
        <f aca="true">IF((B165=1),(IF((F165&lt;E165),1,(IF((F165=E165),(IF(RAND()&lt;G165,1,0)),0)))),(IF((RAND()&lt;G165),1,0)))</f>
        <v>#N/A</v>
      </c>
      <c r="I165" s="46" t="e">
        <f aca="true">IF((H165=1),0,$D$3+$D$5*(RAND()-0.5))</f>
        <v>#N/A</v>
      </c>
      <c r="J165" s="46" t="e">
        <f aca="false">I165+MAX(D165,J164)</f>
        <v>#N/A</v>
      </c>
      <c r="K165" s="46" t="e">
        <f aca="false">IF((H165=0),J165-D165,0)</f>
        <v>#N/A</v>
      </c>
      <c r="L165" s="46" t="e">
        <f aca="true">IF(($H165=0),0,$D$4+$D$5*(RAND()-0.5))</f>
        <v>#N/A</v>
      </c>
      <c r="M165" s="46" t="e">
        <f aca="false">L165+MAX(D165,M164)</f>
        <v>#N/A</v>
      </c>
      <c r="N165" s="46" t="e">
        <f aca="false">IF((H165=1),M165-D165,0)</f>
        <v>#N/A</v>
      </c>
      <c r="O165" s="29" t="n">
        <v>148</v>
      </c>
      <c r="P165" s="49" t="e">
        <f aca="false">IF((Arterial=0),P164+1,P164)</f>
        <v>#N/A</v>
      </c>
      <c r="Q165" s="49" t="e">
        <f aca="false">IF((Arterial=1),Q164+1,Q164)</f>
        <v>#N/A</v>
      </c>
      <c r="R165" s="50" t="n">
        <f aca="false">IF((RESET=1),0,R165+K165)</f>
        <v>0</v>
      </c>
      <c r="S165" s="19" t="n">
        <f aca="false">IF(RESET=1,0,S165+N165)</f>
        <v>0</v>
      </c>
      <c r="T165" s="0" t="n">
        <f aca="false">IF(RESET=1,0,T165+IF(H165=0,1,0))</f>
        <v>0</v>
      </c>
      <c r="U165" s="0" t="n">
        <f aca="false">IF(RESET=1,0,U165+H165)</f>
        <v>0</v>
      </c>
      <c r="V165" s="19" t="n">
        <f aca="false">R165/(T165+0.00001)</f>
        <v>0</v>
      </c>
      <c r="W165" s="19" t="n">
        <f aca="false">S165/(U165+0.0001)</f>
        <v>0</v>
      </c>
      <c r="X165" s="47" t="e">
        <f aca="false">IF(Informed=1,K165,0)</f>
        <v>#N/A</v>
      </c>
      <c r="Y165" s="47" t="n">
        <f aca="false">IF(Informed=0,K165,0)</f>
        <v>0</v>
      </c>
      <c r="Z165" s="47" t="e">
        <f aca="false">IF(Informed=1,N165,0)</f>
        <v>#N/A</v>
      </c>
      <c r="AA165" s="47" t="n">
        <f aca="false">IF(Informed=0,N165,0)</f>
        <v>0</v>
      </c>
      <c r="AB165" s="51" t="e">
        <f aca="false">IF(Arterial=0,IF(Informed=1,1,0),0)</f>
        <v>#N/A</v>
      </c>
      <c r="AC165" s="51" t="e">
        <f aca="false">IF(Arterial=0,IF(Informed=0,1,0),0)</f>
        <v>#N/A</v>
      </c>
      <c r="AD165" s="51" t="e">
        <f aca="false">IF(Arterial=1,IF(Informed=1,1,0),0)</f>
        <v>#N/A</v>
      </c>
      <c r="AE165" s="51" t="e">
        <f aca="false">IF(Arterial=1,IF(Informed=0,1,0),0)</f>
        <v>#N/A</v>
      </c>
      <c r="AF165" s="44" t="e">
        <f aca="false">IF(AB165=1,(X165-G$1030)^2,0)</f>
        <v>#N/A</v>
      </c>
      <c r="AG165" s="44" t="e">
        <f aca="false">IF(AC165=1,(Y165-H$1030)^2,0)</f>
        <v>#N/A</v>
      </c>
      <c r="AH165" s="44" t="e">
        <f aca="false">IF(AD165=1,(Z165-I$1030)^2,0)</f>
        <v>#N/A</v>
      </c>
      <c r="AI165" s="44" t="e">
        <f aca="false">IF(AE165=1,(AA165-J$1030)^2,0)</f>
        <v>#N/A</v>
      </c>
    </row>
    <row r="166" customFormat="false" ht="12" hidden="false" customHeight="false" outlineLevel="0" collapsed="false">
      <c r="A166" s="29" t="n">
        <v>149</v>
      </c>
      <c r="B166" s="45" t="n">
        <f aca="true">IF(RAND()&lt;$D$8,1,0)</f>
        <v>1</v>
      </c>
      <c r="C166" s="34" t="n">
        <f aca="true">-LN(RAND())/$D$2</f>
        <v>0.282528255087097</v>
      </c>
      <c r="D166" s="46" t="n">
        <f aca="false">D165+C166</f>
        <v>235.421192116072</v>
      </c>
      <c r="E166" s="47" t="e">
        <f aca="false">MAX($D$3,(1+P165-VLOOKUP(VALUE(D166),$J$18:$Q165,7,TRUE()))*$D$3)</f>
        <v>#N/A</v>
      </c>
      <c r="F166" s="47" t="e">
        <f aca="false">MAX($D$4,(1+Q165-VLOOKUP(VALUE(D166),$M$18:$Q165,5,TRUE()))*$D$4)</f>
        <v>#N/A</v>
      </c>
      <c r="G166" s="48" t="n">
        <v>0.5</v>
      </c>
      <c r="H166" s="46" t="e">
        <f aca="true">IF((B166=1),(IF((F166&lt;E166),1,(IF((F166=E166),(IF(RAND()&lt;G166,1,0)),0)))),(IF((RAND()&lt;G166),1,0)))</f>
        <v>#N/A</v>
      </c>
      <c r="I166" s="46" t="e">
        <f aca="true">IF((H166=1),0,$D$3+$D$5*(RAND()-0.5))</f>
        <v>#N/A</v>
      </c>
      <c r="J166" s="46" t="e">
        <f aca="false">I166+MAX(D166,J165)</f>
        <v>#N/A</v>
      </c>
      <c r="K166" s="46" t="e">
        <f aca="false">IF((H166=0),J166-D166,0)</f>
        <v>#N/A</v>
      </c>
      <c r="L166" s="46" t="e">
        <f aca="true">IF(($H166=0),0,$D$4+$D$5*(RAND()-0.5))</f>
        <v>#N/A</v>
      </c>
      <c r="M166" s="46" t="e">
        <f aca="false">L166+MAX(D166,M165)</f>
        <v>#N/A</v>
      </c>
      <c r="N166" s="46" t="e">
        <f aca="false">IF((H166=1),M166-D166,0)</f>
        <v>#N/A</v>
      </c>
      <c r="O166" s="29" t="n">
        <v>149</v>
      </c>
      <c r="P166" s="49" t="e">
        <f aca="false">IF((Arterial=0),P165+1,P165)</f>
        <v>#N/A</v>
      </c>
      <c r="Q166" s="49" t="e">
        <f aca="false">IF((Arterial=1),Q165+1,Q165)</f>
        <v>#N/A</v>
      </c>
      <c r="R166" s="50" t="n">
        <f aca="false">IF((RESET=1),0,R166+K166)</f>
        <v>0</v>
      </c>
      <c r="S166" s="19" t="n">
        <f aca="false">IF(RESET=1,0,S166+N166)</f>
        <v>0</v>
      </c>
      <c r="T166" s="0" t="n">
        <f aca="false">IF(RESET=1,0,T166+IF(H166=0,1,0))</f>
        <v>0</v>
      </c>
      <c r="U166" s="0" t="n">
        <f aca="false">IF(RESET=1,0,U166+H166)</f>
        <v>0</v>
      </c>
      <c r="V166" s="19" t="n">
        <f aca="false">R166/(T166+0.00001)</f>
        <v>0</v>
      </c>
      <c r="W166" s="19" t="n">
        <f aca="false">S166/(U166+0.0001)</f>
        <v>0</v>
      </c>
      <c r="X166" s="47" t="e">
        <f aca="false">IF(Informed=1,K166,0)</f>
        <v>#N/A</v>
      </c>
      <c r="Y166" s="47" t="n">
        <f aca="false">IF(Informed=0,K166,0)</f>
        <v>0</v>
      </c>
      <c r="Z166" s="47" t="e">
        <f aca="false">IF(Informed=1,N166,0)</f>
        <v>#N/A</v>
      </c>
      <c r="AA166" s="47" t="n">
        <f aca="false">IF(Informed=0,N166,0)</f>
        <v>0</v>
      </c>
      <c r="AB166" s="51" t="e">
        <f aca="false">IF(Arterial=0,IF(Informed=1,1,0),0)</f>
        <v>#N/A</v>
      </c>
      <c r="AC166" s="51" t="e">
        <f aca="false">IF(Arterial=0,IF(Informed=0,1,0),0)</f>
        <v>#N/A</v>
      </c>
      <c r="AD166" s="51" t="e">
        <f aca="false">IF(Arterial=1,IF(Informed=1,1,0),0)</f>
        <v>#N/A</v>
      </c>
      <c r="AE166" s="51" t="e">
        <f aca="false">IF(Arterial=1,IF(Informed=0,1,0),0)</f>
        <v>#N/A</v>
      </c>
      <c r="AF166" s="44" t="e">
        <f aca="false">IF(AB166=1,(X166-G$1030)^2,0)</f>
        <v>#N/A</v>
      </c>
      <c r="AG166" s="44" t="e">
        <f aca="false">IF(AC166=1,(Y166-H$1030)^2,0)</f>
        <v>#N/A</v>
      </c>
      <c r="AH166" s="44" t="e">
        <f aca="false">IF(AD166=1,(Z166-I$1030)^2,0)</f>
        <v>#N/A</v>
      </c>
      <c r="AI166" s="44" t="e">
        <f aca="false">IF(AE166=1,(AA166-J$1030)^2,0)</f>
        <v>#N/A</v>
      </c>
    </row>
    <row r="167" customFormat="false" ht="12" hidden="false" customHeight="false" outlineLevel="0" collapsed="false">
      <c r="A167" s="29" t="n">
        <v>150</v>
      </c>
      <c r="B167" s="45" t="n">
        <f aca="true">IF(RAND()&lt;$D$8,1,0)</f>
        <v>1</v>
      </c>
      <c r="C167" s="34" t="n">
        <f aca="true">-LN(RAND())/$D$2</f>
        <v>3.54502564310751</v>
      </c>
      <c r="D167" s="46" t="n">
        <f aca="false">D166+C167</f>
        <v>238.966217759179</v>
      </c>
      <c r="E167" s="47" t="e">
        <f aca="false">MAX($D$3,(1+P166-VLOOKUP(VALUE(D167),$J$18:$Q166,7,TRUE()))*$D$3)</f>
        <v>#N/A</v>
      </c>
      <c r="F167" s="47" t="e">
        <f aca="false">MAX($D$4,(1+Q166-VLOOKUP(VALUE(D167),$M$18:$Q166,5,TRUE()))*$D$4)</f>
        <v>#N/A</v>
      </c>
      <c r="G167" s="48" t="n">
        <v>0.5</v>
      </c>
      <c r="H167" s="46" t="e">
        <f aca="true">IF((B167=1),(IF((F167&lt;E167),1,(IF((F167=E167),(IF(RAND()&lt;G167,1,0)),0)))),(IF((RAND()&lt;G167),1,0)))</f>
        <v>#N/A</v>
      </c>
      <c r="I167" s="46" t="e">
        <f aca="true">IF((H167=1),0,$D$3+$D$5*(RAND()-0.5))</f>
        <v>#N/A</v>
      </c>
      <c r="J167" s="46" t="e">
        <f aca="false">I167+MAX(D167,J166)</f>
        <v>#N/A</v>
      </c>
      <c r="K167" s="46" t="e">
        <f aca="false">IF((H167=0),J167-D167,0)</f>
        <v>#N/A</v>
      </c>
      <c r="L167" s="46" t="e">
        <f aca="true">IF(($H167=0),0,$D$4+$D$5*(RAND()-0.5))</f>
        <v>#N/A</v>
      </c>
      <c r="M167" s="46" t="e">
        <f aca="false">L167+MAX(D167,M166)</f>
        <v>#N/A</v>
      </c>
      <c r="N167" s="46" t="e">
        <f aca="false">IF((H167=1),M167-D167,0)</f>
        <v>#N/A</v>
      </c>
      <c r="O167" s="29" t="n">
        <v>150</v>
      </c>
      <c r="P167" s="49" t="e">
        <f aca="false">IF((Arterial=0),P166+1,P166)</f>
        <v>#N/A</v>
      </c>
      <c r="Q167" s="49" t="e">
        <f aca="false">IF((Arterial=1),Q166+1,Q166)</f>
        <v>#N/A</v>
      </c>
      <c r="R167" s="50" t="n">
        <f aca="false">IF((RESET=1),0,R167+K167)</f>
        <v>0</v>
      </c>
      <c r="S167" s="19" t="n">
        <f aca="false">IF(RESET=1,0,S167+N167)</f>
        <v>0</v>
      </c>
      <c r="T167" s="0" t="n">
        <f aca="false">IF(RESET=1,0,T167+IF(H167=0,1,0))</f>
        <v>0</v>
      </c>
      <c r="U167" s="0" t="n">
        <f aca="false">IF(RESET=1,0,U167+H167)</f>
        <v>0</v>
      </c>
      <c r="V167" s="19" t="n">
        <f aca="false">R167/(T167+0.00001)</f>
        <v>0</v>
      </c>
      <c r="W167" s="19" t="n">
        <f aca="false">S167/(U167+0.0001)</f>
        <v>0</v>
      </c>
      <c r="X167" s="47" t="e">
        <f aca="false">IF(Informed=1,K167,0)</f>
        <v>#N/A</v>
      </c>
      <c r="Y167" s="47" t="n">
        <f aca="false">IF(Informed=0,K167,0)</f>
        <v>0</v>
      </c>
      <c r="Z167" s="47" t="e">
        <f aca="false">IF(Informed=1,N167,0)</f>
        <v>#N/A</v>
      </c>
      <c r="AA167" s="47" t="n">
        <f aca="false">IF(Informed=0,N167,0)</f>
        <v>0</v>
      </c>
      <c r="AB167" s="51" t="e">
        <f aca="false">IF(Arterial=0,IF(Informed=1,1,0),0)</f>
        <v>#N/A</v>
      </c>
      <c r="AC167" s="51" t="e">
        <f aca="false">IF(Arterial=0,IF(Informed=0,1,0),0)</f>
        <v>#N/A</v>
      </c>
      <c r="AD167" s="51" t="e">
        <f aca="false">IF(Arterial=1,IF(Informed=1,1,0),0)</f>
        <v>#N/A</v>
      </c>
      <c r="AE167" s="51" t="e">
        <f aca="false">IF(Arterial=1,IF(Informed=0,1,0),0)</f>
        <v>#N/A</v>
      </c>
      <c r="AF167" s="44" t="e">
        <f aca="false">IF(AB167=1,(X167-G$1030)^2,0)</f>
        <v>#N/A</v>
      </c>
      <c r="AG167" s="44" t="e">
        <f aca="false">IF(AC167=1,(Y167-H$1030)^2,0)</f>
        <v>#N/A</v>
      </c>
      <c r="AH167" s="44" t="e">
        <f aca="false">IF(AD167=1,(Z167-I$1030)^2,0)</f>
        <v>#N/A</v>
      </c>
      <c r="AI167" s="44" t="e">
        <f aca="false">IF(AE167=1,(AA167-J$1030)^2,0)</f>
        <v>#N/A</v>
      </c>
    </row>
    <row r="168" customFormat="false" ht="12" hidden="false" customHeight="false" outlineLevel="0" collapsed="false">
      <c r="A168" s="29" t="n">
        <v>151</v>
      </c>
      <c r="B168" s="45" t="n">
        <f aca="true">IF(RAND()&lt;$D$8,1,0)</f>
        <v>1</v>
      </c>
      <c r="C168" s="34" t="n">
        <f aca="true">-LN(RAND())/$D$2</f>
        <v>0.515369917031294</v>
      </c>
      <c r="D168" s="46" t="n">
        <f aca="false">D167+C168</f>
        <v>239.481587676211</v>
      </c>
      <c r="E168" s="47" t="e">
        <f aca="false">MAX($D$3,(1+P167-VLOOKUP(VALUE(D168),$J$18:$Q167,7,TRUE()))*$D$3)</f>
        <v>#N/A</v>
      </c>
      <c r="F168" s="47" t="e">
        <f aca="false">MAX($D$4,(1+Q167-VLOOKUP(VALUE(D168),$M$18:$Q167,5,TRUE()))*$D$4)</f>
        <v>#N/A</v>
      </c>
      <c r="G168" s="48" t="n">
        <v>0.5</v>
      </c>
      <c r="H168" s="46" t="e">
        <f aca="true">IF((B168=1),(IF((F168&lt;E168),1,(IF((F168=E168),(IF(RAND()&lt;G168,1,0)),0)))),(IF((RAND()&lt;G168),1,0)))</f>
        <v>#N/A</v>
      </c>
      <c r="I168" s="46" t="e">
        <f aca="true">IF((H168=1),0,$D$3+$D$5*(RAND()-0.5))</f>
        <v>#N/A</v>
      </c>
      <c r="J168" s="46" t="e">
        <f aca="false">I168+MAX(D168,J167)</f>
        <v>#N/A</v>
      </c>
      <c r="K168" s="46" t="e">
        <f aca="false">IF((H168=0),J168-D168,0)</f>
        <v>#N/A</v>
      </c>
      <c r="L168" s="46" t="e">
        <f aca="true">IF(($H168=0),0,$D$4+$D$5*(RAND()-0.5))</f>
        <v>#N/A</v>
      </c>
      <c r="M168" s="46" t="e">
        <f aca="false">L168+MAX(D168,M167)</f>
        <v>#N/A</v>
      </c>
      <c r="N168" s="46" t="e">
        <f aca="false">IF((H168=1),M168-D168,0)</f>
        <v>#N/A</v>
      </c>
      <c r="O168" s="29" t="n">
        <v>151</v>
      </c>
      <c r="P168" s="49" t="e">
        <f aca="false">IF((Arterial=0),P167+1,P167)</f>
        <v>#N/A</v>
      </c>
      <c r="Q168" s="49" t="e">
        <f aca="false">IF((Arterial=1),Q167+1,Q167)</f>
        <v>#N/A</v>
      </c>
      <c r="R168" s="50" t="n">
        <f aca="false">IF((RESET=1),0,R168+K168)</f>
        <v>0</v>
      </c>
      <c r="S168" s="19" t="n">
        <f aca="false">IF(RESET=1,0,S168+N168)</f>
        <v>0</v>
      </c>
      <c r="T168" s="0" t="n">
        <f aca="false">IF(RESET=1,0,T168+IF(H168=0,1,0))</f>
        <v>0</v>
      </c>
      <c r="U168" s="0" t="n">
        <f aca="false">IF(RESET=1,0,U168+H168)</f>
        <v>0</v>
      </c>
      <c r="V168" s="19" t="n">
        <f aca="false">R168/(T168+0.00001)</f>
        <v>0</v>
      </c>
      <c r="W168" s="19" t="n">
        <f aca="false">S168/(U168+0.0001)</f>
        <v>0</v>
      </c>
      <c r="X168" s="47" t="e">
        <f aca="false">IF(Informed=1,K168,0)</f>
        <v>#N/A</v>
      </c>
      <c r="Y168" s="47" t="n">
        <f aca="false">IF(Informed=0,K168,0)</f>
        <v>0</v>
      </c>
      <c r="Z168" s="47" t="e">
        <f aca="false">IF(Informed=1,N168,0)</f>
        <v>#N/A</v>
      </c>
      <c r="AA168" s="47" t="n">
        <f aca="false">IF(Informed=0,N168,0)</f>
        <v>0</v>
      </c>
      <c r="AB168" s="51" t="e">
        <f aca="false">IF(Arterial=0,IF(Informed=1,1,0),0)</f>
        <v>#N/A</v>
      </c>
      <c r="AC168" s="51" t="e">
        <f aca="false">IF(Arterial=0,IF(Informed=0,1,0),0)</f>
        <v>#N/A</v>
      </c>
      <c r="AD168" s="51" t="e">
        <f aca="false">IF(Arterial=1,IF(Informed=1,1,0),0)</f>
        <v>#N/A</v>
      </c>
      <c r="AE168" s="51" t="e">
        <f aca="false">IF(Arterial=1,IF(Informed=0,1,0),0)</f>
        <v>#N/A</v>
      </c>
      <c r="AF168" s="44" t="e">
        <f aca="false">IF(AB168=1,(X168-G$1030)^2,0)</f>
        <v>#N/A</v>
      </c>
      <c r="AG168" s="44" t="e">
        <f aca="false">IF(AC168=1,(Y168-H$1030)^2,0)</f>
        <v>#N/A</v>
      </c>
      <c r="AH168" s="44" t="e">
        <f aca="false">IF(AD168=1,(Z168-I$1030)^2,0)</f>
        <v>#N/A</v>
      </c>
      <c r="AI168" s="44" t="e">
        <f aca="false">IF(AE168=1,(AA168-J$1030)^2,0)</f>
        <v>#N/A</v>
      </c>
    </row>
    <row r="169" customFormat="false" ht="12" hidden="false" customHeight="false" outlineLevel="0" collapsed="false">
      <c r="A169" s="29" t="n">
        <v>152</v>
      </c>
      <c r="B169" s="45" t="n">
        <f aca="true">IF(RAND()&lt;$D$8,1,0)</f>
        <v>1</v>
      </c>
      <c r="C169" s="34" t="n">
        <f aca="true">-LN(RAND())/$D$2</f>
        <v>0.371002041142798</v>
      </c>
      <c r="D169" s="46" t="n">
        <f aca="false">D168+C169</f>
        <v>239.852589717353</v>
      </c>
      <c r="E169" s="47" t="e">
        <f aca="false">MAX($D$3,(1+P168-VLOOKUP(VALUE(D169),$J$18:$Q168,7,TRUE()))*$D$3)</f>
        <v>#N/A</v>
      </c>
      <c r="F169" s="47" t="e">
        <f aca="false">MAX($D$4,(1+Q168-VLOOKUP(VALUE(D169),$M$18:$Q168,5,TRUE()))*$D$4)</f>
        <v>#N/A</v>
      </c>
      <c r="G169" s="48" t="n">
        <v>0.5</v>
      </c>
      <c r="H169" s="46" t="e">
        <f aca="true">IF((B169=1),(IF((F169&lt;E169),1,(IF((F169=E169),(IF(RAND()&lt;G169,1,0)),0)))),(IF((RAND()&lt;G169),1,0)))</f>
        <v>#N/A</v>
      </c>
      <c r="I169" s="46" t="e">
        <f aca="true">IF((H169=1),0,$D$3+$D$5*(RAND()-0.5))</f>
        <v>#N/A</v>
      </c>
      <c r="J169" s="46" t="e">
        <f aca="false">I169+MAX(D169,J168)</f>
        <v>#N/A</v>
      </c>
      <c r="K169" s="46" t="e">
        <f aca="false">IF((H169=0),J169-D169,0)</f>
        <v>#N/A</v>
      </c>
      <c r="L169" s="46" t="e">
        <f aca="true">IF(($H169=0),0,$D$4+$D$5*(RAND()-0.5))</f>
        <v>#N/A</v>
      </c>
      <c r="M169" s="46" t="e">
        <f aca="false">L169+MAX(D169,M168)</f>
        <v>#N/A</v>
      </c>
      <c r="N169" s="46" t="e">
        <f aca="false">IF((H169=1),M169-D169,0)</f>
        <v>#N/A</v>
      </c>
      <c r="O169" s="29" t="n">
        <v>152</v>
      </c>
      <c r="P169" s="49" t="e">
        <f aca="false">IF((Arterial=0),P168+1,P168)</f>
        <v>#N/A</v>
      </c>
      <c r="Q169" s="49" t="e">
        <f aca="false">IF((Arterial=1),Q168+1,Q168)</f>
        <v>#N/A</v>
      </c>
      <c r="R169" s="50" t="n">
        <f aca="false">IF((RESET=1),0,R169+K169)</f>
        <v>0</v>
      </c>
      <c r="S169" s="19" t="n">
        <f aca="false">IF(RESET=1,0,S169+N169)</f>
        <v>0</v>
      </c>
      <c r="T169" s="0" t="n">
        <f aca="false">IF(RESET=1,0,T169+IF(H169=0,1,0))</f>
        <v>0</v>
      </c>
      <c r="U169" s="0" t="n">
        <f aca="false">IF(RESET=1,0,U169+H169)</f>
        <v>0</v>
      </c>
      <c r="V169" s="19" t="n">
        <f aca="false">R169/(T169+0.00001)</f>
        <v>0</v>
      </c>
      <c r="W169" s="19" t="n">
        <f aca="false">S169/(U169+0.0001)</f>
        <v>0</v>
      </c>
      <c r="X169" s="47" t="e">
        <f aca="false">IF(Informed=1,K169,0)</f>
        <v>#N/A</v>
      </c>
      <c r="Y169" s="47" t="n">
        <f aca="false">IF(Informed=0,K169,0)</f>
        <v>0</v>
      </c>
      <c r="Z169" s="47" t="e">
        <f aca="false">IF(Informed=1,N169,0)</f>
        <v>#N/A</v>
      </c>
      <c r="AA169" s="47" t="n">
        <f aca="false">IF(Informed=0,N169,0)</f>
        <v>0</v>
      </c>
      <c r="AB169" s="51" t="e">
        <f aca="false">IF(Arterial=0,IF(Informed=1,1,0),0)</f>
        <v>#N/A</v>
      </c>
      <c r="AC169" s="51" t="e">
        <f aca="false">IF(Arterial=0,IF(Informed=0,1,0),0)</f>
        <v>#N/A</v>
      </c>
      <c r="AD169" s="51" t="e">
        <f aca="false">IF(Arterial=1,IF(Informed=1,1,0),0)</f>
        <v>#N/A</v>
      </c>
      <c r="AE169" s="51" t="e">
        <f aca="false">IF(Arterial=1,IF(Informed=0,1,0),0)</f>
        <v>#N/A</v>
      </c>
      <c r="AF169" s="44" t="e">
        <f aca="false">IF(AB169=1,(X169-G$1030)^2,0)</f>
        <v>#N/A</v>
      </c>
      <c r="AG169" s="44" t="e">
        <f aca="false">IF(AC169=1,(Y169-H$1030)^2,0)</f>
        <v>#N/A</v>
      </c>
      <c r="AH169" s="44" t="e">
        <f aca="false">IF(AD169=1,(Z169-I$1030)^2,0)</f>
        <v>#N/A</v>
      </c>
      <c r="AI169" s="44" t="e">
        <f aca="false">IF(AE169=1,(AA169-J$1030)^2,0)</f>
        <v>#N/A</v>
      </c>
    </row>
    <row r="170" customFormat="false" ht="12" hidden="false" customHeight="false" outlineLevel="0" collapsed="false">
      <c r="A170" s="29" t="n">
        <v>153</v>
      </c>
      <c r="B170" s="45" t="n">
        <f aca="true">IF(RAND()&lt;$D$8,1,0)</f>
        <v>1</v>
      </c>
      <c r="C170" s="34" t="n">
        <f aca="true">-LN(RAND())/$D$2</f>
        <v>1.97251502288907</v>
      </c>
      <c r="D170" s="46" t="n">
        <f aca="false">D169+C170</f>
        <v>241.825104740242</v>
      </c>
      <c r="E170" s="47" t="e">
        <f aca="false">MAX($D$3,(1+P169-VLOOKUP(VALUE(D170),$J$18:$Q169,7,TRUE()))*$D$3)</f>
        <v>#N/A</v>
      </c>
      <c r="F170" s="47" t="e">
        <f aca="false">MAX($D$4,(1+Q169-VLOOKUP(VALUE(D170),$M$18:$Q169,5,TRUE()))*$D$4)</f>
        <v>#N/A</v>
      </c>
      <c r="G170" s="48" t="n">
        <v>0.5</v>
      </c>
      <c r="H170" s="46" t="e">
        <f aca="true">IF((B170=1),(IF((F170&lt;E170),1,(IF((F170=E170),(IF(RAND()&lt;G170,1,0)),0)))),(IF((RAND()&lt;G170),1,0)))</f>
        <v>#N/A</v>
      </c>
      <c r="I170" s="46" t="e">
        <f aca="true">IF((H170=1),0,$D$3+$D$5*(RAND()-0.5))</f>
        <v>#N/A</v>
      </c>
      <c r="J170" s="46" t="e">
        <f aca="false">I170+MAX(D170,J169)</f>
        <v>#N/A</v>
      </c>
      <c r="K170" s="46" t="e">
        <f aca="false">IF((H170=0),J170-D170,0)</f>
        <v>#N/A</v>
      </c>
      <c r="L170" s="46" t="e">
        <f aca="true">IF(($H170=0),0,$D$4+$D$5*(RAND()-0.5))</f>
        <v>#N/A</v>
      </c>
      <c r="M170" s="46" t="e">
        <f aca="false">L170+MAX(D170,M169)</f>
        <v>#N/A</v>
      </c>
      <c r="N170" s="46" t="e">
        <f aca="false">IF((H170=1),M170-D170,0)</f>
        <v>#N/A</v>
      </c>
      <c r="O170" s="29" t="n">
        <v>153</v>
      </c>
      <c r="P170" s="49" t="e">
        <f aca="false">IF((Arterial=0),P169+1,P169)</f>
        <v>#N/A</v>
      </c>
      <c r="Q170" s="49" t="e">
        <f aca="false">IF((Arterial=1),Q169+1,Q169)</f>
        <v>#N/A</v>
      </c>
      <c r="R170" s="50" t="n">
        <f aca="false">IF((RESET=1),0,R170+K170)</f>
        <v>0</v>
      </c>
      <c r="S170" s="19" t="n">
        <f aca="false">IF(RESET=1,0,S170+N170)</f>
        <v>0</v>
      </c>
      <c r="T170" s="0" t="n">
        <f aca="false">IF(RESET=1,0,T170+IF(H170=0,1,0))</f>
        <v>0</v>
      </c>
      <c r="U170" s="0" t="n">
        <f aca="false">IF(RESET=1,0,U170+H170)</f>
        <v>0</v>
      </c>
      <c r="V170" s="19" t="n">
        <f aca="false">R170/(T170+0.00001)</f>
        <v>0</v>
      </c>
      <c r="W170" s="19" t="n">
        <f aca="false">S170/(U170+0.0001)</f>
        <v>0</v>
      </c>
      <c r="X170" s="47" t="e">
        <f aca="false">IF(Informed=1,K170,0)</f>
        <v>#N/A</v>
      </c>
      <c r="Y170" s="47" t="n">
        <f aca="false">IF(Informed=0,K170,0)</f>
        <v>0</v>
      </c>
      <c r="Z170" s="47" t="e">
        <f aca="false">IF(Informed=1,N170,0)</f>
        <v>#N/A</v>
      </c>
      <c r="AA170" s="47" t="n">
        <f aca="false">IF(Informed=0,N170,0)</f>
        <v>0</v>
      </c>
      <c r="AB170" s="51" t="e">
        <f aca="false">IF(Arterial=0,IF(Informed=1,1,0),0)</f>
        <v>#N/A</v>
      </c>
      <c r="AC170" s="51" t="e">
        <f aca="false">IF(Arterial=0,IF(Informed=0,1,0),0)</f>
        <v>#N/A</v>
      </c>
      <c r="AD170" s="51" t="e">
        <f aca="false">IF(Arterial=1,IF(Informed=1,1,0),0)</f>
        <v>#N/A</v>
      </c>
      <c r="AE170" s="51" t="e">
        <f aca="false">IF(Arterial=1,IF(Informed=0,1,0),0)</f>
        <v>#N/A</v>
      </c>
      <c r="AF170" s="44" t="e">
        <f aca="false">IF(AB170=1,(X170-G$1030)^2,0)</f>
        <v>#N/A</v>
      </c>
      <c r="AG170" s="44" t="e">
        <f aca="false">IF(AC170=1,(Y170-H$1030)^2,0)</f>
        <v>#N/A</v>
      </c>
      <c r="AH170" s="44" t="e">
        <f aca="false">IF(AD170=1,(Z170-I$1030)^2,0)</f>
        <v>#N/A</v>
      </c>
      <c r="AI170" s="44" t="e">
        <f aca="false">IF(AE170=1,(AA170-J$1030)^2,0)</f>
        <v>#N/A</v>
      </c>
    </row>
    <row r="171" customFormat="false" ht="12" hidden="false" customHeight="false" outlineLevel="0" collapsed="false">
      <c r="A171" s="29" t="n">
        <v>154</v>
      </c>
      <c r="B171" s="45" t="n">
        <f aca="true">IF(RAND()&lt;$D$8,1,0)</f>
        <v>1</v>
      </c>
      <c r="C171" s="34" t="n">
        <f aca="true">-LN(RAND())/$D$2</f>
        <v>1.78099217464887</v>
      </c>
      <c r="D171" s="46" t="n">
        <f aca="false">D170+C171</f>
        <v>243.606096914891</v>
      </c>
      <c r="E171" s="47" t="e">
        <f aca="false">MAX($D$3,(1+P170-VLOOKUP(VALUE(D171),$J$18:$Q170,7,TRUE()))*$D$3)</f>
        <v>#N/A</v>
      </c>
      <c r="F171" s="47" t="e">
        <f aca="false">MAX($D$4,(1+Q170-VLOOKUP(VALUE(D171),$M$18:$Q170,5,TRUE()))*$D$4)</f>
        <v>#N/A</v>
      </c>
      <c r="G171" s="48" t="n">
        <v>0.5</v>
      </c>
      <c r="H171" s="46" t="e">
        <f aca="true">IF((B171=1),(IF((F171&lt;E171),1,(IF((F171=E171),(IF(RAND()&lt;G171,1,0)),0)))),(IF((RAND()&lt;G171),1,0)))</f>
        <v>#N/A</v>
      </c>
      <c r="I171" s="46" t="e">
        <f aca="true">IF((H171=1),0,$D$3+$D$5*(RAND()-0.5))</f>
        <v>#N/A</v>
      </c>
      <c r="J171" s="46" t="e">
        <f aca="false">I171+MAX(D171,J170)</f>
        <v>#N/A</v>
      </c>
      <c r="K171" s="46" t="e">
        <f aca="false">IF((H171=0),J171-D171,0)</f>
        <v>#N/A</v>
      </c>
      <c r="L171" s="46" t="e">
        <f aca="true">IF(($H171=0),0,$D$4+$D$5*(RAND()-0.5))</f>
        <v>#N/A</v>
      </c>
      <c r="M171" s="46" t="e">
        <f aca="false">L171+MAX(D171,M170)</f>
        <v>#N/A</v>
      </c>
      <c r="N171" s="46" t="e">
        <f aca="false">IF((H171=1),M171-D171,0)</f>
        <v>#N/A</v>
      </c>
      <c r="O171" s="29" t="n">
        <v>154</v>
      </c>
      <c r="P171" s="49" t="e">
        <f aca="false">IF((Arterial=0),P170+1,P170)</f>
        <v>#N/A</v>
      </c>
      <c r="Q171" s="49" t="e">
        <f aca="false">IF((Arterial=1),Q170+1,Q170)</f>
        <v>#N/A</v>
      </c>
      <c r="R171" s="50" t="n">
        <f aca="false">IF((RESET=1),0,R171+K171)</f>
        <v>0</v>
      </c>
      <c r="S171" s="19" t="n">
        <f aca="false">IF(RESET=1,0,S171+N171)</f>
        <v>0</v>
      </c>
      <c r="T171" s="0" t="n">
        <f aca="false">IF(RESET=1,0,T171+IF(H171=0,1,0))</f>
        <v>0</v>
      </c>
      <c r="U171" s="0" t="n">
        <f aca="false">IF(RESET=1,0,U171+H171)</f>
        <v>0</v>
      </c>
      <c r="V171" s="19" t="n">
        <f aca="false">R171/(T171+0.00001)</f>
        <v>0</v>
      </c>
      <c r="W171" s="19" t="n">
        <f aca="false">S171/(U171+0.0001)</f>
        <v>0</v>
      </c>
      <c r="X171" s="47" t="e">
        <f aca="false">IF(Informed=1,K171,0)</f>
        <v>#N/A</v>
      </c>
      <c r="Y171" s="47" t="n">
        <f aca="false">IF(Informed=0,K171,0)</f>
        <v>0</v>
      </c>
      <c r="Z171" s="47" t="e">
        <f aca="false">IF(Informed=1,N171,0)</f>
        <v>#N/A</v>
      </c>
      <c r="AA171" s="47" t="n">
        <f aca="false">IF(Informed=0,N171,0)</f>
        <v>0</v>
      </c>
      <c r="AB171" s="51" t="e">
        <f aca="false">IF(Arterial=0,IF(Informed=1,1,0),0)</f>
        <v>#N/A</v>
      </c>
      <c r="AC171" s="51" t="e">
        <f aca="false">IF(Arterial=0,IF(Informed=0,1,0),0)</f>
        <v>#N/A</v>
      </c>
      <c r="AD171" s="51" t="e">
        <f aca="false">IF(Arterial=1,IF(Informed=1,1,0),0)</f>
        <v>#N/A</v>
      </c>
      <c r="AE171" s="51" t="e">
        <f aca="false">IF(Arterial=1,IF(Informed=0,1,0),0)</f>
        <v>#N/A</v>
      </c>
      <c r="AF171" s="44" t="e">
        <f aca="false">IF(AB171=1,(X171-G$1030)^2,0)</f>
        <v>#N/A</v>
      </c>
      <c r="AG171" s="44" t="e">
        <f aca="false">IF(AC171=1,(Y171-H$1030)^2,0)</f>
        <v>#N/A</v>
      </c>
      <c r="AH171" s="44" t="e">
        <f aca="false">IF(AD171=1,(Z171-I$1030)^2,0)</f>
        <v>#N/A</v>
      </c>
      <c r="AI171" s="44" t="e">
        <f aca="false">IF(AE171=1,(AA171-J$1030)^2,0)</f>
        <v>#N/A</v>
      </c>
    </row>
    <row r="172" customFormat="false" ht="12" hidden="false" customHeight="false" outlineLevel="0" collapsed="false">
      <c r="A172" s="29" t="n">
        <v>155</v>
      </c>
      <c r="B172" s="45" t="n">
        <f aca="true">IF(RAND()&lt;$D$8,1,0)</f>
        <v>1</v>
      </c>
      <c r="C172" s="34" t="n">
        <f aca="true">-LN(RAND())/$D$2</f>
        <v>1.40469884769118</v>
      </c>
      <c r="D172" s="46" t="n">
        <f aca="false">D171+C172</f>
        <v>245.010795762583</v>
      </c>
      <c r="E172" s="47" t="e">
        <f aca="false">MAX($D$3,(1+P171-VLOOKUP(VALUE(D172),$J$18:$Q171,7,TRUE()))*$D$3)</f>
        <v>#N/A</v>
      </c>
      <c r="F172" s="47" t="e">
        <f aca="false">MAX($D$4,(1+Q171-VLOOKUP(VALUE(D172),$M$18:$Q171,5,TRUE()))*$D$4)</f>
        <v>#N/A</v>
      </c>
      <c r="G172" s="48" t="n">
        <v>0.5</v>
      </c>
      <c r="H172" s="46" t="e">
        <f aca="true">IF((B172=1),(IF((F172&lt;E172),1,(IF((F172=E172),(IF(RAND()&lt;G172,1,0)),0)))),(IF((RAND()&lt;G172),1,0)))</f>
        <v>#N/A</v>
      </c>
      <c r="I172" s="46" t="e">
        <f aca="true">IF((H172=1),0,$D$3+$D$5*(RAND()-0.5))</f>
        <v>#N/A</v>
      </c>
      <c r="J172" s="46" t="e">
        <f aca="false">I172+MAX(D172,J171)</f>
        <v>#N/A</v>
      </c>
      <c r="K172" s="46" t="e">
        <f aca="false">IF((H172=0),J172-D172,0)</f>
        <v>#N/A</v>
      </c>
      <c r="L172" s="46" t="e">
        <f aca="true">IF(($H172=0),0,$D$4+$D$5*(RAND()-0.5))</f>
        <v>#N/A</v>
      </c>
      <c r="M172" s="46" t="e">
        <f aca="false">L172+MAX(D172,M171)</f>
        <v>#N/A</v>
      </c>
      <c r="N172" s="46" t="e">
        <f aca="false">IF((H172=1),M172-D172,0)</f>
        <v>#N/A</v>
      </c>
      <c r="O172" s="29" t="n">
        <v>155</v>
      </c>
      <c r="P172" s="49" t="e">
        <f aca="false">IF((Arterial=0),P171+1,P171)</f>
        <v>#N/A</v>
      </c>
      <c r="Q172" s="49" t="e">
        <f aca="false">IF((Arterial=1),Q171+1,Q171)</f>
        <v>#N/A</v>
      </c>
      <c r="R172" s="50" t="n">
        <f aca="false">IF((RESET=1),0,R172+K172)</f>
        <v>0</v>
      </c>
      <c r="S172" s="19" t="n">
        <f aca="false">IF(RESET=1,0,S172+N172)</f>
        <v>0</v>
      </c>
      <c r="T172" s="0" t="n">
        <f aca="false">IF(RESET=1,0,T172+IF(H172=0,1,0))</f>
        <v>0</v>
      </c>
      <c r="U172" s="0" t="n">
        <f aca="false">IF(RESET=1,0,U172+H172)</f>
        <v>0</v>
      </c>
      <c r="V172" s="19" t="n">
        <f aca="false">R172/(T172+0.00001)</f>
        <v>0</v>
      </c>
      <c r="W172" s="19" t="n">
        <f aca="false">S172/(U172+0.0001)</f>
        <v>0</v>
      </c>
      <c r="X172" s="47" t="e">
        <f aca="false">IF(Informed=1,K172,0)</f>
        <v>#N/A</v>
      </c>
      <c r="Y172" s="47" t="n">
        <f aca="false">IF(Informed=0,K172,0)</f>
        <v>0</v>
      </c>
      <c r="Z172" s="47" t="e">
        <f aca="false">IF(Informed=1,N172,0)</f>
        <v>#N/A</v>
      </c>
      <c r="AA172" s="47" t="n">
        <f aca="false">IF(Informed=0,N172,0)</f>
        <v>0</v>
      </c>
      <c r="AB172" s="51" t="e">
        <f aca="false">IF(Arterial=0,IF(Informed=1,1,0),0)</f>
        <v>#N/A</v>
      </c>
      <c r="AC172" s="51" t="e">
        <f aca="false">IF(Arterial=0,IF(Informed=0,1,0),0)</f>
        <v>#N/A</v>
      </c>
      <c r="AD172" s="51" t="e">
        <f aca="false">IF(Arterial=1,IF(Informed=1,1,0),0)</f>
        <v>#N/A</v>
      </c>
      <c r="AE172" s="51" t="e">
        <f aca="false">IF(Arterial=1,IF(Informed=0,1,0),0)</f>
        <v>#N/A</v>
      </c>
      <c r="AF172" s="44" t="e">
        <f aca="false">IF(AB172=1,(X172-G$1030)^2,0)</f>
        <v>#N/A</v>
      </c>
      <c r="AG172" s="44" t="e">
        <f aca="false">IF(AC172=1,(Y172-H$1030)^2,0)</f>
        <v>#N/A</v>
      </c>
      <c r="AH172" s="44" t="e">
        <f aca="false">IF(AD172=1,(Z172-I$1030)^2,0)</f>
        <v>#N/A</v>
      </c>
      <c r="AI172" s="44" t="e">
        <f aca="false">IF(AE172=1,(AA172-J$1030)^2,0)</f>
        <v>#N/A</v>
      </c>
    </row>
    <row r="173" customFormat="false" ht="12" hidden="false" customHeight="false" outlineLevel="0" collapsed="false">
      <c r="A173" s="29" t="n">
        <v>156</v>
      </c>
      <c r="B173" s="45" t="n">
        <f aca="true">IF(RAND()&lt;$D$8,1,0)</f>
        <v>1</v>
      </c>
      <c r="C173" s="34" t="n">
        <f aca="true">-LN(RAND())/$D$2</f>
        <v>0.432384343087911</v>
      </c>
      <c r="D173" s="46" t="n">
        <f aca="false">D172+C173</f>
        <v>245.44318010567</v>
      </c>
      <c r="E173" s="47" t="e">
        <f aca="false">MAX($D$3,(1+P172-VLOOKUP(VALUE(D173),$J$18:$Q172,7,TRUE()))*$D$3)</f>
        <v>#N/A</v>
      </c>
      <c r="F173" s="47" t="e">
        <f aca="false">MAX($D$4,(1+Q172-VLOOKUP(VALUE(D173),$M$18:$Q172,5,TRUE()))*$D$4)</f>
        <v>#N/A</v>
      </c>
      <c r="G173" s="48" t="n">
        <v>0.5</v>
      </c>
      <c r="H173" s="46" t="e">
        <f aca="true">IF((B173=1),(IF((F173&lt;E173),1,(IF((F173=E173),(IF(RAND()&lt;G173,1,0)),0)))),(IF((RAND()&lt;G173),1,0)))</f>
        <v>#N/A</v>
      </c>
      <c r="I173" s="46" t="e">
        <f aca="true">IF((H173=1),0,$D$3+$D$5*(RAND()-0.5))</f>
        <v>#N/A</v>
      </c>
      <c r="J173" s="46" t="e">
        <f aca="false">I173+MAX(D173,J172)</f>
        <v>#N/A</v>
      </c>
      <c r="K173" s="46" t="e">
        <f aca="false">IF((H173=0),J173-D173,0)</f>
        <v>#N/A</v>
      </c>
      <c r="L173" s="46" t="e">
        <f aca="true">IF(($H173=0),0,$D$4+$D$5*(RAND()-0.5))</f>
        <v>#N/A</v>
      </c>
      <c r="M173" s="46" t="e">
        <f aca="false">L173+MAX(D173,M172)</f>
        <v>#N/A</v>
      </c>
      <c r="N173" s="46" t="e">
        <f aca="false">IF((H173=1),M173-D173,0)</f>
        <v>#N/A</v>
      </c>
      <c r="O173" s="29" t="n">
        <v>156</v>
      </c>
      <c r="P173" s="49" t="e">
        <f aca="false">IF((Arterial=0),P172+1,P172)</f>
        <v>#N/A</v>
      </c>
      <c r="Q173" s="49" t="e">
        <f aca="false">IF((Arterial=1),Q172+1,Q172)</f>
        <v>#N/A</v>
      </c>
      <c r="R173" s="50" t="n">
        <f aca="false">IF((RESET=1),0,R173+K173)</f>
        <v>0</v>
      </c>
      <c r="S173" s="19" t="n">
        <f aca="false">IF(RESET=1,0,S173+N173)</f>
        <v>0</v>
      </c>
      <c r="T173" s="0" t="n">
        <f aca="false">IF(RESET=1,0,T173+IF(H173=0,1,0))</f>
        <v>0</v>
      </c>
      <c r="U173" s="0" t="n">
        <f aca="false">IF(RESET=1,0,U173+H173)</f>
        <v>0</v>
      </c>
      <c r="V173" s="19" t="n">
        <f aca="false">R173/(T173+0.00001)</f>
        <v>0</v>
      </c>
      <c r="W173" s="19" t="n">
        <f aca="false">S173/(U173+0.0001)</f>
        <v>0</v>
      </c>
      <c r="X173" s="47" t="e">
        <f aca="false">IF(Informed=1,K173,0)</f>
        <v>#N/A</v>
      </c>
      <c r="Y173" s="47" t="n">
        <f aca="false">IF(Informed=0,K173,0)</f>
        <v>0</v>
      </c>
      <c r="Z173" s="47" t="e">
        <f aca="false">IF(Informed=1,N173,0)</f>
        <v>#N/A</v>
      </c>
      <c r="AA173" s="47" t="n">
        <f aca="false">IF(Informed=0,N173,0)</f>
        <v>0</v>
      </c>
      <c r="AB173" s="51" t="e">
        <f aca="false">IF(Arterial=0,IF(Informed=1,1,0),0)</f>
        <v>#N/A</v>
      </c>
      <c r="AC173" s="51" t="e">
        <f aca="false">IF(Arterial=0,IF(Informed=0,1,0),0)</f>
        <v>#N/A</v>
      </c>
      <c r="AD173" s="51" t="e">
        <f aca="false">IF(Arterial=1,IF(Informed=1,1,0),0)</f>
        <v>#N/A</v>
      </c>
      <c r="AE173" s="51" t="e">
        <f aca="false">IF(Arterial=1,IF(Informed=0,1,0),0)</f>
        <v>#N/A</v>
      </c>
      <c r="AF173" s="44" t="e">
        <f aca="false">IF(AB173=1,(X173-G$1030)^2,0)</f>
        <v>#N/A</v>
      </c>
      <c r="AG173" s="44" t="e">
        <f aca="false">IF(AC173=1,(Y173-H$1030)^2,0)</f>
        <v>#N/A</v>
      </c>
      <c r="AH173" s="44" t="e">
        <f aca="false">IF(AD173=1,(Z173-I$1030)^2,0)</f>
        <v>#N/A</v>
      </c>
      <c r="AI173" s="44" t="e">
        <f aca="false">IF(AE173=1,(AA173-J$1030)^2,0)</f>
        <v>#N/A</v>
      </c>
    </row>
    <row r="174" customFormat="false" ht="12" hidden="false" customHeight="false" outlineLevel="0" collapsed="false">
      <c r="A174" s="29" t="n">
        <v>157</v>
      </c>
      <c r="B174" s="45" t="n">
        <f aca="true">IF(RAND()&lt;$D$8,1,0)</f>
        <v>1</v>
      </c>
      <c r="C174" s="34" t="n">
        <f aca="true">-LN(RAND())/$D$2</f>
        <v>1.68478040591014</v>
      </c>
      <c r="D174" s="46" t="n">
        <f aca="false">D173+C174</f>
        <v>247.127960511581</v>
      </c>
      <c r="E174" s="47" t="e">
        <f aca="false">MAX($D$3,(1+P173-VLOOKUP(VALUE(D174),$J$18:$Q173,7,TRUE()))*$D$3)</f>
        <v>#N/A</v>
      </c>
      <c r="F174" s="47" t="e">
        <f aca="false">MAX($D$4,(1+Q173-VLOOKUP(VALUE(D174),$M$18:$Q173,5,TRUE()))*$D$4)</f>
        <v>#N/A</v>
      </c>
      <c r="G174" s="48" t="n">
        <v>0.5</v>
      </c>
      <c r="H174" s="46" t="e">
        <f aca="true">IF((B174=1),(IF((F174&lt;E174),1,(IF((F174=E174),(IF(RAND()&lt;G174,1,0)),0)))),(IF((RAND()&lt;G174),1,0)))</f>
        <v>#N/A</v>
      </c>
      <c r="I174" s="46" t="e">
        <f aca="true">IF((H174=1),0,$D$3+$D$5*(RAND()-0.5))</f>
        <v>#N/A</v>
      </c>
      <c r="J174" s="46" t="e">
        <f aca="false">I174+MAX(D174,J173)</f>
        <v>#N/A</v>
      </c>
      <c r="K174" s="46" t="e">
        <f aca="false">IF((H174=0),J174-D174,0)</f>
        <v>#N/A</v>
      </c>
      <c r="L174" s="46" t="e">
        <f aca="true">IF(($H174=0),0,$D$4+$D$5*(RAND()-0.5))</f>
        <v>#N/A</v>
      </c>
      <c r="M174" s="46" t="e">
        <f aca="false">L174+MAX(D174,M173)</f>
        <v>#N/A</v>
      </c>
      <c r="N174" s="46" t="e">
        <f aca="false">IF((H174=1),M174-D174,0)</f>
        <v>#N/A</v>
      </c>
      <c r="O174" s="29" t="n">
        <v>157</v>
      </c>
      <c r="P174" s="49" t="e">
        <f aca="false">IF((Arterial=0),P173+1,P173)</f>
        <v>#N/A</v>
      </c>
      <c r="Q174" s="49" t="e">
        <f aca="false">IF((Arterial=1),Q173+1,Q173)</f>
        <v>#N/A</v>
      </c>
      <c r="R174" s="50" t="n">
        <f aca="false">IF((RESET=1),0,R174+K174)</f>
        <v>0</v>
      </c>
      <c r="S174" s="19" t="n">
        <f aca="false">IF(RESET=1,0,S174+N174)</f>
        <v>0</v>
      </c>
      <c r="T174" s="0" t="n">
        <f aca="false">IF(RESET=1,0,T174+IF(H174=0,1,0))</f>
        <v>0</v>
      </c>
      <c r="U174" s="0" t="n">
        <f aca="false">IF(RESET=1,0,U174+H174)</f>
        <v>0</v>
      </c>
      <c r="V174" s="19" t="n">
        <f aca="false">R174/(T174+0.00001)</f>
        <v>0</v>
      </c>
      <c r="W174" s="19" t="n">
        <f aca="false">S174/(U174+0.0001)</f>
        <v>0</v>
      </c>
      <c r="X174" s="47" t="e">
        <f aca="false">IF(Informed=1,K174,0)</f>
        <v>#N/A</v>
      </c>
      <c r="Y174" s="47" t="n">
        <f aca="false">IF(Informed=0,K174,0)</f>
        <v>0</v>
      </c>
      <c r="Z174" s="47" t="e">
        <f aca="false">IF(Informed=1,N174,0)</f>
        <v>#N/A</v>
      </c>
      <c r="AA174" s="47" t="n">
        <f aca="false">IF(Informed=0,N174,0)</f>
        <v>0</v>
      </c>
      <c r="AB174" s="51" t="e">
        <f aca="false">IF(Arterial=0,IF(Informed=1,1,0),0)</f>
        <v>#N/A</v>
      </c>
      <c r="AC174" s="51" t="e">
        <f aca="false">IF(Arterial=0,IF(Informed=0,1,0),0)</f>
        <v>#N/A</v>
      </c>
      <c r="AD174" s="51" t="e">
        <f aca="false">IF(Arterial=1,IF(Informed=1,1,0),0)</f>
        <v>#N/A</v>
      </c>
      <c r="AE174" s="51" t="e">
        <f aca="false">IF(Arterial=1,IF(Informed=0,1,0),0)</f>
        <v>#N/A</v>
      </c>
      <c r="AF174" s="44" t="e">
        <f aca="false">IF(AB174=1,(X174-G$1030)^2,0)</f>
        <v>#N/A</v>
      </c>
      <c r="AG174" s="44" t="e">
        <f aca="false">IF(AC174=1,(Y174-H$1030)^2,0)</f>
        <v>#N/A</v>
      </c>
      <c r="AH174" s="44" t="e">
        <f aca="false">IF(AD174=1,(Z174-I$1030)^2,0)</f>
        <v>#N/A</v>
      </c>
      <c r="AI174" s="44" t="e">
        <f aca="false">IF(AE174=1,(AA174-J$1030)^2,0)</f>
        <v>#N/A</v>
      </c>
    </row>
    <row r="175" customFormat="false" ht="12" hidden="false" customHeight="false" outlineLevel="0" collapsed="false">
      <c r="A175" s="29" t="n">
        <v>158</v>
      </c>
      <c r="B175" s="45" t="n">
        <f aca="true">IF(RAND()&lt;$D$8,1,0)</f>
        <v>1</v>
      </c>
      <c r="C175" s="34" t="n">
        <f aca="true">-LN(RAND())/$D$2</f>
        <v>1.4928756575441</v>
      </c>
      <c r="D175" s="46" t="n">
        <f aca="false">D174+C175</f>
        <v>248.620836169125</v>
      </c>
      <c r="E175" s="47" t="e">
        <f aca="false">MAX($D$3,(1+P174-VLOOKUP(VALUE(D175),$J$18:$Q174,7,TRUE()))*$D$3)</f>
        <v>#N/A</v>
      </c>
      <c r="F175" s="47" t="e">
        <f aca="false">MAX($D$4,(1+Q174-VLOOKUP(VALUE(D175),$M$18:$Q174,5,TRUE()))*$D$4)</f>
        <v>#N/A</v>
      </c>
      <c r="G175" s="48" t="n">
        <v>0.5</v>
      </c>
      <c r="H175" s="46" t="e">
        <f aca="true">IF((B175=1),(IF((F175&lt;E175),1,(IF((F175=E175),(IF(RAND()&lt;G175,1,0)),0)))),(IF((RAND()&lt;G175),1,0)))</f>
        <v>#N/A</v>
      </c>
      <c r="I175" s="46" t="e">
        <f aca="true">IF((H175=1),0,$D$3+$D$5*(RAND()-0.5))</f>
        <v>#N/A</v>
      </c>
      <c r="J175" s="46" t="e">
        <f aca="false">I175+MAX(D175,J174)</f>
        <v>#N/A</v>
      </c>
      <c r="K175" s="46" t="e">
        <f aca="false">IF((H175=0),J175-D175,0)</f>
        <v>#N/A</v>
      </c>
      <c r="L175" s="46" t="e">
        <f aca="true">IF(($H175=0),0,$D$4+$D$5*(RAND()-0.5))</f>
        <v>#N/A</v>
      </c>
      <c r="M175" s="46" t="e">
        <f aca="false">L175+MAX(D175,M174)</f>
        <v>#N/A</v>
      </c>
      <c r="N175" s="46" t="e">
        <f aca="false">IF((H175=1),M175-D175,0)</f>
        <v>#N/A</v>
      </c>
      <c r="O175" s="29" t="n">
        <v>158</v>
      </c>
      <c r="P175" s="49" t="e">
        <f aca="false">IF((Arterial=0),P174+1,P174)</f>
        <v>#N/A</v>
      </c>
      <c r="Q175" s="49" t="e">
        <f aca="false">IF((Arterial=1),Q174+1,Q174)</f>
        <v>#N/A</v>
      </c>
      <c r="R175" s="50" t="n">
        <f aca="false">IF((RESET=1),0,R175+K175)</f>
        <v>0</v>
      </c>
      <c r="S175" s="19" t="n">
        <f aca="false">IF(RESET=1,0,S175+N175)</f>
        <v>0</v>
      </c>
      <c r="T175" s="0" t="n">
        <f aca="false">IF(RESET=1,0,T175+IF(H175=0,1,0))</f>
        <v>0</v>
      </c>
      <c r="U175" s="0" t="n">
        <f aca="false">IF(RESET=1,0,U175+H175)</f>
        <v>0</v>
      </c>
      <c r="V175" s="19" t="n">
        <f aca="false">R175/(T175+0.00001)</f>
        <v>0</v>
      </c>
      <c r="W175" s="19" t="n">
        <f aca="false">S175/(U175+0.0001)</f>
        <v>0</v>
      </c>
      <c r="X175" s="47" t="e">
        <f aca="false">IF(Informed=1,K175,0)</f>
        <v>#N/A</v>
      </c>
      <c r="Y175" s="47" t="n">
        <f aca="false">IF(Informed=0,K175,0)</f>
        <v>0</v>
      </c>
      <c r="Z175" s="47" t="e">
        <f aca="false">IF(Informed=1,N175,0)</f>
        <v>#N/A</v>
      </c>
      <c r="AA175" s="47" t="n">
        <f aca="false">IF(Informed=0,N175,0)</f>
        <v>0</v>
      </c>
      <c r="AB175" s="51" t="e">
        <f aca="false">IF(Arterial=0,IF(Informed=1,1,0),0)</f>
        <v>#N/A</v>
      </c>
      <c r="AC175" s="51" t="e">
        <f aca="false">IF(Arterial=0,IF(Informed=0,1,0),0)</f>
        <v>#N/A</v>
      </c>
      <c r="AD175" s="51" t="e">
        <f aca="false">IF(Arterial=1,IF(Informed=1,1,0),0)</f>
        <v>#N/A</v>
      </c>
      <c r="AE175" s="51" t="e">
        <f aca="false">IF(Arterial=1,IF(Informed=0,1,0),0)</f>
        <v>#N/A</v>
      </c>
      <c r="AF175" s="44" t="e">
        <f aca="false">IF(AB175=1,(X175-G$1030)^2,0)</f>
        <v>#N/A</v>
      </c>
      <c r="AG175" s="44" t="e">
        <f aca="false">IF(AC175=1,(Y175-H$1030)^2,0)</f>
        <v>#N/A</v>
      </c>
      <c r="AH175" s="44" t="e">
        <f aca="false">IF(AD175=1,(Z175-I$1030)^2,0)</f>
        <v>#N/A</v>
      </c>
      <c r="AI175" s="44" t="e">
        <f aca="false">IF(AE175=1,(AA175-J$1030)^2,0)</f>
        <v>#N/A</v>
      </c>
    </row>
    <row r="176" customFormat="false" ht="12" hidden="false" customHeight="false" outlineLevel="0" collapsed="false">
      <c r="A176" s="29" t="n">
        <v>159</v>
      </c>
      <c r="B176" s="45" t="n">
        <f aca="true">IF(RAND()&lt;$D$8,1,0)</f>
        <v>1</v>
      </c>
      <c r="C176" s="34" t="n">
        <f aca="true">-LN(RAND())/$D$2</f>
        <v>0.253428093328429</v>
      </c>
      <c r="D176" s="46" t="n">
        <f aca="false">D175+C176</f>
        <v>248.874264262453</v>
      </c>
      <c r="E176" s="47" t="e">
        <f aca="false">MAX($D$3,(1+P175-VLOOKUP(VALUE(D176),$J$18:$Q175,7,TRUE()))*$D$3)</f>
        <v>#N/A</v>
      </c>
      <c r="F176" s="47" t="e">
        <f aca="false">MAX($D$4,(1+Q175-VLOOKUP(VALUE(D176),$M$18:$Q175,5,TRUE()))*$D$4)</f>
        <v>#N/A</v>
      </c>
      <c r="G176" s="48" t="n">
        <v>0.5</v>
      </c>
      <c r="H176" s="46" t="e">
        <f aca="true">IF((B176=1),(IF((F176&lt;E176),1,(IF((F176=E176),(IF(RAND()&lt;G176,1,0)),0)))),(IF((RAND()&lt;G176),1,0)))</f>
        <v>#N/A</v>
      </c>
      <c r="I176" s="46" t="e">
        <f aca="true">IF((H176=1),0,$D$3+$D$5*(RAND()-0.5))</f>
        <v>#N/A</v>
      </c>
      <c r="J176" s="46" t="e">
        <f aca="false">I176+MAX(D176,J175)</f>
        <v>#N/A</v>
      </c>
      <c r="K176" s="46" t="e">
        <f aca="false">IF((H176=0),J176-D176,0)</f>
        <v>#N/A</v>
      </c>
      <c r="L176" s="46" t="e">
        <f aca="true">IF(($H176=0),0,$D$4+$D$5*(RAND()-0.5))</f>
        <v>#N/A</v>
      </c>
      <c r="M176" s="46" t="e">
        <f aca="false">L176+MAX(D176,M175)</f>
        <v>#N/A</v>
      </c>
      <c r="N176" s="46" t="e">
        <f aca="false">IF((H176=1),M176-D176,0)</f>
        <v>#N/A</v>
      </c>
      <c r="O176" s="29" t="n">
        <v>159</v>
      </c>
      <c r="P176" s="49" t="e">
        <f aca="false">IF((Arterial=0),P175+1,P175)</f>
        <v>#N/A</v>
      </c>
      <c r="Q176" s="49" t="e">
        <f aca="false">IF((Arterial=1),Q175+1,Q175)</f>
        <v>#N/A</v>
      </c>
      <c r="R176" s="50" t="n">
        <f aca="false">IF((RESET=1),0,R176+K176)</f>
        <v>0</v>
      </c>
      <c r="S176" s="19" t="n">
        <f aca="false">IF(RESET=1,0,S176+N176)</f>
        <v>0</v>
      </c>
      <c r="T176" s="0" t="n">
        <f aca="false">IF(RESET=1,0,T176+IF(H176=0,1,0))</f>
        <v>0</v>
      </c>
      <c r="U176" s="0" t="n">
        <f aca="false">IF(RESET=1,0,U176+H176)</f>
        <v>0</v>
      </c>
      <c r="V176" s="19" t="n">
        <f aca="false">R176/(T176+0.00001)</f>
        <v>0</v>
      </c>
      <c r="W176" s="19" t="n">
        <f aca="false">S176/(U176+0.0001)</f>
        <v>0</v>
      </c>
      <c r="X176" s="47" t="e">
        <f aca="false">IF(Informed=1,K176,0)</f>
        <v>#N/A</v>
      </c>
      <c r="Y176" s="47" t="n">
        <f aca="false">IF(Informed=0,K176,0)</f>
        <v>0</v>
      </c>
      <c r="Z176" s="47" t="e">
        <f aca="false">IF(Informed=1,N176,0)</f>
        <v>#N/A</v>
      </c>
      <c r="AA176" s="47" t="n">
        <f aca="false">IF(Informed=0,N176,0)</f>
        <v>0</v>
      </c>
      <c r="AB176" s="51" t="e">
        <f aca="false">IF(Arterial=0,IF(Informed=1,1,0),0)</f>
        <v>#N/A</v>
      </c>
      <c r="AC176" s="51" t="e">
        <f aca="false">IF(Arterial=0,IF(Informed=0,1,0),0)</f>
        <v>#N/A</v>
      </c>
      <c r="AD176" s="51" t="e">
        <f aca="false">IF(Arterial=1,IF(Informed=1,1,0),0)</f>
        <v>#N/A</v>
      </c>
      <c r="AE176" s="51" t="e">
        <f aca="false">IF(Arterial=1,IF(Informed=0,1,0),0)</f>
        <v>#N/A</v>
      </c>
      <c r="AF176" s="44" t="e">
        <f aca="false">IF(AB176=1,(X176-G$1030)^2,0)</f>
        <v>#N/A</v>
      </c>
      <c r="AG176" s="44" t="e">
        <f aca="false">IF(AC176=1,(Y176-H$1030)^2,0)</f>
        <v>#N/A</v>
      </c>
      <c r="AH176" s="44" t="e">
        <f aca="false">IF(AD176=1,(Z176-I$1030)^2,0)</f>
        <v>#N/A</v>
      </c>
      <c r="AI176" s="44" t="e">
        <f aca="false">IF(AE176=1,(AA176-J$1030)^2,0)</f>
        <v>#N/A</v>
      </c>
    </row>
    <row r="177" customFormat="false" ht="12" hidden="false" customHeight="false" outlineLevel="0" collapsed="false">
      <c r="A177" s="29" t="n">
        <v>160</v>
      </c>
      <c r="B177" s="45" t="n">
        <f aca="true">IF(RAND()&lt;$D$8,1,0)</f>
        <v>1</v>
      </c>
      <c r="C177" s="34" t="n">
        <f aca="true">-LN(RAND())/$D$2</f>
        <v>2.59639566029802</v>
      </c>
      <c r="D177" s="46" t="n">
        <f aca="false">D176+C177</f>
        <v>251.470659922751</v>
      </c>
      <c r="E177" s="47" t="e">
        <f aca="false">MAX($D$3,(1+P176-VLOOKUP(VALUE(D177),$J$18:$Q176,7,TRUE()))*$D$3)</f>
        <v>#N/A</v>
      </c>
      <c r="F177" s="47" t="e">
        <f aca="false">MAX($D$4,(1+Q176-VLOOKUP(VALUE(D177),$M$18:$Q176,5,TRUE()))*$D$4)</f>
        <v>#N/A</v>
      </c>
      <c r="G177" s="48" t="n">
        <v>0.5</v>
      </c>
      <c r="H177" s="46" t="e">
        <f aca="true">IF((B177=1),(IF((F177&lt;E177),1,(IF((F177=E177),(IF(RAND()&lt;G177,1,0)),0)))),(IF((RAND()&lt;G177),1,0)))</f>
        <v>#N/A</v>
      </c>
      <c r="I177" s="46" t="e">
        <f aca="true">IF((H177=1),0,$D$3+$D$5*(RAND()-0.5))</f>
        <v>#N/A</v>
      </c>
      <c r="J177" s="46" t="e">
        <f aca="false">I177+MAX(D177,J176)</f>
        <v>#N/A</v>
      </c>
      <c r="K177" s="46" t="e">
        <f aca="false">IF((H177=0),J177-D177,0)</f>
        <v>#N/A</v>
      </c>
      <c r="L177" s="46" t="e">
        <f aca="true">IF(($H177=0),0,$D$4+$D$5*(RAND()-0.5))</f>
        <v>#N/A</v>
      </c>
      <c r="M177" s="46" t="e">
        <f aca="false">L177+MAX(D177,M176)</f>
        <v>#N/A</v>
      </c>
      <c r="N177" s="46" t="e">
        <f aca="false">IF((H177=1),M177-D177,0)</f>
        <v>#N/A</v>
      </c>
      <c r="O177" s="29" t="n">
        <v>160</v>
      </c>
      <c r="P177" s="49" t="e">
        <f aca="false">IF((Arterial=0),P176+1,P176)</f>
        <v>#N/A</v>
      </c>
      <c r="Q177" s="49" t="e">
        <f aca="false">IF((Arterial=1),Q176+1,Q176)</f>
        <v>#N/A</v>
      </c>
      <c r="R177" s="50" t="n">
        <f aca="false">IF((RESET=1),0,R177+K177)</f>
        <v>0</v>
      </c>
      <c r="S177" s="19" t="n">
        <f aca="false">IF(RESET=1,0,S177+N177)</f>
        <v>0</v>
      </c>
      <c r="T177" s="0" t="n">
        <f aca="false">IF(RESET=1,0,T177+IF(H177=0,1,0))</f>
        <v>0</v>
      </c>
      <c r="U177" s="0" t="n">
        <f aca="false">IF(RESET=1,0,U177+H177)</f>
        <v>0</v>
      </c>
      <c r="V177" s="19" t="n">
        <f aca="false">R177/(T177+0.00001)</f>
        <v>0</v>
      </c>
      <c r="W177" s="19" t="n">
        <f aca="false">S177/(U177+0.0001)</f>
        <v>0</v>
      </c>
      <c r="X177" s="47" t="e">
        <f aca="false">IF(Informed=1,K177,0)</f>
        <v>#N/A</v>
      </c>
      <c r="Y177" s="47" t="n">
        <f aca="false">IF(Informed=0,K177,0)</f>
        <v>0</v>
      </c>
      <c r="Z177" s="47" t="e">
        <f aca="false">IF(Informed=1,N177,0)</f>
        <v>#N/A</v>
      </c>
      <c r="AA177" s="47" t="n">
        <f aca="false">IF(Informed=0,N177,0)</f>
        <v>0</v>
      </c>
      <c r="AB177" s="51" t="e">
        <f aca="false">IF(Arterial=0,IF(Informed=1,1,0),0)</f>
        <v>#N/A</v>
      </c>
      <c r="AC177" s="51" t="e">
        <f aca="false">IF(Arterial=0,IF(Informed=0,1,0),0)</f>
        <v>#N/A</v>
      </c>
      <c r="AD177" s="51" t="e">
        <f aca="false">IF(Arterial=1,IF(Informed=1,1,0),0)</f>
        <v>#N/A</v>
      </c>
      <c r="AE177" s="51" t="e">
        <f aca="false">IF(Arterial=1,IF(Informed=0,1,0),0)</f>
        <v>#N/A</v>
      </c>
      <c r="AF177" s="44" t="e">
        <f aca="false">IF(AB177=1,(X177-G$1030)^2,0)</f>
        <v>#N/A</v>
      </c>
      <c r="AG177" s="44" t="e">
        <f aca="false">IF(AC177=1,(Y177-H$1030)^2,0)</f>
        <v>#N/A</v>
      </c>
      <c r="AH177" s="44" t="e">
        <f aca="false">IF(AD177=1,(Z177-I$1030)^2,0)</f>
        <v>#N/A</v>
      </c>
      <c r="AI177" s="44" t="e">
        <f aca="false">IF(AE177=1,(AA177-J$1030)^2,0)</f>
        <v>#N/A</v>
      </c>
    </row>
    <row r="178" customFormat="false" ht="12" hidden="false" customHeight="false" outlineLevel="0" collapsed="false">
      <c r="A178" s="29" t="n">
        <v>161</v>
      </c>
      <c r="B178" s="45" t="n">
        <f aca="true">IF(RAND()&lt;$D$8,1,0)</f>
        <v>1</v>
      </c>
      <c r="C178" s="34" t="n">
        <f aca="true">-LN(RAND())/$D$2</f>
        <v>0.836154903921807</v>
      </c>
      <c r="D178" s="46" t="n">
        <f aca="false">D177+C178</f>
        <v>252.306814826673</v>
      </c>
      <c r="E178" s="47" t="e">
        <f aca="false">MAX($D$3,(1+P177-VLOOKUP(VALUE(D178),$J$18:$Q177,7,TRUE()))*$D$3)</f>
        <v>#N/A</v>
      </c>
      <c r="F178" s="47" t="e">
        <f aca="false">MAX($D$4,(1+Q177-VLOOKUP(VALUE(D178),$M$18:$Q177,5,TRUE()))*$D$4)</f>
        <v>#N/A</v>
      </c>
      <c r="G178" s="48" t="n">
        <v>0.5</v>
      </c>
      <c r="H178" s="46" t="e">
        <f aca="true">IF((B178=1),(IF((F178&lt;E178),1,(IF((F178=E178),(IF(RAND()&lt;G178,1,0)),0)))),(IF((RAND()&lt;G178),1,0)))</f>
        <v>#N/A</v>
      </c>
      <c r="I178" s="46" t="e">
        <f aca="true">IF((H178=1),0,$D$3+$D$5*(RAND()-0.5))</f>
        <v>#N/A</v>
      </c>
      <c r="J178" s="46" t="e">
        <f aca="false">I178+MAX(D178,J177)</f>
        <v>#N/A</v>
      </c>
      <c r="K178" s="46" t="e">
        <f aca="false">IF((H178=0),J178-D178,0)</f>
        <v>#N/A</v>
      </c>
      <c r="L178" s="46" t="e">
        <f aca="true">IF(($H178=0),0,$D$4+$D$5*(RAND()-0.5))</f>
        <v>#N/A</v>
      </c>
      <c r="M178" s="46" t="e">
        <f aca="false">L178+MAX(D178,M177)</f>
        <v>#N/A</v>
      </c>
      <c r="N178" s="46" t="e">
        <f aca="false">IF((H178=1),M178-D178,0)</f>
        <v>#N/A</v>
      </c>
      <c r="O178" s="29" t="n">
        <v>161</v>
      </c>
      <c r="P178" s="49" t="e">
        <f aca="false">IF((Arterial=0),P177+1,P177)</f>
        <v>#N/A</v>
      </c>
      <c r="Q178" s="49" t="e">
        <f aca="false">IF((Arterial=1),Q177+1,Q177)</f>
        <v>#N/A</v>
      </c>
      <c r="R178" s="50" t="n">
        <f aca="false">IF((RESET=1),0,R178+K178)</f>
        <v>0</v>
      </c>
      <c r="S178" s="19" t="n">
        <f aca="false">IF(RESET=1,0,S178+N178)</f>
        <v>0</v>
      </c>
      <c r="T178" s="0" t="n">
        <f aca="false">IF(RESET=1,0,T178+IF(H178=0,1,0))</f>
        <v>0</v>
      </c>
      <c r="U178" s="0" t="n">
        <f aca="false">IF(RESET=1,0,U178+H178)</f>
        <v>0</v>
      </c>
      <c r="V178" s="19" t="n">
        <f aca="false">R178/(T178+0.00001)</f>
        <v>0</v>
      </c>
      <c r="W178" s="19" t="n">
        <f aca="false">S178/(U178+0.0001)</f>
        <v>0</v>
      </c>
      <c r="X178" s="47" t="e">
        <f aca="false">IF(Informed=1,K178,0)</f>
        <v>#N/A</v>
      </c>
      <c r="Y178" s="47" t="n">
        <f aca="false">IF(Informed=0,K178,0)</f>
        <v>0</v>
      </c>
      <c r="Z178" s="47" t="e">
        <f aca="false">IF(Informed=1,N178,0)</f>
        <v>#N/A</v>
      </c>
      <c r="AA178" s="47" t="n">
        <f aca="false">IF(Informed=0,N178,0)</f>
        <v>0</v>
      </c>
      <c r="AB178" s="51" t="e">
        <f aca="false">IF(Arterial=0,IF(Informed=1,1,0),0)</f>
        <v>#N/A</v>
      </c>
      <c r="AC178" s="51" t="e">
        <f aca="false">IF(Arterial=0,IF(Informed=0,1,0),0)</f>
        <v>#N/A</v>
      </c>
      <c r="AD178" s="51" t="e">
        <f aca="false">IF(Arterial=1,IF(Informed=1,1,0),0)</f>
        <v>#N/A</v>
      </c>
      <c r="AE178" s="51" t="e">
        <f aca="false">IF(Arterial=1,IF(Informed=0,1,0),0)</f>
        <v>#N/A</v>
      </c>
      <c r="AF178" s="44" t="e">
        <f aca="false">IF(AB178=1,(X178-G$1030)^2,0)</f>
        <v>#N/A</v>
      </c>
      <c r="AG178" s="44" t="e">
        <f aca="false">IF(AC178=1,(Y178-H$1030)^2,0)</f>
        <v>#N/A</v>
      </c>
      <c r="AH178" s="44" t="e">
        <f aca="false">IF(AD178=1,(Z178-I$1030)^2,0)</f>
        <v>#N/A</v>
      </c>
      <c r="AI178" s="44" t="e">
        <f aca="false">IF(AE178=1,(AA178-J$1030)^2,0)</f>
        <v>#N/A</v>
      </c>
    </row>
    <row r="179" customFormat="false" ht="12" hidden="false" customHeight="false" outlineLevel="0" collapsed="false">
      <c r="A179" s="29" t="n">
        <v>162</v>
      </c>
      <c r="B179" s="45" t="n">
        <f aca="true">IF(RAND()&lt;$D$8,1,0)</f>
        <v>1</v>
      </c>
      <c r="C179" s="34" t="n">
        <f aca="true">-LN(RAND())/$D$2</f>
        <v>3.21342068690667</v>
      </c>
      <c r="D179" s="46" t="n">
        <f aca="false">D178+C179</f>
        <v>255.52023551358</v>
      </c>
      <c r="E179" s="47" t="e">
        <f aca="false">MAX($D$3,(1+P178-VLOOKUP(VALUE(D179),$J$18:$Q178,7,TRUE()))*$D$3)</f>
        <v>#N/A</v>
      </c>
      <c r="F179" s="47" t="e">
        <f aca="false">MAX($D$4,(1+Q178-VLOOKUP(VALUE(D179),$M$18:$Q178,5,TRUE()))*$D$4)</f>
        <v>#N/A</v>
      </c>
      <c r="G179" s="48" t="n">
        <v>0.5</v>
      </c>
      <c r="H179" s="46" t="e">
        <f aca="true">IF((B179=1),(IF((F179&lt;E179),1,(IF((F179=E179),(IF(RAND()&lt;G179,1,0)),0)))),(IF((RAND()&lt;G179),1,0)))</f>
        <v>#N/A</v>
      </c>
      <c r="I179" s="46" t="e">
        <f aca="true">IF((H179=1),0,$D$3+$D$5*(RAND()-0.5))</f>
        <v>#N/A</v>
      </c>
      <c r="J179" s="46" t="e">
        <f aca="false">I179+MAX(D179,J178)</f>
        <v>#N/A</v>
      </c>
      <c r="K179" s="46" t="e">
        <f aca="false">IF((H179=0),J179-D179,0)</f>
        <v>#N/A</v>
      </c>
      <c r="L179" s="46" t="e">
        <f aca="true">IF(($H179=0),0,$D$4+$D$5*(RAND()-0.5))</f>
        <v>#N/A</v>
      </c>
      <c r="M179" s="46" t="e">
        <f aca="false">L179+MAX(D179,M178)</f>
        <v>#N/A</v>
      </c>
      <c r="N179" s="46" t="e">
        <f aca="false">IF((H179=1),M179-D179,0)</f>
        <v>#N/A</v>
      </c>
      <c r="O179" s="29" t="n">
        <v>162</v>
      </c>
      <c r="P179" s="49" t="e">
        <f aca="false">IF((Arterial=0),P178+1,P178)</f>
        <v>#N/A</v>
      </c>
      <c r="Q179" s="49" t="e">
        <f aca="false">IF((Arterial=1),Q178+1,Q178)</f>
        <v>#N/A</v>
      </c>
      <c r="R179" s="50" t="n">
        <f aca="false">IF((RESET=1),0,R179+K179)</f>
        <v>0</v>
      </c>
      <c r="S179" s="19" t="n">
        <f aca="false">IF(RESET=1,0,S179+N179)</f>
        <v>0</v>
      </c>
      <c r="T179" s="0" t="n">
        <f aca="false">IF(RESET=1,0,T179+IF(H179=0,1,0))</f>
        <v>0</v>
      </c>
      <c r="U179" s="0" t="n">
        <f aca="false">IF(RESET=1,0,U179+H179)</f>
        <v>0</v>
      </c>
      <c r="V179" s="19" t="n">
        <f aca="false">R179/(T179+0.00001)</f>
        <v>0</v>
      </c>
      <c r="W179" s="19" t="n">
        <f aca="false">S179/(U179+0.0001)</f>
        <v>0</v>
      </c>
      <c r="X179" s="47" t="e">
        <f aca="false">IF(Informed=1,K179,0)</f>
        <v>#N/A</v>
      </c>
      <c r="Y179" s="47" t="n">
        <f aca="false">IF(Informed=0,K179,0)</f>
        <v>0</v>
      </c>
      <c r="Z179" s="47" t="e">
        <f aca="false">IF(Informed=1,N179,0)</f>
        <v>#N/A</v>
      </c>
      <c r="AA179" s="47" t="n">
        <f aca="false">IF(Informed=0,N179,0)</f>
        <v>0</v>
      </c>
      <c r="AB179" s="51" t="e">
        <f aca="false">IF(Arterial=0,IF(Informed=1,1,0),0)</f>
        <v>#N/A</v>
      </c>
      <c r="AC179" s="51" t="e">
        <f aca="false">IF(Arterial=0,IF(Informed=0,1,0),0)</f>
        <v>#N/A</v>
      </c>
      <c r="AD179" s="51" t="e">
        <f aca="false">IF(Arterial=1,IF(Informed=1,1,0),0)</f>
        <v>#N/A</v>
      </c>
      <c r="AE179" s="51" t="e">
        <f aca="false">IF(Arterial=1,IF(Informed=0,1,0),0)</f>
        <v>#N/A</v>
      </c>
      <c r="AF179" s="44" t="e">
        <f aca="false">IF(AB179=1,(X179-G$1030)^2,0)</f>
        <v>#N/A</v>
      </c>
      <c r="AG179" s="44" t="e">
        <f aca="false">IF(AC179=1,(Y179-H$1030)^2,0)</f>
        <v>#N/A</v>
      </c>
      <c r="AH179" s="44" t="e">
        <f aca="false">IF(AD179=1,(Z179-I$1030)^2,0)</f>
        <v>#N/A</v>
      </c>
      <c r="AI179" s="44" t="e">
        <f aca="false">IF(AE179=1,(AA179-J$1030)^2,0)</f>
        <v>#N/A</v>
      </c>
    </row>
    <row r="180" customFormat="false" ht="12" hidden="false" customHeight="false" outlineLevel="0" collapsed="false">
      <c r="A180" s="29" t="n">
        <v>163</v>
      </c>
      <c r="B180" s="45" t="n">
        <f aca="true">IF(RAND()&lt;$D$8,1,0)</f>
        <v>1</v>
      </c>
      <c r="C180" s="34" t="n">
        <f aca="true">-LN(RAND())/$D$2</f>
        <v>0.482174941783477</v>
      </c>
      <c r="D180" s="46" t="n">
        <f aca="false">D179+C180</f>
        <v>256.002410455363</v>
      </c>
      <c r="E180" s="47" t="e">
        <f aca="false">MAX($D$3,(1+P179-VLOOKUP(VALUE(D180),$J$18:$Q179,7,TRUE()))*$D$3)</f>
        <v>#N/A</v>
      </c>
      <c r="F180" s="47" t="e">
        <f aca="false">MAX($D$4,(1+Q179-VLOOKUP(VALUE(D180),$M$18:$Q179,5,TRUE()))*$D$4)</f>
        <v>#N/A</v>
      </c>
      <c r="G180" s="48" t="n">
        <v>0.5</v>
      </c>
      <c r="H180" s="46" t="e">
        <f aca="true">IF((B180=1),(IF((F180&lt;E180),1,(IF((F180=E180),(IF(RAND()&lt;G180,1,0)),0)))),(IF((RAND()&lt;G180),1,0)))</f>
        <v>#N/A</v>
      </c>
      <c r="I180" s="46" t="e">
        <f aca="true">IF((H180=1),0,$D$3+$D$5*(RAND()-0.5))</f>
        <v>#N/A</v>
      </c>
      <c r="J180" s="46" t="e">
        <f aca="false">I180+MAX(D180,J179)</f>
        <v>#N/A</v>
      </c>
      <c r="K180" s="46" t="e">
        <f aca="false">IF((H180=0),J180-D180,0)</f>
        <v>#N/A</v>
      </c>
      <c r="L180" s="46" t="e">
        <f aca="true">IF(($H180=0),0,$D$4+$D$5*(RAND()-0.5))</f>
        <v>#N/A</v>
      </c>
      <c r="M180" s="46" t="e">
        <f aca="false">L180+MAX(D180,M179)</f>
        <v>#N/A</v>
      </c>
      <c r="N180" s="46" t="e">
        <f aca="false">IF((H180=1),M180-D180,0)</f>
        <v>#N/A</v>
      </c>
      <c r="O180" s="29" t="n">
        <v>163</v>
      </c>
      <c r="P180" s="49" t="e">
        <f aca="false">IF((Arterial=0),P179+1,P179)</f>
        <v>#N/A</v>
      </c>
      <c r="Q180" s="49" t="e">
        <f aca="false">IF((Arterial=1),Q179+1,Q179)</f>
        <v>#N/A</v>
      </c>
      <c r="R180" s="50" t="n">
        <f aca="false">IF((RESET=1),0,R180+K180)</f>
        <v>0</v>
      </c>
      <c r="S180" s="19" t="n">
        <f aca="false">IF(RESET=1,0,S180+N180)</f>
        <v>0</v>
      </c>
      <c r="T180" s="0" t="n">
        <f aca="false">IF(RESET=1,0,T180+IF(H180=0,1,0))</f>
        <v>0</v>
      </c>
      <c r="U180" s="0" t="n">
        <f aca="false">IF(RESET=1,0,U180+H180)</f>
        <v>0</v>
      </c>
      <c r="V180" s="19" t="n">
        <f aca="false">R180/(T180+0.00001)</f>
        <v>0</v>
      </c>
      <c r="W180" s="19" t="n">
        <f aca="false">S180/(U180+0.0001)</f>
        <v>0</v>
      </c>
      <c r="X180" s="47" t="e">
        <f aca="false">IF(Informed=1,K180,0)</f>
        <v>#N/A</v>
      </c>
      <c r="Y180" s="47" t="n">
        <f aca="false">IF(Informed=0,K180,0)</f>
        <v>0</v>
      </c>
      <c r="Z180" s="47" t="e">
        <f aca="false">IF(Informed=1,N180,0)</f>
        <v>#N/A</v>
      </c>
      <c r="AA180" s="47" t="n">
        <f aca="false">IF(Informed=0,N180,0)</f>
        <v>0</v>
      </c>
      <c r="AB180" s="51" t="e">
        <f aca="false">IF(Arterial=0,IF(Informed=1,1,0),0)</f>
        <v>#N/A</v>
      </c>
      <c r="AC180" s="51" t="e">
        <f aca="false">IF(Arterial=0,IF(Informed=0,1,0),0)</f>
        <v>#N/A</v>
      </c>
      <c r="AD180" s="51" t="e">
        <f aca="false">IF(Arterial=1,IF(Informed=1,1,0),0)</f>
        <v>#N/A</v>
      </c>
      <c r="AE180" s="51" t="e">
        <f aca="false">IF(Arterial=1,IF(Informed=0,1,0),0)</f>
        <v>#N/A</v>
      </c>
      <c r="AF180" s="44" t="e">
        <f aca="false">IF(AB180=1,(X180-G$1030)^2,0)</f>
        <v>#N/A</v>
      </c>
      <c r="AG180" s="44" t="e">
        <f aca="false">IF(AC180=1,(Y180-H$1030)^2,0)</f>
        <v>#N/A</v>
      </c>
      <c r="AH180" s="44" t="e">
        <f aca="false">IF(AD180=1,(Z180-I$1030)^2,0)</f>
        <v>#N/A</v>
      </c>
      <c r="AI180" s="44" t="e">
        <f aca="false">IF(AE180=1,(AA180-J$1030)^2,0)</f>
        <v>#N/A</v>
      </c>
    </row>
    <row r="181" customFormat="false" ht="12" hidden="false" customHeight="false" outlineLevel="0" collapsed="false">
      <c r="A181" s="29" t="n">
        <v>164</v>
      </c>
      <c r="B181" s="45" t="n">
        <f aca="true">IF(RAND()&lt;$D$8,1,0)</f>
        <v>1</v>
      </c>
      <c r="C181" s="34" t="n">
        <f aca="true">-LN(RAND())/$D$2</f>
        <v>1.32821457072203</v>
      </c>
      <c r="D181" s="46" t="n">
        <f aca="false">D180+C181</f>
        <v>257.330625026085</v>
      </c>
      <c r="E181" s="47" t="e">
        <f aca="false">MAX($D$3,(1+P180-VLOOKUP(VALUE(D181),$J$18:$Q180,7,TRUE()))*$D$3)</f>
        <v>#N/A</v>
      </c>
      <c r="F181" s="47" t="e">
        <f aca="false">MAX($D$4,(1+Q180-VLOOKUP(VALUE(D181),$M$18:$Q180,5,TRUE()))*$D$4)</f>
        <v>#N/A</v>
      </c>
      <c r="G181" s="48" t="n">
        <v>0.5</v>
      </c>
      <c r="H181" s="46" t="e">
        <f aca="true">IF((B181=1),(IF((F181&lt;E181),1,(IF((F181=E181),(IF(RAND()&lt;G181,1,0)),0)))),(IF((RAND()&lt;G181),1,0)))</f>
        <v>#N/A</v>
      </c>
      <c r="I181" s="46" t="e">
        <f aca="true">IF((H181=1),0,$D$3+$D$5*(RAND()-0.5))</f>
        <v>#N/A</v>
      </c>
      <c r="J181" s="46" t="e">
        <f aca="false">I181+MAX(D181,J180)</f>
        <v>#N/A</v>
      </c>
      <c r="K181" s="46" t="e">
        <f aca="false">IF((H181=0),J181-D181,0)</f>
        <v>#N/A</v>
      </c>
      <c r="L181" s="46" t="e">
        <f aca="true">IF(($H181=0),0,$D$4+$D$5*(RAND()-0.5))</f>
        <v>#N/A</v>
      </c>
      <c r="M181" s="46" t="e">
        <f aca="false">L181+MAX(D181,M180)</f>
        <v>#N/A</v>
      </c>
      <c r="N181" s="46" t="e">
        <f aca="false">IF((H181=1),M181-D181,0)</f>
        <v>#N/A</v>
      </c>
      <c r="O181" s="29" t="n">
        <v>164</v>
      </c>
      <c r="P181" s="49" t="e">
        <f aca="false">IF((Arterial=0),P180+1,P180)</f>
        <v>#N/A</v>
      </c>
      <c r="Q181" s="49" t="e">
        <f aca="false">IF((Arterial=1),Q180+1,Q180)</f>
        <v>#N/A</v>
      </c>
      <c r="R181" s="50" t="n">
        <f aca="false">IF((RESET=1),0,R181+K181)</f>
        <v>0</v>
      </c>
      <c r="S181" s="19" t="n">
        <f aca="false">IF(RESET=1,0,S181+N181)</f>
        <v>0</v>
      </c>
      <c r="T181" s="0" t="n">
        <f aca="false">IF(RESET=1,0,T181+IF(H181=0,1,0))</f>
        <v>0</v>
      </c>
      <c r="U181" s="0" t="n">
        <f aca="false">IF(RESET=1,0,U181+H181)</f>
        <v>0</v>
      </c>
      <c r="V181" s="19" t="n">
        <f aca="false">R181/(T181+0.00001)</f>
        <v>0</v>
      </c>
      <c r="W181" s="19" t="n">
        <f aca="false">S181/(U181+0.0001)</f>
        <v>0</v>
      </c>
      <c r="X181" s="47" t="e">
        <f aca="false">IF(Informed=1,K181,0)</f>
        <v>#N/A</v>
      </c>
      <c r="Y181" s="47" t="n">
        <f aca="false">IF(Informed=0,K181,0)</f>
        <v>0</v>
      </c>
      <c r="Z181" s="47" t="e">
        <f aca="false">IF(Informed=1,N181,0)</f>
        <v>#N/A</v>
      </c>
      <c r="AA181" s="47" t="n">
        <f aca="false">IF(Informed=0,N181,0)</f>
        <v>0</v>
      </c>
      <c r="AB181" s="51" t="e">
        <f aca="false">IF(Arterial=0,IF(Informed=1,1,0),0)</f>
        <v>#N/A</v>
      </c>
      <c r="AC181" s="51" t="e">
        <f aca="false">IF(Arterial=0,IF(Informed=0,1,0),0)</f>
        <v>#N/A</v>
      </c>
      <c r="AD181" s="51" t="e">
        <f aca="false">IF(Arterial=1,IF(Informed=1,1,0),0)</f>
        <v>#N/A</v>
      </c>
      <c r="AE181" s="51" t="e">
        <f aca="false">IF(Arterial=1,IF(Informed=0,1,0),0)</f>
        <v>#N/A</v>
      </c>
      <c r="AF181" s="44" t="e">
        <f aca="false">IF(AB181=1,(X181-G$1030)^2,0)</f>
        <v>#N/A</v>
      </c>
      <c r="AG181" s="44" t="e">
        <f aca="false">IF(AC181=1,(Y181-H$1030)^2,0)</f>
        <v>#N/A</v>
      </c>
      <c r="AH181" s="44" t="e">
        <f aca="false">IF(AD181=1,(Z181-I$1030)^2,0)</f>
        <v>#N/A</v>
      </c>
      <c r="AI181" s="44" t="e">
        <f aca="false">IF(AE181=1,(AA181-J$1030)^2,0)</f>
        <v>#N/A</v>
      </c>
    </row>
    <row r="182" customFormat="false" ht="12" hidden="false" customHeight="false" outlineLevel="0" collapsed="false">
      <c r="A182" s="29" t="n">
        <v>165</v>
      </c>
      <c r="B182" s="45" t="n">
        <f aca="true">IF(RAND()&lt;$D$8,1,0)</f>
        <v>1</v>
      </c>
      <c r="C182" s="34" t="n">
        <f aca="true">-LN(RAND())/$D$2</f>
        <v>0.323944743859984</v>
      </c>
      <c r="D182" s="46" t="n">
        <f aca="false">D181+C182</f>
        <v>257.654569769945</v>
      </c>
      <c r="E182" s="47" t="e">
        <f aca="false">MAX($D$3,(1+P181-VLOOKUP(VALUE(D182),$J$18:$Q181,7,TRUE()))*$D$3)</f>
        <v>#N/A</v>
      </c>
      <c r="F182" s="47" t="e">
        <f aca="false">MAX($D$4,(1+Q181-VLOOKUP(VALUE(D182),$M$18:$Q181,5,TRUE()))*$D$4)</f>
        <v>#N/A</v>
      </c>
      <c r="G182" s="48" t="n">
        <v>0.5</v>
      </c>
      <c r="H182" s="46" t="e">
        <f aca="true">IF((B182=1),(IF((F182&lt;E182),1,(IF((F182=E182),(IF(RAND()&lt;G182,1,0)),0)))),(IF((RAND()&lt;G182),1,0)))</f>
        <v>#N/A</v>
      </c>
      <c r="I182" s="46" t="e">
        <f aca="true">IF((H182=1),0,$D$3+$D$5*(RAND()-0.5))</f>
        <v>#N/A</v>
      </c>
      <c r="J182" s="46" t="e">
        <f aca="false">I182+MAX(D182,J181)</f>
        <v>#N/A</v>
      </c>
      <c r="K182" s="46" t="e">
        <f aca="false">IF((H182=0),J182-D182,0)</f>
        <v>#N/A</v>
      </c>
      <c r="L182" s="46" t="e">
        <f aca="true">IF(($H182=0),0,$D$4+$D$5*(RAND()-0.5))</f>
        <v>#N/A</v>
      </c>
      <c r="M182" s="46" t="e">
        <f aca="false">L182+MAX(D182,M181)</f>
        <v>#N/A</v>
      </c>
      <c r="N182" s="46" t="e">
        <f aca="false">IF((H182=1),M182-D182,0)</f>
        <v>#N/A</v>
      </c>
      <c r="O182" s="29" t="n">
        <v>165</v>
      </c>
      <c r="P182" s="49" t="e">
        <f aca="false">IF((Arterial=0),P181+1,P181)</f>
        <v>#N/A</v>
      </c>
      <c r="Q182" s="49" t="e">
        <f aca="false">IF((Arterial=1),Q181+1,Q181)</f>
        <v>#N/A</v>
      </c>
      <c r="R182" s="50" t="n">
        <f aca="false">IF((RESET=1),0,R182+K182)</f>
        <v>0</v>
      </c>
      <c r="S182" s="19" t="n">
        <f aca="false">IF(RESET=1,0,S182+N182)</f>
        <v>0</v>
      </c>
      <c r="T182" s="0" t="n">
        <f aca="false">IF(RESET=1,0,T182+IF(H182=0,1,0))</f>
        <v>0</v>
      </c>
      <c r="U182" s="0" t="n">
        <f aca="false">IF(RESET=1,0,U182+H182)</f>
        <v>0</v>
      </c>
      <c r="V182" s="19" t="n">
        <f aca="false">R182/(T182+0.00001)</f>
        <v>0</v>
      </c>
      <c r="W182" s="19" t="n">
        <f aca="false">S182/(U182+0.0001)</f>
        <v>0</v>
      </c>
      <c r="X182" s="47" t="e">
        <f aca="false">IF(Informed=1,K182,0)</f>
        <v>#N/A</v>
      </c>
      <c r="Y182" s="47" t="n">
        <f aca="false">IF(Informed=0,K182,0)</f>
        <v>0</v>
      </c>
      <c r="Z182" s="47" t="e">
        <f aca="false">IF(Informed=1,N182,0)</f>
        <v>#N/A</v>
      </c>
      <c r="AA182" s="47" t="n">
        <f aca="false">IF(Informed=0,N182,0)</f>
        <v>0</v>
      </c>
      <c r="AB182" s="51" t="e">
        <f aca="false">IF(Arterial=0,IF(Informed=1,1,0),0)</f>
        <v>#N/A</v>
      </c>
      <c r="AC182" s="51" t="e">
        <f aca="false">IF(Arterial=0,IF(Informed=0,1,0),0)</f>
        <v>#N/A</v>
      </c>
      <c r="AD182" s="51" t="e">
        <f aca="false">IF(Arterial=1,IF(Informed=1,1,0),0)</f>
        <v>#N/A</v>
      </c>
      <c r="AE182" s="51" t="e">
        <f aca="false">IF(Arterial=1,IF(Informed=0,1,0),0)</f>
        <v>#N/A</v>
      </c>
      <c r="AF182" s="44" t="e">
        <f aca="false">IF(AB182=1,(X182-G$1030)^2,0)</f>
        <v>#N/A</v>
      </c>
      <c r="AG182" s="44" t="e">
        <f aca="false">IF(AC182=1,(Y182-H$1030)^2,0)</f>
        <v>#N/A</v>
      </c>
      <c r="AH182" s="44" t="e">
        <f aca="false">IF(AD182=1,(Z182-I$1030)^2,0)</f>
        <v>#N/A</v>
      </c>
      <c r="AI182" s="44" t="e">
        <f aca="false">IF(AE182=1,(AA182-J$1030)^2,0)</f>
        <v>#N/A</v>
      </c>
    </row>
    <row r="183" customFormat="false" ht="12" hidden="false" customHeight="false" outlineLevel="0" collapsed="false">
      <c r="A183" s="29" t="n">
        <v>166</v>
      </c>
      <c r="B183" s="45" t="n">
        <f aca="true">IF(RAND()&lt;$D$8,1,0)</f>
        <v>1</v>
      </c>
      <c r="C183" s="34" t="n">
        <f aca="true">-LN(RAND())/$D$2</f>
        <v>1.08860202458641</v>
      </c>
      <c r="D183" s="46" t="n">
        <f aca="false">D182+C183</f>
        <v>258.743171794531</v>
      </c>
      <c r="E183" s="47" t="e">
        <f aca="false">MAX($D$3,(1+P182-VLOOKUP(VALUE(D183),$J$18:$Q182,7,TRUE()))*$D$3)</f>
        <v>#N/A</v>
      </c>
      <c r="F183" s="47" t="e">
        <f aca="false">MAX($D$4,(1+Q182-VLOOKUP(VALUE(D183),$M$18:$Q182,5,TRUE()))*$D$4)</f>
        <v>#N/A</v>
      </c>
      <c r="G183" s="48" t="n">
        <v>0.5</v>
      </c>
      <c r="H183" s="46" t="e">
        <f aca="true">IF((B183=1),(IF((F183&lt;E183),1,(IF((F183=E183),(IF(RAND()&lt;G183,1,0)),0)))),(IF((RAND()&lt;G183),1,0)))</f>
        <v>#N/A</v>
      </c>
      <c r="I183" s="46" t="e">
        <f aca="true">IF((H183=1),0,$D$3+$D$5*(RAND()-0.5))</f>
        <v>#N/A</v>
      </c>
      <c r="J183" s="46" t="e">
        <f aca="false">I183+MAX(D183,J182)</f>
        <v>#N/A</v>
      </c>
      <c r="K183" s="46" t="e">
        <f aca="false">IF((H183=0),J183-D183,0)</f>
        <v>#N/A</v>
      </c>
      <c r="L183" s="46" t="e">
        <f aca="true">IF(($H183=0),0,$D$4+$D$5*(RAND()-0.5))</f>
        <v>#N/A</v>
      </c>
      <c r="M183" s="46" t="e">
        <f aca="false">L183+MAX(D183,M182)</f>
        <v>#N/A</v>
      </c>
      <c r="N183" s="46" t="e">
        <f aca="false">IF((H183=1),M183-D183,0)</f>
        <v>#N/A</v>
      </c>
      <c r="O183" s="29" t="n">
        <v>166</v>
      </c>
      <c r="P183" s="49" t="e">
        <f aca="false">IF((Arterial=0),P182+1,P182)</f>
        <v>#N/A</v>
      </c>
      <c r="Q183" s="49" t="e">
        <f aca="false">IF((Arterial=1),Q182+1,Q182)</f>
        <v>#N/A</v>
      </c>
      <c r="R183" s="50" t="n">
        <f aca="false">IF((RESET=1),0,R183+K183)</f>
        <v>0</v>
      </c>
      <c r="S183" s="19" t="n">
        <f aca="false">IF(RESET=1,0,S183+N183)</f>
        <v>0</v>
      </c>
      <c r="T183" s="0" t="n">
        <f aca="false">IF(RESET=1,0,T183+IF(H183=0,1,0))</f>
        <v>0</v>
      </c>
      <c r="U183" s="0" t="n">
        <f aca="false">IF(RESET=1,0,U183+H183)</f>
        <v>0</v>
      </c>
      <c r="V183" s="19" t="n">
        <f aca="false">R183/(T183+0.00001)</f>
        <v>0</v>
      </c>
      <c r="W183" s="19" t="n">
        <f aca="false">S183/(U183+0.0001)</f>
        <v>0</v>
      </c>
      <c r="X183" s="47" t="e">
        <f aca="false">IF(Informed=1,K183,0)</f>
        <v>#N/A</v>
      </c>
      <c r="Y183" s="47" t="n">
        <f aca="false">IF(Informed=0,K183,0)</f>
        <v>0</v>
      </c>
      <c r="Z183" s="47" t="e">
        <f aca="false">IF(Informed=1,N183,0)</f>
        <v>#N/A</v>
      </c>
      <c r="AA183" s="47" t="n">
        <f aca="false">IF(Informed=0,N183,0)</f>
        <v>0</v>
      </c>
      <c r="AB183" s="51" t="e">
        <f aca="false">IF(Arterial=0,IF(Informed=1,1,0),0)</f>
        <v>#N/A</v>
      </c>
      <c r="AC183" s="51" t="e">
        <f aca="false">IF(Arterial=0,IF(Informed=0,1,0),0)</f>
        <v>#N/A</v>
      </c>
      <c r="AD183" s="51" t="e">
        <f aca="false">IF(Arterial=1,IF(Informed=1,1,0),0)</f>
        <v>#N/A</v>
      </c>
      <c r="AE183" s="51" t="e">
        <f aca="false">IF(Arterial=1,IF(Informed=0,1,0),0)</f>
        <v>#N/A</v>
      </c>
      <c r="AF183" s="44" t="e">
        <f aca="false">IF(AB183=1,(X183-G$1030)^2,0)</f>
        <v>#N/A</v>
      </c>
      <c r="AG183" s="44" t="e">
        <f aca="false">IF(AC183=1,(Y183-H$1030)^2,0)</f>
        <v>#N/A</v>
      </c>
      <c r="AH183" s="44" t="e">
        <f aca="false">IF(AD183=1,(Z183-I$1030)^2,0)</f>
        <v>#N/A</v>
      </c>
      <c r="AI183" s="44" t="e">
        <f aca="false">IF(AE183=1,(AA183-J$1030)^2,0)</f>
        <v>#N/A</v>
      </c>
    </row>
    <row r="184" customFormat="false" ht="12" hidden="false" customHeight="false" outlineLevel="0" collapsed="false">
      <c r="A184" s="29" t="n">
        <v>167</v>
      </c>
      <c r="B184" s="45" t="n">
        <f aca="true">IF(RAND()&lt;$D$8,1,0)</f>
        <v>1</v>
      </c>
      <c r="C184" s="34" t="n">
        <f aca="true">-LN(RAND())/$D$2</f>
        <v>5.31767962861689</v>
      </c>
      <c r="D184" s="46" t="n">
        <f aca="false">D183+C184</f>
        <v>264.060851423148</v>
      </c>
      <c r="E184" s="47" t="e">
        <f aca="false">MAX($D$3,(1+P183-VLOOKUP(VALUE(D184),$J$18:$Q183,7,TRUE()))*$D$3)</f>
        <v>#N/A</v>
      </c>
      <c r="F184" s="47" t="e">
        <f aca="false">MAX($D$4,(1+Q183-VLOOKUP(VALUE(D184),$M$18:$Q183,5,TRUE()))*$D$4)</f>
        <v>#N/A</v>
      </c>
      <c r="G184" s="48" t="n">
        <v>0.5</v>
      </c>
      <c r="H184" s="46" t="e">
        <f aca="true">IF((B184=1),(IF((F184&lt;E184),1,(IF((F184=E184),(IF(RAND()&lt;G184,1,0)),0)))),(IF((RAND()&lt;G184),1,0)))</f>
        <v>#N/A</v>
      </c>
      <c r="I184" s="46" t="e">
        <f aca="true">IF((H184=1),0,$D$3+$D$5*(RAND()-0.5))</f>
        <v>#N/A</v>
      </c>
      <c r="J184" s="46" t="e">
        <f aca="false">I184+MAX(D184,J183)</f>
        <v>#N/A</v>
      </c>
      <c r="K184" s="46" t="e">
        <f aca="false">IF((H184=0),J184-D184,0)</f>
        <v>#N/A</v>
      </c>
      <c r="L184" s="46" t="e">
        <f aca="true">IF(($H184=0),0,$D$4+$D$5*(RAND()-0.5))</f>
        <v>#N/A</v>
      </c>
      <c r="M184" s="46" t="e">
        <f aca="false">L184+MAX(D184,M183)</f>
        <v>#N/A</v>
      </c>
      <c r="N184" s="46" t="e">
        <f aca="false">IF((H184=1),M184-D184,0)</f>
        <v>#N/A</v>
      </c>
      <c r="O184" s="29" t="n">
        <v>167</v>
      </c>
      <c r="P184" s="49" t="e">
        <f aca="false">IF((Arterial=0),P183+1,P183)</f>
        <v>#N/A</v>
      </c>
      <c r="Q184" s="49" t="e">
        <f aca="false">IF((Arterial=1),Q183+1,Q183)</f>
        <v>#N/A</v>
      </c>
      <c r="R184" s="50" t="n">
        <f aca="false">IF((RESET=1),0,R184+K184)</f>
        <v>0</v>
      </c>
      <c r="S184" s="19" t="n">
        <f aca="false">IF(RESET=1,0,S184+N184)</f>
        <v>0</v>
      </c>
      <c r="T184" s="0" t="n">
        <f aca="false">IF(RESET=1,0,T184+IF(H184=0,1,0))</f>
        <v>0</v>
      </c>
      <c r="U184" s="0" t="n">
        <f aca="false">IF(RESET=1,0,U184+H184)</f>
        <v>0</v>
      </c>
      <c r="V184" s="19" t="n">
        <f aca="false">R184/(T184+0.00001)</f>
        <v>0</v>
      </c>
      <c r="W184" s="19" t="n">
        <f aca="false">S184/(U184+0.0001)</f>
        <v>0</v>
      </c>
      <c r="X184" s="47" t="e">
        <f aca="false">IF(Informed=1,K184,0)</f>
        <v>#N/A</v>
      </c>
      <c r="Y184" s="47" t="n">
        <f aca="false">IF(Informed=0,K184,0)</f>
        <v>0</v>
      </c>
      <c r="Z184" s="47" t="e">
        <f aca="false">IF(Informed=1,N184,0)</f>
        <v>#N/A</v>
      </c>
      <c r="AA184" s="47" t="n">
        <f aca="false">IF(Informed=0,N184,0)</f>
        <v>0</v>
      </c>
      <c r="AB184" s="51" t="e">
        <f aca="false">IF(Arterial=0,IF(Informed=1,1,0),0)</f>
        <v>#N/A</v>
      </c>
      <c r="AC184" s="51" t="e">
        <f aca="false">IF(Arterial=0,IF(Informed=0,1,0),0)</f>
        <v>#N/A</v>
      </c>
      <c r="AD184" s="51" t="e">
        <f aca="false">IF(Arterial=1,IF(Informed=1,1,0),0)</f>
        <v>#N/A</v>
      </c>
      <c r="AE184" s="51" t="e">
        <f aca="false">IF(Arterial=1,IF(Informed=0,1,0),0)</f>
        <v>#N/A</v>
      </c>
      <c r="AF184" s="44" t="e">
        <f aca="false">IF(AB184=1,(X184-G$1030)^2,0)</f>
        <v>#N/A</v>
      </c>
      <c r="AG184" s="44" t="e">
        <f aca="false">IF(AC184=1,(Y184-H$1030)^2,0)</f>
        <v>#N/A</v>
      </c>
      <c r="AH184" s="44" t="e">
        <f aca="false">IF(AD184=1,(Z184-I$1030)^2,0)</f>
        <v>#N/A</v>
      </c>
      <c r="AI184" s="44" t="e">
        <f aca="false">IF(AE184=1,(AA184-J$1030)^2,0)</f>
        <v>#N/A</v>
      </c>
    </row>
    <row r="185" customFormat="false" ht="12" hidden="false" customHeight="false" outlineLevel="0" collapsed="false">
      <c r="A185" s="29" t="n">
        <v>168</v>
      </c>
      <c r="B185" s="45" t="n">
        <f aca="true">IF(RAND()&lt;$D$8,1,0)</f>
        <v>1</v>
      </c>
      <c r="C185" s="34" t="n">
        <f aca="true">-LN(RAND())/$D$2</f>
        <v>1.06413784331663</v>
      </c>
      <c r="D185" s="46" t="n">
        <f aca="false">D184+C185</f>
        <v>265.124989266465</v>
      </c>
      <c r="E185" s="47" t="e">
        <f aca="false">MAX($D$3,(1+P184-VLOOKUP(VALUE(D185),$J$18:$Q184,7,TRUE()))*$D$3)</f>
        <v>#N/A</v>
      </c>
      <c r="F185" s="47" t="e">
        <f aca="false">MAX($D$4,(1+Q184-VLOOKUP(VALUE(D185),$M$18:$Q184,5,TRUE()))*$D$4)</f>
        <v>#N/A</v>
      </c>
      <c r="G185" s="48" t="n">
        <v>0.5</v>
      </c>
      <c r="H185" s="46" t="e">
        <f aca="true">IF((B185=1),(IF((F185&lt;E185),1,(IF((F185=E185),(IF(RAND()&lt;G185,1,0)),0)))),(IF((RAND()&lt;G185),1,0)))</f>
        <v>#N/A</v>
      </c>
      <c r="I185" s="46" t="e">
        <f aca="true">IF((H185=1),0,$D$3+$D$5*(RAND()-0.5))</f>
        <v>#N/A</v>
      </c>
      <c r="J185" s="46" t="e">
        <f aca="false">I185+MAX(D185,J184)</f>
        <v>#N/A</v>
      </c>
      <c r="K185" s="46" t="e">
        <f aca="false">IF((H185=0),J185-D185,0)</f>
        <v>#N/A</v>
      </c>
      <c r="L185" s="46" t="e">
        <f aca="true">IF(($H185=0),0,$D$4+$D$5*(RAND()-0.5))</f>
        <v>#N/A</v>
      </c>
      <c r="M185" s="46" t="e">
        <f aca="false">L185+MAX(D185,M184)</f>
        <v>#N/A</v>
      </c>
      <c r="N185" s="46" t="e">
        <f aca="false">IF((H185=1),M185-D185,0)</f>
        <v>#N/A</v>
      </c>
      <c r="O185" s="29" t="n">
        <v>168</v>
      </c>
      <c r="P185" s="49" t="e">
        <f aca="false">IF((Arterial=0),P184+1,P184)</f>
        <v>#N/A</v>
      </c>
      <c r="Q185" s="49" t="e">
        <f aca="false">IF((Arterial=1),Q184+1,Q184)</f>
        <v>#N/A</v>
      </c>
      <c r="R185" s="50" t="n">
        <f aca="false">IF((RESET=1),0,R185+K185)</f>
        <v>0</v>
      </c>
      <c r="S185" s="19" t="n">
        <f aca="false">IF(RESET=1,0,S185+N185)</f>
        <v>0</v>
      </c>
      <c r="T185" s="0" t="n">
        <f aca="false">IF(RESET=1,0,T185+IF(H185=0,1,0))</f>
        <v>0</v>
      </c>
      <c r="U185" s="0" t="n">
        <f aca="false">IF(RESET=1,0,U185+H185)</f>
        <v>0</v>
      </c>
      <c r="V185" s="19" t="n">
        <f aca="false">R185/(T185+0.00001)</f>
        <v>0</v>
      </c>
      <c r="W185" s="19" t="n">
        <f aca="false">S185/(U185+0.0001)</f>
        <v>0</v>
      </c>
      <c r="X185" s="47" t="e">
        <f aca="false">IF(Informed=1,K185,0)</f>
        <v>#N/A</v>
      </c>
      <c r="Y185" s="47" t="n">
        <f aca="false">IF(Informed=0,K185,0)</f>
        <v>0</v>
      </c>
      <c r="Z185" s="47" t="e">
        <f aca="false">IF(Informed=1,N185,0)</f>
        <v>#N/A</v>
      </c>
      <c r="AA185" s="47" t="n">
        <f aca="false">IF(Informed=0,N185,0)</f>
        <v>0</v>
      </c>
      <c r="AB185" s="51" t="e">
        <f aca="false">IF(Arterial=0,IF(Informed=1,1,0),0)</f>
        <v>#N/A</v>
      </c>
      <c r="AC185" s="51" t="e">
        <f aca="false">IF(Arterial=0,IF(Informed=0,1,0),0)</f>
        <v>#N/A</v>
      </c>
      <c r="AD185" s="51" t="e">
        <f aca="false">IF(Arterial=1,IF(Informed=1,1,0),0)</f>
        <v>#N/A</v>
      </c>
      <c r="AE185" s="51" t="e">
        <f aca="false">IF(Arterial=1,IF(Informed=0,1,0),0)</f>
        <v>#N/A</v>
      </c>
      <c r="AF185" s="44" t="e">
        <f aca="false">IF(AB185=1,(X185-G$1030)^2,0)</f>
        <v>#N/A</v>
      </c>
      <c r="AG185" s="44" t="e">
        <f aca="false">IF(AC185=1,(Y185-H$1030)^2,0)</f>
        <v>#N/A</v>
      </c>
      <c r="AH185" s="44" t="e">
        <f aca="false">IF(AD185=1,(Z185-I$1030)^2,0)</f>
        <v>#N/A</v>
      </c>
      <c r="AI185" s="44" t="e">
        <f aca="false">IF(AE185=1,(AA185-J$1030)^2,0)</f>
        <v>#N/A</v>
      </c>
    </row>
    <row r="186" customFormat="false" ht="12" hidden="false" customHeight="false" outlineLevel="0" collapsed="false">
      <c r="A186" s="29" t="n">
        <v>169</v>
      </c>
      <c r="B186" s="45" t="n">
        <f aca="true">IF(RAND()&lt;$D$8,1,0)</f>
        <v>1</v>
      </c>
      <c r="C186" s="34" t="n">
        <f aca="true">-LN(RAND())/$D$2</f>
        <v>5.06548101747981</v>
      </c>
      <c r="D186" s="46" t="n">
        <f aca="false">D185+C186</f>
        <v>270.190470283945</v>
      </c>
      <c r="E186" s="47" t="e">
        <f aca="false">MAX($D$3,(1+P185-VLOOKUP(VALUE(D186),$J$18:$Q185,7,TRUE()))*$D$3)</f>
        <v>#N/A</v>
      </c>
      <c r="F186" s="47" t="e">
        <f aca="false">MAX($D$4,(1+Q185-VLOOKUP(VALUE(D186),$M$18:$Q185,5,TRUE()))*$D$4)</f>
        <v>#N/A</v>
      </c>
      <c r="G186" s="48" t="n">
        <v>0.5</v>
      </c>
      <c r="H186" s="46" t="e">
        <f aca="true">IF((B186=1),(IF((F186&lt;E186),1,(IF((F186=E186),(IF(RAND()&lt;G186,1,0)),0)))),(IF((RAND()&lt;G186),1,0)))</f>
        <v>#N/A</v>
      </c>
      <c r="I186" s="46" t="e">
        <f aca="true">IF((H186=1),0,$D$3+$D$5*(RAND()-0.5))</f>
        <v>#N/A</v>
      </c>
      <c r="J186" s="46" t="e">
        <f aca="false">I186+MAX(D186,J185)</f>
        <v>#N/A</v>
      </c>
      <c r="K186" s="46" t="e">
        <f aca="false">IF((H186=0),J186-D186,0)</f>
        <v>#N/A</v>
      </c>
      <c r="L186" s="46" t="e">
        <f aca="true">IF(($H186=0),0,$D$4+$D$5*(RAND()-0.5))</f>
        <v>#N/A</v>
      </c>
      <c r="M186" s="46" t="e">
        <f aca="false">L186+MAX(D186,M185)</f>
        <v>#N/A</v>
      </c>
      <c r="N186" s="46" t="e">
        <f aca="false">IF((H186=1),M186-D186,0)</f>
        <v>#N/A</v>
      </c>
      <c r="O186" s="29" t="n">
        <v>169</v>
      </c>
      <c r="P186" s="49" t="e">
        <f aca="false">IF((Arterial=0),P185+1,P185)</f>
        <v>#N/A</v>
      </c>
      <c r="Q186" s="49" t="e">
        <f aca="false">IF((Arterial=1),Q185+1,Q185)</f>
        <v>#N/A</v>
      </c>
      <c r="R186" s="50" t="n">
        <f aca="false">IF((RESET=1),0,R186+K186)</f>
        <v>0</v>
      </c>
      <c r="S186" s="19" t="n">
        <f aca="false">IF(RESET=1,0,S186+N186)</f>
        <v>0</v>
      </c>
      <c r="T186" s="0" t="n">
        <f aca="false">IF(RESET=1,0,T186+IF(H186=0,1,0))</f>
        <v>0</v>
      </c>
      <c r="U186" s="0" t="n">
        <f aca="false">IF(RESET=1,0,U186+H186)</f>
        <v>0</v>
      </c>
      <c r="V186" s="19" t="n">
        <f aca="false">R186/(T186+0.00001)</f>
        <v>0</v>
      </c>
      <c r="W186" s="19" t="n">
        <f aca="false">S186/(U186+0.0001)</f>
        <v>0</v>
      </c>
      <c r="X186" s="47" t="e">
        <f aca="false">IF(Informed=1,K186,0)</f>
        <v>#N/A</v>
      </c>
      <c r="Y186" s="47" t="n">
        <f aca="false">IF(Informed=0,K186,0)</f>
        <v>0</v>
      </c>
      <c r="Z186" s="47" t="e">
        <f aca="false">IF(Informed=1,N186,0)</f>
        <v>#N/A</v>
      </c>
      <c r="AA186" s="47" t="n">
        <f aca="false">IF(Informed=0,N186,0)</f>
        <v>0</v>
      </c>
      <c r="AB186" s="51" t="e">
        <f aca="false">IF(Arterial=0,IF(Informed=1,1,0),0)</f>
        <v>#N/A</v>
      </c>
      <c r="AC186" s="51" t="e">
        <f aca="false">IF(Arterial=0,IF(Informed=0,1,0),0)</f>
        <v>#N/A</v>
      </c>
      <c r="AD186" s="51" t="e">
        <f aca="false">IF(Arterial=1,IF(Informed=1,1,0),0)</f>
        <v>#N/A</v>
      </c>
      <c r="AE186" s="51" t="e">
        <f aca="false">IF(Arterial=1,IF(Informed=0,1,0),0)</f>
        <v>#N/A</v>
      </c>
      <c r="AF186" s="44" t="e">
        <f aca="false">IF(AB186=1,(X186-G$1030)^2,0)</f>
        <v>#N/A</v>
      </c>
      <c r="AG186" s="44" t="e">
        <f aca="false">IF(AC186=1,(Y186-H$1030)^2,0)</f>
        <v>#N/A</v>
      </c>
      <c r="AH186" s="44" t="e">
        <f aca="false">IF(AD186=1,(Z186-I$1030)^2,0)</f>
        <v>#N/A</v>
      </c>
      <c r="AI186" s="44" t="e">
        <f aca="false">IF(AE186=1,(AA186-J$1030)^2,0)</f>
        <v>#N/A</v>
      </c>
    </row>
    <row r="187" customFormat="false" ht="12" hidden="false" customHeight="false" outlineLevel="0" collapsed="false">
      <c r="A187" s="29" t="n">
        <v>170</v>
      </c>
      <c r="B187" s="45" t="n">
        <f aca="true">IF(RAND()&lt;$D$8,1,0)</f>
        <v>1</v>
      </c>
      <c r="C187" s="34" t="n">
        <f aca="true">-LN(RAND())/$D$2</f>
        <v>0.802077731771132</v>
      </c>
      <c r="D187" s="46" t="n">
        <f aca="false">D186+C187</f>
        <v>270.992548015716</v>
      </c>
      <c r="E187" s="47" t="e">
        <f aca="false">MAX($D$3,(1+P186-VLOOKUP(VALUE(D187),$J$18:$Q186,7,TRUE()))*$D$3)</f>
        <v>#N/A</v>
      </c>
      <c r="F187" s="47" t="e">
        <f aca="false">MAX($D$4,(1+Q186-VLOOKUP(VALUE(D187),$M$18:$Q186,5,TRUE()))*$D$4)</f>
        <v>#N/A</v>
      </c>
      <c r="G187" s="48" t="n">
        <v>0.5</v>
      </c>
      <c r="H187" s="46" t="e">
        <f aca="true">IF((B187=1),(IF((F187&lt;E187),1,(IF((F187=E187),(IF(RAND()&lt;G187,1,0)),0)))),(IF((RAND()&lt;G187),1,0)))</f>
        <v>#N/A</v>
      </c>
      <c r="I187" s="46" t="e">
        <f aca="true">IF((H187=1),0,$D$3+$D$5*(RAND()-0.5))</f>
        <v>#N/A</v>
      </c>
      <c r="J187" s="46" t="e">
        <f aca="false">I187+MAX(D187,J186)</f>
        <v>#N/A</v>
      </c>
      <c r="K187" s="46" t="e">
        <f aca="false">IF((H187=0),J187-D187,0)</f>
        <v>#N/A</v>
      </c>
      <c r="L187" s="46" t="e">
        <f aca="true">IF(($H187=0),0,$D$4+$D$5*(RAND()-0.5))</f>
        <v>#N/A</v>
      </c>
      <c r="M187" s="46" t="e">
        <f aca="false">L187+MAX(D187,M186)</f>
        <v>#N/A</v>
      </c>
      <c r="N187" s="46" t="e">
        <f aca="false">IF((H187=1),M187-D187,0)</f>
        <v>#N/A</v>
      </c>
      <c r="O187" s="29" t="n">
        <v>170</v>
      </c>
      <c r="P187" s="49" t="e">
        <f aca="false">IF((Arterial=0),P186+1,P186)</f>
        <v>#N/A</v>
      </c>
      <c r="Q187" s="49" t="e">
        <f aca="false">IF((Arterial=1),Q186+1,Q186)</f>
        <v>#N/A</v>
      </c>
      <c r="R187" s="50" t="n">
        <f aca="false">IF((RESET=1),0,R187+K187)</f>
        <v>0</v>
      </c>
      <c r="S187" s="19" t="n">
        <f aca="false">IF(RESET=1,0,S187+N187)</f>
        <v>0</v>
      </c>
      <c r="T187" s="0" t="n">
        <f aca="false">IF(RESET=1,0,T187+IF(H187=0,1,0))</f>
        <v>0</v>
      </c>
      <c r="U187" s="0" t="n">
        <f aca="false">IF(RESET=1,0,U187+H187)</f>
        <v>0</v>
      </c>
      <c r="V187" s="19" t="n">
        <f aca="false">R187/(T187+0.00001)</f>
        <v>0</v>
      </c>
      <c r="W187" s="19" t="n">
        <f aca="false">S187/(U187+0.0001)</f>
        <v>0</v>
      </c>
      <c r="X187" s="47" t="e">
        <f aca="false">IF(Informed=1,K187,0)</f>
        <v>#N/A</v>
      </c>
      <c r="Y187" s="47" t="n">
        <f aca="false">IF(Informed=0,K187,0)</f>
        <v>0</v>
      </c>
      <c r="Z187" s="47" t="e">
        <f aca="false">IF(Informed=1,N187,0)</f>
        <v>#N/A</v>
      </c>
      <c r="AA187" s="47" t="n">
        <f aca="false">IF(Informed=0,N187,0)</f>
        <v>0</v>
      </c>
      <c r="AB187" s="51" t="e">
        <f aca="false">IF(Arterial=0,IF(Informed=1,1,0),0)</f>
        <v>#N/A</v>
      </c>
      <c r="AC187" s="51" t="e">
        <f aca="false">IF(Arterial=0,IF(Informed=0,1,0),0)</f>
        <v>#N/A</v>
      </c>
      <c r="AD187" s="51" t="e">
        <f aca="false">IF(Arterial=1,IF(Informed=1,1,0),0)</f>
        <v>#N/A</v>
      </c>
      <c r="AE187" s="51" t="e">
        <f aca="false">IF(Arterial=1,IF(Informed=0,1,0),0)</f>
        <v>#N/A</v>
      </c>
      <c r="AF187" s="44" t="e">
        <f aca="false">IF(AB187=1,(X187-G$1030)^2,0)</f>
        <v>#N/A</v>
      </c>
      <c r="AG187" s="44" t="e">
        <f aca="false">IF(AC187=1,(Y187-H$1030)^2,0)</f>
        <v>#N/A</v>
      </c>
      <c r="AH187" s="44" t="e">
        <f aca="false">IF(AD187=1,(Z187-I$1030)^2,0)</f>
        <v>#N/A</v>
      </c>
      <c r="AI187" s="44" t="e">
        <f aca="false">IF(AE187=1,(AA187-J$1030)^2,0)</f>
        <v>#N/A</v>
      </c>
    </row>
    <row r="188" customFormat="false" ht="12" hidden="false" customHeight="false" outlineLevel="0" collapsed="false">
      <c r="A188" s="29" t="n">
        <v>171</v>
      </c>
      <c r="B188" s="45" t="n">
        <f aca="true">IF(RAND()&lt;$D$8,1,0)</f>
        <v>1</v>
      </c>
      <c r="C188" s="34" t="n">
        <f aca="true">-LN(RAND())/$D$2</f>
        <v>2.14234084738838</v>
      </c>
      <c r="D188" s="46" t="n">
        <f aca="false">D187+C188</f>
        <v>273.134888863104</v>
      </c>
      <c r="E188" s="47" t="e">
        <f aca="false">MAX($D$3,(1+P187-VLOOKUP(VALUE(D188),$J$18:$Q187,7,TRUE()))*$D$3)</f>
        <v>#N/A</v>
      </c>
      <c r="F188" s="47" t="e">
        <f aca="false">MAX($D$4,(1+Q187-VLOOKUP(VALUE(D188),$M$18:$Q187,5,TRUE()))*$D$4)</f>
        <v>#N/A</v>
      </c>
      <c r="G188" s="48" t="n">
        <v>0.5</v>
      </c>
      <c r="H188" s="46" t="e">
        <f aca="true">IF((B188=1),(IF((F188&lt;E188),1,(IF((F188=E188),(IF(RAND()&lt;G188,1,0)),0)))),(IF((RAND()&lt;G188),1,0)))</f>
        <v>#N/A</v>
      </c>
      <c r="I188" s="46" t="e">
        <f aca="true">IF((H188=1),0,$D$3+$D$5*(RAND()-0.5))</f>
        <v>#N/A</v>
      </c>
      <c r="J188" s="46" t="e">
        <f aca="false">I188+MAX(D188,J187)</f>
        <v>#N/A</v>
      </c>
      <c r="K188" s="46" t="e">
        <f aca="false">IF((H188=0),J188-D188,0)</f>
        <v>#N/A</v>
      </c>
      <c r="L188" s="46" t="e">
        <f aca="true">IF(($H188=0),0,$D$4+$D$5*(RAND()-0.5))</f>
        <v>#N/A</v>
      </c>
      <c r="M188" s="46" t="e">
        <f aca="false">L188+MAX(D188,M187)</f>
        <v>#N/A</v>
      </c>
      <c r="N188" s="46" t="e">
        <f aca="false">IF((H188=1),M188-D188,0)</f>
        <v>#N/A</v>
      </c>
      <c r="O188" s="29" t="n">
        <v>171</v>
      </c>
      <c r="P188" s="49" t="e">
        <f aca="false">IF((Arterial=0),P187+1,P187)</f>
        <v>#N/A</v>
      </c>
      <c r="Q188" s="49" t="e">
        <f aca="false">IF((Arterial=1),Q187+1,Q187)</f>
        <v>#N/A</v>
      </c>
      <c r="R188" s="50" t="n">
        <f aca="false">IF((RESET=1),0,R188+K188)</f>
        <v>0</v>
      </c>
      <c r="S188" s="19" t="n">
        <f aca="false">IF(RESET=1,0,S188+N188)</f>
        <v>0</v>
      </c>
      <c r="T188" s="0" t="n">
        <f aca="false">IF(RESET=1,0,T188+IF(H188=0,1,0))</f>
        <v>0</v>
      </c>
      <c r="U188" s="0" t="n">
        <f aca="false">IF(RESET=1,0,U188+H188)</f>
        <v>0</v>
      </c>
      <c r="V188" s="19" t="n">
        <f aca="false">R188/(T188+0.00001)</f>
        <v>0</v>
      </c>
      <c r="W188" s="19" t="n">
        <f aca="false">S188/(U188+0.0001)</f>
        <v>0</v>
      </c>
      <c r="X188" s="47" t="e">
        <f aca="false">IF(Informed=1,K188,0)</f>
        <v>#N/A</v>
      </c>
      <c r="Y188" s="47" t="n">
        <f aca="false">IF(Informed=0,K188,0)</f>
        <v>0</v>
      </c>
      <c r="Z188" s="47" t="e">
        <f aca="false">IF(Informed=1,N188,0)</f>
        <v>#N/A</v>
      </c>
      <c r="AA188" s="47" t="n">
        <f aca="false">IF(Informed=0,N188,0)</f>
        <v>0</v>
      </c>
      <c r="AB188" s="51" t="e">
        <f aca="false">IF(Arterial=0,IF(Informed=1,1,0),0)</f>
        <v>#N/A</v>
      </c>
      <c r="AC188" s="51" t="e">
        <f aca="false">IF(Arterial=0,IF(Informed=0,1,0),0)</f>
        <v>#N/A</v>
      </c>
      <c r="AD188" s="51" t="e">
        <f aca="false">IF(Arterial=1,IF(Informed=1,1,0),0)</f>
        <v>#N/A</v>
      </c>
      <c r="AE188" s="51" t="e">
        <f aca="false">IF(Arterial=1,IF(Informed=0,1,0),0)</f>
        <v>#N/A</v>
      </c>
      <c r="AF188" s="44" t="e">
        <f aca="false">IF(AB188=1,(X188-G$1030)^2,0)</f>
        <v>#N/A</v>
      </c>
      <c r="AG188" s="44" t="e">
        <f aca="false">IF(AC188=1,(Y188-H$1030)^2,0)</f>
        <v>#N/A</v>
      </c>
      <c r="AH188" s="44" t="e">
        <f aca="false">IF(AD188=1,(Z188-I$1030)^2,0)</f>
        <v>#N/A</v>
      </c>
      <c r="AI188" s="44" t="e">
        <f aca="false">IF(AE188=1,(AA188-J$1030)^2,0)</f>
        <v>#N/A</v>
      </c>
    </row>
    <row r="189" customFormat="false" ht="12" hidden="false" customHeight="false" outlineLevel="0" collapsed="false">
      <c r="A189" s="29" t="n">
        <v>172</v>
      </c>
      <c r="B189" s="45" t="n">
        <f aca="true">IF(RAND()&lt;$D$8,1,0)</f>
        <v>1</v>
      </c>
      <c r="C189" s="34" t="n">
        <f aca="true">-LN(RAND())/$D$2</f>
        <v>1.15484811680395</v>
      </c>
      <c r="D189" s="46" t="n">
        <f aca="false">D188+C189</f>
        <v>274.289736979908</v>
      </c>
      <c r="E189" s="47" t="e">
        <f aca="false">MAX($D$3,(1+P188-VLOOKUP(VALUE(D189),$J$18:$Q188,7,TRUE()))*$D$3)</f>
        <v>#N/A</v>
      </c>
      <c r="F189" s="47" t="e">
        <f aca="false">MAX($D$4,(1+Q188-VLOOKUP(VALUE(D189),$M$18:$Q188,5,TRUE()))*$D$4)</f>
        <v>#N/A</v>
      </c>
      <c r="G189" s="48" t="n">
        <v>0.5</v>
      </c>
      <c r="H189" s="46" t="e">
        <f aca="true">IF((B189=1),(IF((F189&lt;E189),1,(IF((F189=E189),(IF(RAND()&lt;G189,1,0)),0)))),(IF((RAND()&lt;G189),1,0)))</f>
        <v>#N/A</v>
      </c>
      <c r="I189" s="46" t="e">
        <f aca="true">IF((H189=1),0,$D$3+$D$5*(RAND()-0.5))</f>
        <v>#N/A</v>
      </c>
      <c r="J189" s="46" t="e">
        <f aca="false">I189+MAX(D189,J188)</f>
        <v>#N/A</v>
      </c>
      <c r="K189" s="46" t="e">
        <f aca="false">IF((H189=0),J189-D189,0)</f>
        <v>#N/A</v>
      </c>
      <c r="L189" s="46" t="e">
        <f aca="true">IF(($H189=0),0,$D$4+$D$5*(RAND()-0.5))</f>
        <v>#N/A</v>
      </c>
      <c r="M189" s="46" t="e">
        <f aca="false">L189+MAX(D189,M188)</f>
        <v>#N/A</v>
      </c>
      <c r="N189" s="46" t="e">
        <f aca="false">IF((H189=1),M189-D189,0)</f>
        <v>#N/A</v>
      </c>
      <c r="O189" s="29" t="n">
        <v>172</v>
      </c>
      <c r="P189" s="49" t="e">
        <f aca="false">IF((Arterial=0),P188+1,P188)</f>
        <v>#N/A</v>
      </c>
      <c r="Q189" s="49" t="e">
        <f aca="false">IF((Arterial=1),Q188+1,Q188)</f>
        <v>#N/A</v>
      </c>
      <c r="R189" s="50" t="n">
        <f aca="false">IF((RESET=1),0,R189+K189)</f>
        <v>0</v>
      </c>
      <c r="S189" s="19" t="n">
        <f aca="false">IF(RESET=1,0,S189+N189)</f>
        <v>0</v>
      </c>
      <c r="T189" s="0" t="n">
        <f aca="false">IF(RESET=1,0,T189+IF(H189=0,1,0))</f>
        <v>0</v>
      </c>
      <c r="U189" s="0" t="n">
        <f aca="false">IF(RESET=1,0,U189+H189)</f>
        <v>0</v>
      </c>
      <c r="V189" s="19" t="n">
        <f aca="false">R189/(T189+0.00001)</f>
        <v>0</v>
      </c>
      <c r="W189" s="19" t="n">
        <f aca="false">S189/(U189+0.0001)</f>
        <v>0</v>
      </c>
      <c r="X189" s="47" t="e">
        <f aca="false">IF(Informed=1,K189,0)</f>
        <v>#N/A</v>
      </c>
      <c r="Y189" s="47" t="n">
        <f aca="false">IF(Informed=0,K189,0)</f>
        <v>0</v>
      </c>
      <c r="Z189" s="47" t="e">
        <f aca="false">IF(Informed=1,N189,0)</f>
        <v>#N/A</v>
      </c>
      <c r="AA189" s="47" t="n">
        <f aca="false">IF(Informed=0,N189,0)</f>
        <v>0</v>
      </c>
      <c r="AB189" s="51" t="e">
        <f aca="false">IF(Arterial=0,IF(Informed=1,1,0),0)</f>
        <v>#N/A</v>
      </c>
      <c r="AC189" s="51" t="e">
        <f aca="false">IF(Arterial=0,IF(Informed=0,1,0),0)</f>
        <v>#N/A</v>
      </c>
      <c r="AD189" s="51" t="e">
        <f aca="false">IF(Arterial=1,IF(Informed=1,1,0),0)</f>
        <v>#N/A</v>
      </c>
      <c r="AE189" s="51" t="e">
        <f aca="false">IF(Arterial=1,IF(Informed=0,1,0),0)</f>
        <v>#N/A</v>
      </c>
      <c r="AF189" s="44" t="e">
        <f aca="false">IF(AB189=1,(X189-G$1030)^2,0)</f>
        <v>#N/A</v>
      </c>
      <c r="AG189" s="44" t="e">
        <f aca="false">IF(AC189=1,(Y189-H$1030)^2,0)</f>
        <v>#N/A</v>
      </c>
      <c r="AH189" s="44" t="e">
        <f aca="false">IF(AD189=1,(Z189-I$1030)^2,0)</f>
        <v>#N/A</v>
      </c>
      <c r="AI189" s="44" t="e">
        <f aca="false">IF(AE189=1,(AA189-J$1030)^2,0)</f>
        <v>#N/A</v>
      </c>
    </row>
    <row r="190" customFormat="false" ht="12" hidden="false" customHeight="false" outlineLevel="0" collapsed="false">
      <c r="A190" s="29" t="n">
        <v>173</v>
      </c>
      <c r="B190" s="45" t="n">
        <f aca="true">IF(RAND()&lt;$D$8,1,0)</f>
        <v>1</v>
      </c>
      <c r="C190" s="34" t="n">
        <f aca="true">-LN(RAND())/$D$2</f>
        <v>0.188544443964069</v>
      </c>
      <c r="D190" s="46" t="n">
        <f aca="false">D189+C190</f>
        <v>274.478281423872</v>
      </c>
      <c r="E190" s="47" t="e">
        <f aca="false">MAX($D$3,(1+P189-VLOOKUP(VALUE(D190),$J$18:$Q189,7,TRUE()))*$D$3)</f>
        <v>#N/A</v>
      </c>
      <c r="F190" s="47" t="e">
        <f aca="false">MAX($D$4,(1+Q189-VLOOKUP(VALUE(D190),$M$18:$Q189,5,TRUE()))*$D$4)</f>
        <v>#N/A</v>
      </c>
      <c r="G190" s="48" t="n">
        <v>0.5</v>
      </c>
      <c r="H190" s="46" t="e">
        <f aca="true">IF((B190=1),(IF((F190&lt;E190),1,(IF((F190=E190),(IF(RAND()&lt;G190,1,0)),0)))),(IF((RAND()&lt;G190),1,0)))</f>
        <v>#N/A</v>
      </c>
      <c r="I190" s="46" t="e">
        <f aca="true">IF((H190=1),0,$D$3+$D$5*(RAND()-0.5))</f>
        <v>#N/A</v>
      </c>
      <c r="J190" s="46" t="e">
        <f aca="false">I190+MAX(D190,J189)</f>
        <v>#N/A</v>
      </c>
      <c r="K190" s="46" t="e">
        <f aca="false">IF((H190=0),J190-D190,0)</f>
        <v>#N/A</v>
      </c>
      <c r="L190" s="46" t="e">
        <f aca="true">IF(($H190=0),0,$D$4+$D$5*(RAND()-0.5))</f>
        <v>#N/A</v>
      </c>
      <c r="M190" s="46" t="e">
        <f aca="false">L190+MAX(D190,M189)</f>
        <v>#N/A</v>
      </c>
      <c r="N190" s="46" t="e">
        <f aca="false">IF((H190=1),M190-D190,0)</f>
        <v>#N/A</v>
      </c>
      <c r="O190" s="29" t="n">
        <v>173</v>
      </c>
      <c r="P190" s="49" t="e">
        <f aca="false">IF((Arterial=0),P189+1,P189)</f>
        <v>#N/A</v>
      </c>
      <c r="Q190" s="49" t="e">
        <f aca="false">IF((Arterial=1),Q189+1,Q189)</f>
        <v>#N/A</v>
      </c>
      <c r="R190" s="50" t="n">
        <f aca="false">IF((RESET=1),0,R190+K190)</f>
        <v>0</v>
      </c>
      <c r="S190" s="19" t="n">
        <f aca="false">IF(RESET=1,0,S190+N190)</f>
        <v>0</v>
      </c>
      <c r="T190" s="0" t="n">
        <f aca="false">IF(RESET=1,0,T190+IF(H190=0,1,0))</f>
        <v>0</v>
      </c>
      <c r="U190" s="0" t="n">
        <f aca="false">IF(RESET=1,0,U190+H190)</f>
        <v>0</v>
      </c>
      <c r="V190" s="19" t="n">
        <f aca="false">R190/(T190+0.00001)</f>
        <v>0</v>
      </c>
      <c r="W190" s="19" t="n">
        <f aca="false">S190/(U190+0.0001)</f>
        <v>0</v>
      </c>
      <c r="X190" s="47" t="e">
        <f aca="false">IF(Informed=1,K190,0)</f>
        <v>#N/A</v>
      </c>
      <c r="Y190" s="47" t="n">
        <f aca="false">IF(Informed=0,K190,0)</f>
        <v>0</v>
      </c>
      <c r="Z190" s="47" t="e">
        <f aca="false">IF(Informed=1,N190,0)</f>
        <v>#N/A</v>
      </c>
      <c r="AA190" s="47" t="n">
        <f aca="false">IF(Informed=0,N190,0)</f>
        <v>0</v>
      </c>
      <c r="AB190" s="51" t="e">
        <f aca="false">IF(Arterial=0,IF(Informed=1,1,0),0)</f>
        <v>#N/A</v>
      </c>
      <c r="AC190" s="51" t="e">
        <f aca="false">IF(Arterial=0,IF(Informed=0,1,0),0)</f>
        <v>#N/A</v>
      </c>
      <c r="AD190" s="51" t="e">
        <f aca="false">IF(Arterial=1,IF(Informed=1,1,0),0)</f>
        <v>#N/A</v>
      </c>
      <c r="AE190" s="51" t="e">
        <f aca="false">IF(Arterial=1,IF(Informed=0,1,0),0)</f>
        <v>#N/A</v>
      </c>
      <c r="AF190" s="44" t="e">
        <f aca="false">IF(AB190=1,(X190-G$1030)^2,0)</f>
        <v>#N/A</v>
      </c>
      <c r="AG190" s="44" t="e">
        <f aca="false">IF(AC190=1,(Y190-H$1030)^2,0)</f>
        <v>#N/A</v>
      </c>
      <c r="AH190" s="44" t="e">
        <f aca="false">IF(AD190=1,(Z190-I$1030)^2,0)</f>
        <v>#N/A</v>
      </c>
      <c r="AI190" s="44" t="e">
        <f aca="false">IF(AE190=1,(AA190-J$1030)^2,0)</f>
        <v>#N/A</v>
      </c>
    </row>
    <row r="191" customFormat="false" ht="12" hidden="false" customHeight="false" outlineLevel="0" collapsed="false">
      <c r="A191" s="29" t="n">
        <v>174</v>
      </c>
      <c r="B191" s="45" t="n">
        <f aca="true">IF(RAND()&lt;$D$8,1,0)</f>
        <v>1</v>
      </c>
      <c r="C191" s="34" t="n">
        <f aca="true">-LN(RAND())/$D$2</f>
        <v>0.628349056204652</v>
      </c>
      <c r="D191" s="46" t="n">
        <f aca="false">D190+C191</f>
        <v>275.106630480077</v>
      </c>
      <c r="E191" s="47" t="e">
        <f aca="false">MAX($D$3,(1+P190-VLOOKUP(VALUE(D191),$J$18:$Q190,7,TRUE()))*$D$3)</f>
        <v>#N/A</v>
      </c>
      <c r="F191" s="47" t="e">
        <f aca="false">MAX($D$4,(1+Q190-VLOOKUP(VALUE(D191),$M$18:$Q190,5,TRUE()))*$D$4)</f>
        <v>#N/A</v>
      </c>
      <c r="G191" s="48" t="n">
        <v>0.5</v>
      </c>
      <c r="H191" s="46" t="e">
        <f aca="true">IF((B191=1),(IF((F191&lt;E191),1,(IF((F191=E191),(IF(RAND()&lt;G191,1,0)),0)))),(IF((RAND()&lt;G191),1,0)))</f>
        <v>#N/A</v>
      </c>
      <c r="I191" s="46" t="e">
        <f aca="true">IF((H191=1),0,$D$3+$D$5*(RAND()-0.5))</f>
        <v>#N/A</v>
      </c>
      <c r="J191" s="46" t="e">
        <f aca="false">I191+MAX(D191,J190)</f>
        <v>#N/A</v>
      </c>
      <c r="K191" s="46" t="e">
        <f aca="false">IF((H191=0),J191-D191,0)</f>
        <v>#N/A</v>
      </c>
      <c r="L191" s="46" t="e">
        <f aca="true">IF(($H191=0),0,$D$4+$D$5*(RAND()-0.5))</f>
        <v>#N/A</v>
      </c>
      <c r="M191" s="46" t="e">
        <f aca="false">L191+MAX(D191,M190)</f>
        <v>#N/A</v>
      </c>
      <c r="N191" s="46" t="e">
        <f aca="false">IF((H191=1),M191-D191,0)</f>
        <v>#N/A</v>
      </c>
      <c r="O191" s="29" t="n">
        <v>174</v>
      </c>
      <c r="P191" s="49" t="e">
        <f aca="false">IF((Arterial=0),P190+1,P190)</f>
        <v>#N/A</v>
      </c>
      <c r="Q191" s="49" t="e">
        <f aca="false">IF((Arterial=1),Q190+1,Q190)</f>
        <v>#N/A</v>
      </c>
      <c r="R191" s="50" t="n">
        <f aca="false">IF((RESET=1),0,R191+K191)</f>
        <v>0</v>
      </c>
      <c r="S191" s="19" t="n">
        <f aca="false">IF(RESET=1,0,S191+N191)</f>
        <v>0</v>
      </c>
      <c r="T191" s="0" t="n">
        <f aca="false">IF(RESET=1,0,T191+IF(H191=0,1,0))</f>
        <v>0</v>
      </c>
      <c r="U191" s="0" t="n">
        <f aca="false">IF(RESET=1,0,U191+H191)</f>
        <v>0</v>
      </c>
      <c r="V191" s="19" t="n">
        <f aca="false">R191/(T191+0.00001)</f>
        <v>0</v>
      </c>
      <c r="W191" s="19" t="n">
        <f aca="false">S191/(U191+0.0001)</f>
        <v>0</v>
      </c>
      <c r="X191" s="47" t="e">
        <f aca="false">IF(Informed=1,K191,0)</f>
        <v>#N/A</v>
      </c>
      <c r="Y191" s="47" t="n">
        <f aca="false">IF(Informed=0,K191,0)</f>
        <v>0</v>
      </c>
      <c r="Z191" s="47" t="e">
        <f aca="false">IF(Informed=1,N191,0)</f>
        <v>#N/A</v>
      </c>
      <c r="AA191" s="47" t="n">
        <f aca="false">IF(Informed=0,N191,0)</f>
        <v>0</v>
      </c>
      <c r="AB191" s="51" t="e">
        <f aca="false">IF(Arterial=0,IF(Informed=1,1,0),0)</f>
        <v>#N/A</v>
      </c>
      <c r="AC191" s="51" t="e">
        <f aca="false">IF(Arterial=0,IF(Informed=0,1,0),0)</f>
        <v>#N/A</v>
      </c>
      <c r="AD191" s="51" t="e">
        <f aca="false">IF(Arterial=1,IF(Informed=1,1,0),0)</f>
        <v>#N/A</v>
      </c>
      <c r="AE191" s="51" t="e">
        <f aca="false">IF(Arterial=1,IF(Informed=0,1,0),0)</f>
        <v>#N/A</v>
      </c>
      <c r="AF191" s="44" t="e">
        <f aca="false">IF(AB191=1,(X191-G$1030)^2,0)</f>
        <v>#N/A</v>
      </c>
      <c r="AG191" s="44" t="e">
        <f aca="false">IF(AC191=1,(Y191-H$1030)^2,0)</f>
        <v>#N/A</v>
      </c>
      <c r="AH191" s="44" t="e">
        <f aca="false">IF(AD191=1,(Z191-I$1030)^2,0)</f>
        <v>#N/A</v>
      </c>
      <c r="AI191" s="44" t="e">
        <f aca="false">IF(AE191=1,(AA191-J$1030)^2,0)</f>
        <v>#N/A</v>
      </c>
    </row>
    <row r="192" customFormat="false" ht="12" hidden="false" customHeight="false" outlineLevel="0" collapsed="false">
      <c r="A192" s="29" t="n">
        <v>175</v>
      </c>
      <c r="B192" s="45" t="n">
        <f aca="true">IF(RAND()&lt;$D$8,1,0)</f>
        <v>1</v>
      </c>
      <c r="C192" s="34" t="n">
        <f aca="true">-LN(RAND())/$D$2</f>
        <v>0.919503902367271</v>
      </c>
      <c r="D192" s="46" t="n">
        <f aca="false">D191+C192</f>
        <v>276.026134382444</v>
      </c>
      <c r="E192" s="47" t="e">
        <f aca="false">MAX($D$3,(1+P191-VLOOKUP(VALUE(D192),$J$18:$Q191,7,TRUE()))*$D$3)</f>
        <v>#N/A</v>
      </c>
      <c r="F192" s="47" t="e">
        <f aca="false">MAX($D$4,(1+Q191-VLOOKUP(VALUE(D192),$M$18:$Q191,5,TRUE()))*$D$4)</f>
        <v>#N/A</v>
      </c>
      <c r="G192" s="48" t="n">
        <v>0.5</v>
      </c>
      <c r="H192" s="46" t="e">
        <f aca="true">IF((B192=1),(IF((F192&lt;E192),1,(IF((F192=E192),(IF(RAND()&lt;G192,1,0)),0)))),(IF((RAND()&lt;G192),1,0)))</f>
        <v>#N/A</v>
      </c>
      <c r="I192" s="46" t="e">
        <f aca="true">IF((H192=1),0,$D$3+$D$5*(RAND()-0.5))</f>
        <v>#N/A</v>
      </c>
      <c r="J192" s="46" t="e">
        <f aca="false">I192+MAX(D192,J191)</f>
        <v>#N/A</v>
      </c>
      <c r="K192" s="46" t="e">
        <f aca="false">IF((H192=0),J192-D192,0)</f>
        <v>#N/A</v>
      </c>
      <c r="L192" s="46" t="e">
        <f aca="true">IF(($H192=0),0,$D$4+$D$5*(RAND()-0.5))</f>
        <v>#N/A</v>
      </c>
      <c r="M192" s="46" t="e">
        <f aca="false">L192+MAX(D192,M191)</f>
        <v>#N/A</v>
      </c>
      <c r="N192" s="46" t="e">
        <f aca="false">IF((H192=1),M192-D192,0)</f>
        <v>#N/A</v>
      </c>
      <c r="O192" s="29" t="n">
        <v>175</v>
      </c>
      <c r="P192" s="49" t="e">
        <f aca="false">IF((Arterial=0),P191+1,P191)</f>
        <v>#N/A</v>
      </c>
      <c r="Q192" s="49" t="e">
        <f aca="false">IF((Arterial=1),Q191+1,Q191)</f>
        <v>#N/A</v>
      </c>
      <c r="R192" s="50" t="n">
        <f aca="false">IF((RESET=1),0,R192+K192)</f>
        <v>0</v>
      </c>
      <c r="S192" s="19" t="n">
        <f aca="false">IF(RESET=1,0,S192+N192)</f>
        <v>0</v>
      </c>
      <c r="T192" s="0" t="n">
        <f aca="false">IF(RESET=1,0,T192+IF(H192=0,1,0))</f>
        <v>0</v>
      </c>
      <c r="U192" s="0" t="n">
        <f aca="false">IF(RESET=1,0,U192+H192)</f>
        <v>0</v>
      </c>
      <c r="V192" s="19" t="n">
        <f aca="false">R192/(T192+0.00001)</f>
        <v>0</v>
      </c>
      <c r="W192" s="19" t="n">
        <f aca="false">S192/(U192+0.0001)</f>
        <v>0</v>
      </c>
      <c r="X192" s="47" t="e">
        <f aca="false">IF(Informed=1,K192,0)</f>
        <v>#N/A</v>
      </c>
      <c r="Y192" s="47" t="n">
        <f aca="false">IF(Informed=0,K192,0)</f>
        <v>0</v>
      </c>
      <c r="Z192" s="47" t="e">
        <f aca="false">IF(Informed=1,N192,0)</f>
        <v>#N/A</v>
      </c>
      <c r="AA192" s="47" t="n">
        <f aca="false">IF(Informed=0,N192,0)</f>
        <v>0</v>
      </c>
      <c r="AB192" s="51" t="e">
        <f aca="false">IF(Arterial=0,IF(Informed=1,1,0),0)</f>
        <v>#N/A</v>
      </c>
      <c r="AC192" s="51" t="e">
        <f aca="false">IF(Arterial=0,IF(Informed=0,1,0),0)</f>
        <v>#N/A</v>
      </c>
      <c r="AD192" s="51" t="e">
        <f aca="false">IF(Arterial=1,IF(Informed=1,1,0),0)</f>
        <v>#N/A</v>
      </c>
      <c r="AE192" s="51" t="e">
        <f aca="false">IF(Arterial=1,IF(Informed=0,1,0),0)</f>
        <v>#N/A</v>
      </c>
      <c r="AF192" s="44" t="e">
        <f aca="false">IF(AB192=1,(X192-G$1030)^2,0)</f>
        <v>#N/A</v>
      </c>
      <c r="AG192" s="44" t="e">
        <f aca="false">IF(AC192=1,(Y192-H$1030)^2,0)</f>
        <v>#N/A</v>
      </c>
      <c r="AH192" s="44" t="e">
        <f aca="false">IF(AD192=1,(Z192-I$1030)^2,0)</f>
        <v>#N/A</v>
      </c>
      <c r="AI192" s="44" t="e">
        <f aca="false">IF(AE192=1,(AA192-J$1030)^2,0)</f>
        <v>#N/A</v>
      </c>
    </row>
    <row r="193" customFormat="false" ht="12" hidden="false" customHeight="false" outlineLevel="0" collapsed="false">
      <c r="A193" s="29" t="n">
        <v>176</v>
      </c>
      <c r="B193" s="45" t="n">
        <f aca="true">IF(RAND()&lt;$D$8,1,0)</f>
        <v>1</v>
      </c>
      <c r="C193" s="34" t="n">
        <f aca="true">-LN(RAND())/$D$2</f>
        <v>0.087205867317271</v>
      </c>
      <c r="D193" s="46" t="n">
        <f aca="false">D192+C193</f>
        <v>276.113340249762</v>
      </c>
      <c r="E193" s="47" t="e">
        <f aca="false">MAX($D$3,(1+P192-VLOOKUP(VALUE(D193),$J$18:$Q192,7,TRUE()))*$D$3)</f>
        <v>#N/A</v>
      </c>
      <c r="F193" s="47" t="e">
        <f aca="false">MAX($D$4,(1+Q192-VLOOKUP(VALUE(D193),$M$18:$Q192,5,TRUE()))*$D$4)</f>
        <v>#N/A</v>
      </c>
      <c r="G193" s="48" t="n">
        <v>0.5</v>
      </c>
      <c r="H193" s="46" t="e">
        <f aca="true">IF((B193=1),(IF((F193&lt;E193),1,(IF((F193=E193),(IF(RAND()&lt;G193,1,0)),0)))),(IF((RAND()&lt;G193),1,0)))</f>
        <v>#N/A</v>
      </c>
      <c r="I193" s="46" t="e">
        <f aca="true">IF((H193=1),0,$D$3+$D$5*(RAND()-0.5))</f>
        <v>#N/A</v>
      </c>
      <c r="J193" s="46" t="e">
        <f aca="false">I193+MAX(D193,J192)</f>
        <v>#N/A</v>
      </c>
      <c r="K193" s="46" t="e">
        <f aca="false">IF((H193=0),J193-D193,0)</f>
        <v>#N/A</v>
      </c>
      <c r="L193" s="46" t="e">
        <f aca="true">IF(($H193=0),0,$D$4+$D$5*(RAND()-0.5))</f>
        <v>#N/A</v>
      </c>
      <c r="M193" s="46" t="e">
        <f aca="false">L193+MAX(D193,M192)</f>
        <v>#N/A</v>
      </c>
      <c r="N193" s="46" t="e">
        <f aca="false">IF((H193=1),M193-D193,0)</f>
        <v>#N/A</v>
      </c>
      <c r="O193" s="29" t="n">
        <v>176</v>
      </c>
      <c r="P193" s="49" t="e">
        <f aca="false">IF((Arterial=0),P192+1,P192)</f>
        <v>#N/A</v>
      </c>
      <c r="Q193" s="49" t="e">
        <f aca="false">IF((Arterial=1),Q192+1,Q192)</f>
        <v>#N/A</v>
      </c>
      <c r="R193" s="50" t="n">
        <f aca="false">IF((RESET=1),0,R193+K193)</f>
        <v>0</v>
      </c>
      <c r="S193" s="19" t="n">
        <f aca="false">IF(RESET=1,0,S193+N193)</f>
        <v>0</v>
      </c>
      <c r="T193" s="0" t="n">
        <f aca="false">IF(RESET=1,0,T193+IF(H193=0,1,0))</f>
        <v>0</v>
      </c>
      <c r="U193" s="0" t="n">
        <f aca="false">IF(RESET=1,0,U193+H193)</f>
        <v>0</v>
      </c>
      <c r="V193" s="19" t="n">
        <f aca="false">R193/(T193+0.00001)</f>
        <v>0</v>
      </c>
      <c r="W193" s="19" t="n">
        <f aca="false">S193/(U193+0.0001)</f>
        <v>0</v>
      </c>
      <c r="X193" s="47" t="e">
        <f aca="false">IF(Informed=1,K193,0)</f>
        <v>#N/A</v>
      </c>
      <c r="Y193" s="47" t="n">
        <f aca="false">IF(Informed=0,K193,0)</f>
        <v>0</v>
      </c>
      <c r="Z193" s="47" t="e">
        <f aca="false">IF(Informed=1,N193,0)</f>
        <v>#N/A</v>
      </c>
      <c r="AA193" s="47" t="n">
        <f aca="false">IF(Informed=0,N193,0)</f>
        <v>0</v>
      </c>
      <c r="AB193" s="51" t="e">
        <f aca="false">IF(Arterial=0,IF(Informed=1,1,0),0)</f>
        <v>#N/A</v>
      </c>
      <c r="AC193" s="51" t="e">
        <f aca="false">IF(Arterial=0,IF(Informed=0,1,0),0)</f>
        <v>#N/A</v>
      </c>
      <c r="AD193" s="51" t="e">
        <f aca="false">IF(Arterial=1,IF(Informed=1,1,0),0)</f>
        <v>#N/A</v>
      </c>
      <c r="AE193" s="51" t="e">
        <f aca="false">IF(Arterial=1,IF(Informed=0,1,0),0)</f>
        <v>#N/A</v>
      </c>
      <c r="AF193" s="44" t="e">
        <f aca="false">IF(AB193=1,(X193-G$1030)^2,0)</f>
        <v>#N/A</v>
      </c>
      <c r="AG193" s="44" t="e">
        <f aca="false">IF(AC193=1,(Y193-H$1030)^2,0)</f>
        <v>#N/A</v>
      </c>
      <c r="AH193" s="44" t="e">
        <f aca="false">IF(AD193=1,(Z193-I$1030)^2,0)</f>
        <v>#N/A</v>
      </c>
      <c r="AI193" s="44" t="e">
        <f aca="false">IF(AE193=1,(AA193-J$1030)^2,0)</f>
        <v>#N/A</v>
      </c>
    </row>
    <row r="194" customFormat="false" ht="12" hidden="false" customHeight="false" outlineLevel="0" collapsed="false">
      <c r="A194" s="29" t="n">
        <v>177</v>
      </c>
      <c r="B194" s="45" t="n">
        <f aca="true">IF(RAND()&lt;$D$8,1,0)</f>
        <v>1</v>
      </c>
      <c r="C194" s="34" t="n">
        <f aca="true">-LN(RAND())/$D$2</f>
        <v>5.33832467993809</v>
      </c>
      <c r="D194" s="46" t="n">
        <f aca="false">D193+C194</f>
        <v>281.4516649297</v>
      </c>
      <c r="E194" s="47" t="e">
        <f aca="false">MAX($D$3,(1+P193-VLOOKUP(VALUE(D194),$J$18:$Q193,7,TRUE()))*$D$3)</f>
        <v>#N/A</v>
      </c>
      <c r="F194" s="47" t="e">
        <f aca="false">MAX($D$4,(1+Q193-VLOOKUP(VALUE(D194),$M$18:$Q193,5,TRUE()))*$D$4)</f>
        <v>#N/A</v>
      </c>
      <c r="G194" s="48" t="n">
        <v>0.5</v>
      </c>
      <c r="H194" s="46" t="e">
        <f aca="true">IF((B194=1),(IF((F194&lt;E194),1,(IF((F194=E194),(IF(RAND()&lt;G194,1,0)),0)))),(IF((RAND()&lt;G194),1,0)))</f>
        <v>#N/A</v>
      </c>
      <c r="I194" s="46" t="e">
        <f aca="true">IF((H194=1),0,$D$3+$D$5*(RAND()-0.5))</f>
        <v>#N/A</v>
      </c>
      <c r="J194" s="46" t="e">
        <f aca="false">I194+MAX(D194,J193)</f>
        <v>#N/A</v>
      </c>
      <c r="K194" s="46" t="e">
        <f aca="false">IF((H194=0),J194-D194,0)</f>
        <v>#N/A</v>
      </c>
      <c r="L194" s="46" t="e">
        <f aca="true">IF(($H194=0),0,$D$4+$D$5*(RAND()-0.5))</f>
        <v>#N/A</v>
      </c>
      <c r="M194" s="46" t="e">
        <f aca="false">L194+MAX(D194,M193)</f>
        <v>#N/A</v>
      </c>
      <c r="N194" s="46" t="e">
        <f aca="false">IF((H194=1),M194-D194,0)</f>
        <v>#N/A</v>
      </c>
      <c r="O194" s="29" t="n">
        <v>177</v>
      </c>
      <c r="P194" s="49" t="e">
        <f aca="false">IF((Arterial=0),P193+1,P193)</f>
        <v>#N/A</v>
      </c>
      <c r="Q194" s="49" t="e">
        <f aca="false">IF((Arterial=1),Q193+1,Q193)</f>
        <v>#N/A</v>
      </c>
      <c r="R194" s="50" t="n">
        <f aca="false">IF((RESET=1),0,R194+K194)</f>
        <v>0</v>
      </c>
      <c r="S194" s="19" t="n">
        <f aca="false">IF(RESET=1,0,S194+N194)</f>
        <v>0</v>
      </c>
      <c r="T194" s="0" t="n">
        <f aca="false">IF(RESET=1,0,T194+IF(H194=0,1,0))</f>
        <v>0</v>
      </c>
      <c r="U194" s="0" t="n">
        <f aca="false">IF(RESET=1,0,U194+H194)</f>
        <v>0</v>
      </c>
      <c r="V194" s="19" t="n">
        <f aca="false">R194/(T194+0.00001)</f>
        <v>0</v>
      </c>
      <c r="W194" s="19" t="n">
        <f aca="false">S194/(U194+0.0001)</f>
        <v>0</v>
      </c>
      <c r="X194" s="47" t="e">
        <f aca="false">IF(Informed=1,K194,0)</f>
        <v>#N/A</v>
      </c>
      <c r="Y194" s="47" t="n">
        <f aca="false">IF(Informed=0,K194,0)</f>
        <v>0</v>
      </c>
      <c r="Z194" s="47" t="e">
        <f aca="false">IF(Informed=1,N194,0)</f>
        <v>#N/A</v>
      </c>
      <c r="AA194" s="47" t="n">
        <f aca="false">IF(Informed=0,N194,0)</f>
        <v>0</v>
      </c>
      <c r="AB194" s="51" t="e">
        <f aca="false">IF(Arterial=0,IF(Informed=1,1,0),0)</f>
        <v>#N/A</v>
      </c>
      <c r="AC194" s="51" t="e">
        <f aca="false">IF(Arterial=0,IF(Informed=0,1,0),0)</f>
        <v>#N/A</v>
      </c>
      <c r="AD194" s="51" t="e">
        <f aca="false">IF(Arterial=1,IF(Informed=1,1,0),0)</f>
        <v>#N/A</v>
      </c>
      <c r="AE194" s="51" t="e">
        <f aca="false">IF(Arterial=1,IF(Informed=0,1,0),0)</f>
        <v>#N/A</v>
      </c>
      <c r="AF194" s="44" t="e">
        <f aca="false">IF(AB194=1,(X194-G$1030)^2,0)</f>
        <v>#N/A</v>
      </c>
      <c r="AG194" s="44" t="e">
        <f aca="false">IF(AC194=1,(Y194-H$1030)^2,0)</f>
        <v>#N/A</v>
      </c>
      <c r="AH194" s="44" t="e">
        <f aca="false">IF(AD194=1,(Z194-I$1030)^2,0)</f>
        <v>#N/A</v>
      </c>
      <c r="AI194" s="44" t="e">
        <f aca="false">IF(AE194=1,(AA194-J$1030)^2,0)</f>
        <v>#N/A</v>
      </c>
    </row>
    <row r="195" customFormat="false" ht="12" hidden="false" customHeight="false" outlineLevel="0" collapsed="false">
      <c r="A195" s="29" t="n">
        <v>178</v>
      </c>
      <c r="B195" s="45" t="n">
        <f aca="true">IF(RAND()&lt;$D$8,1,0)</f>
        <v>1</v>
      </c>
      <c r="C195" s="34" t="n">
        <f aca="true">-LN(RAND())/$D$2</f>
        <v>1.17791262575312</v>
      </c>
      <c r="D195" s="46" t="n">
        <f aca="false">D194+C195</f>
        <v>282.629577555453</v>
      </c>
      <c r="E195" s="47" t="e">
        <f aca="false">MAX($D$3,(1+P194-VLOOKUP(VALUE(D195),$J$18:$Q194,7,TRUE()))*$D$3)</f>
        <v>#N/A</v>
      </c>
      <c r="F195" s="47" t="e">
        <f aca="false">MAX($D$4,(1+Q194-VLOOKUP(VALUE(D195),$M$18:$Q194,5,TRUE()))*$D$4)</f>
        <v>#N/A</v>
      </c>
      <c r="G195" s="48" t="n">
        <v>0.5</v>
      </c>
      <c r="H195" s="46" t="e">
        <f aca="true">IF((B195=1),(IF((F195&lt;E195),1,(IF((F195=E195),(IF(RAND()&lt;G195,1,0)),0)))),(IF((RAND()&lt;G195),1,0)))</f>
        <v>#N/A</v>
      </c>
      <c r="I195" s="46" t="e">
        <f aca="true">IF((H195=1),0,$D$3+$D$5*(RAND()-0.5))</f>
        <v>#N/A</v>
      </c>
      <c r="J195" s="46" t="e">
        <f aca="false">I195+MAX(D195,J194)</f>
        <v>#N/A</v>
      </c>
      <c r="K195" s="46" t="e">
        <f aca="false">IF((H195=0),J195-D195,0)</f>
        <v>#N/A</v>
      </c>
      <c r="L195" s="46" t="e">
        <f aca="true">IF(($H195=0),0,$D$4+$D$5*(RAND()-0.5))</f>
        <v>#N/A</v>
      </c>
      <c r="M195" s="46" t="e">
        <f aca="false">L195+MAX(D195,M194)</f>
        <v>#N/A</v>
      </c>
      <c r="N195" s="46" t="e">
        <f aca="false">IF((H195=1),M195-D195,0)</f>
        <v>#N/A</v>
      </c>
      <c r="O195" s="29" t="n">
        <v>178</v>
      </c>
      <c r="P195" s="49" t="e">
        <f aca="false">IF((Arterial=0),P194+1,P194)</f>
        <v>#N/A</v>
      </c>
      <c r="Q195" s="49" t="e">
        <f aca="false">IF((Arterial=1),Q194+1,Q194)</f>
        <v>#N/A</v>
      </c>
      <c r="R195" s="50" t="n">
        <f aca="false">IF((RESET=1),0,R195+K195)</f>
        <v>0</v>
      </c>
      <c r="S195" s="19" t="n">
        <f aca="false">IF(RESET=1,0,S195+N195)</f>
        <v>0</v>
      </c>
      <c r="T195" s="0" t="n">
        <f aca="false">IF(RESET=1,0,T195+IF(H195=0,1,0))</f>
        <v>0</v>
      </c>
      <c r="U195" s="0" t="n">
        <f aca="false">IF(RESET=1,0,U195+H195)</f>
        <v>0</v>
      </c>
      <c r="V195" s="19" t="n">
        <f aca="false">R195/(T195+0.00001)</f>
        <v>0</v>
      </c>
      <c r="W195" s="19" t="n">
        <f aca="false">S195/(U195+0.0001)</f>
        <v>0</v>
      </c>
      <c r="X195" s="47" t="e">
        <f aca="false">IF(Informed=1,K195,0)</f>
        <v>#N/A</v>
      </c>
      <c r="Y195" s="47" t="n">
        <f aca="false">IF(Informed=0,K195,0)</f>
        <v>0</v>
      </c>
      <c r="Z195" s="47" t="e">
        <f aca="false">IF(Informed=1,N195,0)</f>
        <v>#N/A</v>
      </c>
      <c r="AA195" s="47" t="n">
        <f aca="false">IF(Informed=0,N195,0)</f>
        <v>0</v>
      </c>
      <c r="AB195" s="51" t="e">
        <f aca="false">IF(Arterial=0,IF(Informed=1,1,0),0)</f>
        <v>#N/A</v>
      </c>
      <c r="AC195" s="51" t="e">
        <f aca="false">IF(Arterial=0,IF(Informed=0,1,0),0)</f>
        <v>#N/A</v>
      </c>
      <c r="AD195" s="51" t="e">
        <f aca="false">IF(Arterial=1,IF(Informed=1,1,0),0)</f>
        <v>#N/A</v>
      </c>
      <c r="AE195" s="51" t="e">
        <f aca="false">IF(Arterial=1,IF(Informed=0,1,0),0)</f>
        <v>#N/A</v>
      </c>
      <c r="AF195" s="44" t="e">
        <f aca="false">IF(AB195=1,(X195-G$1030)^2,0)</f>
        <v>#N/A</v>
      </c>
      <c r="AG195" s="44" t="e">
        <f aca="false">IF(AC195=1,(Y195-H$1030)^2,0)</f>
        <v>#N/A</v>
      </c>
      <c r="AH195" s="44" t="e">
        <f aca="false">IF(AD195=1,(Z195-I$1030)^2,0)</f>
        <v>#N/A</v>
      </c>
      <c r="AI195" s="44" t="e">
        <f aca="false">IF(AE195=1,(AA195-J$1030)^2,0)</f>
        <v>#N/A</v>
      </c>
    </row>
    <row r="196" customFormat="false" ht="12" hidden="false" customHeight="false" outlineLevel="0" collapsed="false">
      <c r="A196" s="29" t="n">
        <v>179</v>
      </c>
      <c r="B196" s="45" t="n">
        <f aca="true">IF(RAND()&lt;$D$8,1,0)</f>
        <v>1</v>
      </c>
      <c r="C196" s="34" t="n">
        <f aca="true">-LN(RAND())/$D$2</f>
        <v>0.129354335365478</v>
      </c>
      <c r="D196" s="46" t="n">
        <f aca="false">D195+C196</f>
        <v>282.758931890818</v>
      </c>
      <c r="E196" s="47" t="e">
        <f aca="false">MAX($D$3,(1+P195-VLOOKUP(VALUE(D196),$J$18:$Q195,7,TRUE()))*$D$3)</f>
        <v>#N/A</v>
      </c>
      <c r="F196" s="47" t="e">
        <f aca="false">MAX($D$4,(1+Q195-VLOOKUP(VALUE(D196),$M$18:$Q195,5,TRUE()))*$D$4)</f>
        <v>#N/A</v>
      </c>
      <c r="G196" s="48" t="n">
        <v>0.5</v>
      </c>
      <c r="H196" s="46" t="e">
        <f aca="true">IF((B196=1),(IF((F196&lt;E196),1,(IF((F196=E196),(IF(RAND()&lt;G196,1,0)),0)))),(IF((RAND()&lt;G196),1,0)))</f>
        <v>#N/A</v>
      </c>
      <c r="I196" s="46" t="e">
        <f aca="true">IF((H196=1),0,$D$3+$D$5*(RAND()-0.5))</f>
        <v>#N/A</v>
      </c>
      <c r="J196" s="46" t="e">
        <f aca="false">I196+MAX(D196,J195)</f>
        <v>#N/A</v>
      </c>
      <c r="K196" s="46" t="e">
        <f aca="false">IF((H196=0),J196-D196,0)</f>
        <v>#N/A</v>
      </c>
      <c r="L196" s="46" t="e">
        <f aca="true">IF(($H196=0),0,$D$4+$D$5*(RAND()-0.5))</f>
        <v>#N/A</v>
      </c>
      <c r="M196" s="46" t="e">
        <f aca="false">L196+MAX(D196,M195)</f>
        <v>#N/A</v>
      </c>
      <c r="N196" s="46" t="e">
        <f aca="false">IF((H196=1),M196-D196,0)</f>
        <v>#N/A</v>
      </c>
      <c r="O196" s="29" t="n">
        <v>179</v>
      </c>
      <c r="P196" s="49" t="e">
        <f aca="false">IF((Arterial=0),P195+1,P195)</f>
        <v>#N/A</v>
      </c>
      <c r="Q196" s="49" t="e">
        <f aca="false">IF((Arterial=1),Q195+1,Q195)</f>
        <v>#N/A</v>
      </c>
      <c r="R196" s="50" t="n">
        <f aca="false">IF((RESET=1),0,R196+K196)</f>
        <v>0</v>
      </c>
      <c r="S196" s="19" t="n">
        <f aca="false">IF(RESET=1,0,S196+N196)</f>
        <v>0</v>
      </c>
      <c r="T196" s="0" t="n">
        <f aca="false">IF(RESET=1,0,T196+IF(H196=0,1,0))</f>
        <v>0</v>
      </c>
      <c r="U196" s="0" t="n">
        <f aca="false">IF(RESET=1,0,U196+H196)</f>
        <v>0</v>
      </c>
      <c r="V196" s="19" t="n">
        <f aca="false">R196/(T196+0.00001)</f>
        <v>0</v>
      </c>
      <c r="W196" s="19" t="n">
        <f aca="false">S196/(U196+0.0001)</f>
        <v>0</v>
      </c>
      <c r="X196" s="47" t="e">
        <f aca="false">IF(Informed=1,K196,0)</f>
        <v>#N/A</v>
      </c>
      <c r="Y196" s="47" t="n">
        <f aca="false">IF(Informed=0,K196,0)</f>
        <v>0</v>
      </c>
      <c r="Z196" s="47" t="e">
        <f aca="false">IF(Informed=1,N196,0)</f>
        <v>#N/A</v>
      </c>
      <c r="AA196" s="47" t="n">
        <f aca="false">IF(Informed=0,N196,0)</f>
        <v>0</v>
      </c>
      <c r="AB196" s="51" t="e">
        <f aca="false">IF(Arterial=0,IF(Informed=1,1,0),0)</f>
        <v>#N/A</v>
      </c>
      <c r="AC196" s="51" t="e">
        <f aca="false">IF(Arterial=0,IF(Informed=0,1,0),0)</f>
        <v>#N/A</v>
      </c>
      <c r="AD196" s="51" t="e">
        <f aca="false">IF(Arterial=1,IF(Informed=1,1,0),0)</f>
        <v>#N/A</v>
      </c>
      <c r="AE196" s="51" t="e">
        <f aca="false">IF(Arterial=1,IF(Informed=0,1,0),0)</f>
        <v>#N/A</v>
      </c>
      <c r="AF196" s="44" t="e">
        <f aca="false">IF(AB196=1,(X196-G$1030)^2,0)</f>
        <v>#N/A</v>
      </c>
      <c r="AG196" s="44" t="e">
        <f aca="false">IF(AC196=1,(Y196-H$1030)^2,0)</f>
        <v>#N/A</v>
      </c>
      <c r="AH196" s="44" t="e">
        <f aca="false">IF(AD196=1,(Z196-I$1030)^2,0)</f>
        <v>#N/A</v>
      </c>
      <c r="AI196" s="44" t="e">
        <f aca="false">IF(AE196=1,(AA196-J$1030)^2,0)</f>
        <v>#N/A</v>
      </c>
    </row>
    <row r="197" customFormat="false" ht="12" hidden="false" customHeight="false" outlineLevel="0" collapsed="false">
      <c r="A197" s="29" t="n">
        <v>180</v>
      </c>
      <c r="B197" s="45" t="n">
        <f aca="true">IF(RAND()&lt;$D$8,1,0)</f>
        <v>1</v>
      </c>
      <c r="C197" s="34" t="n">
        <f aca="true">-LN(RAND())/$D$2</f>
        <v>1.03341359844643</v>
      </c>
      <c r="D197" s="46" t="n">
        <f aca="false">D196+C197</f>
        <v>283.792345489265</v>
      </c>
      <c r="E197" s="47" t="e">
        <f aca="false">MAX($D$3,(1+P196-VLOOKUP(VALUE(D197),$J$18:$Q196,7,TRUE()))*$D$3)</f>
        <v>#N/A</v>
      </c>
      <c r="F197" s="47" t="e">
        <f aca="false">MAX($D$4,(1+Q196-VLOOKUP(VALUE(D197),$M$18:$Q196,5,TRUE()))*$D$4)</f>
        <v>#N/A</v>
      </c>
      <c r="G197" s="48" t="n">
        <v>0.5</v>
      </c>
      <c r="H197" s="46" t="e">
        <f aca="true">IF((B197=1),(IF((F197&lt;E197),1,(IF((F197=E197),(IF(RAND()&lt;G197,1,0)),0)))),(IF((RAND()&lt;G197),1,0)))</f>
        <v>#N/A</v>
      </c>
      <c r="I197" s="46" t="e">
        <f aca="true">IF((H197=1),0,$D$3+$D$5*(RAND()-0.5))</f>
        <v>#N/A</v>
      </c>
      <c r="J197" s="46" t="e">
        <f aca="false">I197+MAX(D197,J196)</f>
        <v>#N/A</v>
      </c>
      <c r="K197" s="46" t="e">
        <f aca="false">IF((H197=0),J197-D197,0)</f>
        <v>#N/A</v>
      </c>
      <c r="L197" s="46" t="e">
        <f aca="true">IF(($H197=0),0,$D$4+$D$5*(RAND()-0.5))</f>
        <v>#N/A</v>
      </c>
      <c r="M197" s="46" t="e">
        <f aca="false">L197+MAX(D197,M196)</f>
        <v>#N/A</v>
      </c>
      <c r="N197" s="46" t="e">
        <f aca="false">IF((H197=1),M197-D197,0)</f>
        <v>#N/A</v>
      </c>
      <c r="O197" s="29" t="n">
        <v>180</v>
      </c>
      <c r="P197" s="49" t="e">
        <f aca="false">IF((Arterial=0),P196+1,P196)</f>
        <v>#N/A</v>
      </c>
      <c r="Q197" s="49" t="e">
        <f aca="false">IF((Arterial=1),Q196+1,Q196)</f>
        <v>#N/A</v>
      </c>
      <c r="R197" s="50" t="n">
        <f aca="false">IF((RESET=1),0,R197+K197)</f>
        <v>0</v>
      </c>
      <c r="S197" s="19" t="n">
        <f aca="false">IF(RESET=1,0,S197+N197)</f>
        <v>0</v>
      </c>
      <c r="T197" s="0" t="n">
        <f aca="false">IF(RESET=1,0,T197+IF(H197=0,1,0))</f>
        <v>0</v>
      </c>
      <c r="U197" s="0" t="n">
        <f aca="false">IF(RESET=1,0,U197+H197)</f>
        <v>0</v>
      </c>
      <c r="V197" s="19" t="n">
        <f aca="false">R197/(T197+0.00001)</f>
        <v>0</v>
      </c>
      <c r="W197" s="19" t="n">
        <f aca="false">S197/(U197+0.0001)</f>
        <v>0</v>
      </c>
      <c r="X197" s="47" t="e">
        <f aca="false">IF(Informed=1,K197,0)</f>
        <v>#N/A</v>
      </c>
      <c r="Y197" s="47" t="n">
        <f aca="false">IF(Informed=0,K197,0)</f>
        <v>0</v>
      </c>
      <c r="Z197" s="47" t="e">
        <f aca="false">IF(Informed=1,N197,0)</f>
        <v>#N/A</v>
      </c>
      <c r="AA197" s="47" t="n">
        <f aca="false">IF(Informed=0,N197,0)</f>
        <v>0</v>
      </c>
      <c r="AB197" s="51" t="e">
        <f aca="false">IF(Arterial=0,IF(Informed=1,1,0),0)</f>
        <v>#N/A</v>
      </c>
      <c r="AC197" s="51" t="e">
        <f aca="false">IF(Arterial=0,IF(Informed=0,1,0),0)</f>
        <v>#N/A</v>
      </c>
      <c r="AD197" s="51" t="e">
        <f aca="false">IF(Arterial=1,IF(Informed=1,1,0),0)</f>
        <v>#N/A</v>
      </c>
      <c r="AE197" s="51" t="e">
        <f aca="false">IF(Arterial=1,IF(Informed=0,1,0),0)</f>
        <v>#N/A</v>
      </c>
      <c r="AF197" s="44" t="e">
        <f aca="false">IF(AB197=1,(X197-G$1030)^2,0)</f>
        <v>#N/A</v>
      </c>
      <c r="AG197" s="44" t="e">
        <f aca="false">IF(AC197=1,(Y197-H$1030)^2,0)</f>
        <v>#N/A</v>
      </c>
      <c r="AH197" s="44" t="e">
        <f aca="false">IF(AD197=1,(Z197-I$1030)^2,0)</f>
        <v>#N/A</v>
      </c>
      <c r="AI197" s="44" t="e">
        <f aca="false">IF(AE197=1,(AA197-J$1030)^2,0)</f>
        <v>#N/A</v>
      </c>
    </row>
    <row r="198" customFormat="false" ht="12" hidden="false" customHeight="false" outlineLevel="0" collapsed="false">
      <c r="A198" s="29" t="n">
        <v>181</v>
      </c>
      <c r="B198" s="45" t="n">
        <f aca="true">IF(RAND()&lt;$D$8,1,0)</f>
        <v>1</v>
      </c>
      <c r="C198" s="34" t="n">
        <f aca="true">-LN(RAND())/$D$2</f>
        <v>0.648905666131739</v>
      </c>
      <c r="D198" s="46" t="n">
        <f aca="false">D197+C198</f>
        <v>284.441251155396</v>
      </c>
      <c r="E198" s="47" t="e">
        <f aca="false">MAX($D$3,(1+P197-VLOOKUP(VALUE(D198),$J$18:$Q197,7,TRUE()))*$D$3)</f>
        <v>#N/A</v>
      </c>
      <c r="F198" s="47" t="e">
        <f aca="false">MAX($D$4,(1+Q197-VLOOKUP(VALUE(D198),$M$18:$Q197,5,TRUE()))*$D$4)</f>
        <v>#N/A</v>
      </c>
      <c r="G198" s="48" t="n">
        <v>0.5</v>
      </c>
      <c r="H198" s="46" t="e">
        <f aca="true">IF((B198=1),(IF((F198&lt;E198),1,(IF((F198=E198),(IF(RAND()&lt;G198,1,0)),0)))),(IF((RAND()&lt;G198),1,0)))</f>
        <v>#N/A</v>
      </c>
      <c r="I198" s="46" t="e">
        <f aca="true">IF((H198=1),0,$D$3+$D$5*(RAND()-0.5))</f>
        <v>#N/A</v>
      </c>
      <c r="J198" s="46" t="e">
        <f aca="false">I198+MAX(D198,J197)</f>
        <v>#N/A</v>
      </c>
      <c r="K198" s="46" t="e">
        <f aca="false">IF((H198=0),J198-D198,0)</f>
        <v>#N/A</v>
      </c>
      <c r="L198" s="46" t="e">
        <f aca="true">IF(($H198=0),0,$D$4+$D$5*(RAND()-0.5))</f>
        <v>#N/A</v>
      </c>
      <c r="M198" s="46" t="e">
        <f aca="false">L198+MAX(D198,M197)</f>
        <v>#N/A</v>
      </c>
      <c r="N198" s="46" t="e">
        <f aca="false">IF((H198=1),M198-D198,0)</f>
        <v>#N/A</v>
      </c>
      <c r="O198" s="29" t="n">
        <v>181</v>
      </c>
      <c r="P198" s="49" t="e">
        <f aca="false">IF((Arterial=0),P197+1,P197)</f>
        <v>#N/A</v>
      </c>
      <c r="Q198" s="49" t="e">
        <f aca="false">IF((Arterial=1),Q197+1,Q197)</f>
        <v>#N/A</v>
      </c>
      <c r="R198" s="50" t="n">
        <f aca="false">IF((RESET=1),0,R198+K198)</f>
        <v>0</v>
      </c>
      <c r="S198" s="19" t="n">
        <f aca="false">IF(RESET=1,0,S198+N198)</f>
        <v>0</v>
      </c>
      <c r="T198" s="0" t="n">
        <f aca="false">IF(RESET=1,0,T198+IF(H198=0,1,0))</f>
        <v>0</v>
      </c>
      <c r="U198" s="0" t="n">
        <f aca="false">IF(RESET=1,0,U198+H198)</f>
        <v>0</v>
      </c>
      <c r="V198" s="19" t="n">
        <f aca="false">R198/(T198+0.00001)</f>
        <v>0</v>
      </c>
      <c r="W198" s="19" t="n">
        <f aca="false">S198/(U198+0.0001)</f>
        <v>0</v>
      </c>
      <c r="X198" s="47" t="e">
        <f aca="false">IF(Informed=1,K198,0)</f>
        <v>#N/A</v>
      </c>
      <c r="Y198" s="47" t="n">
        <f aca="false">IF(Informed=0,K198,0)</f>
        <v>0</v>
      </c>
      <c r="Z198" s="47" t="e">
        <f aca="false">IF(Informed=1,N198,0)</f>
        <v>#N/A</v>
      </c>
      <c r="AA198" s="47" t="n">
        <f aca="false">IF(Informed=0,N198,0)</f>
        <v>0</v>
      </c>
      <c r="AB198" s="51" t="e">
        <f aca="false">IF(Arterial=0,IF(Informed=1,1,0),0)</f>
        <v>#N/A</v>
      </c>
      <c r="AC198" s="51" t="e">
        <f aca="false">IF(Arterial=0,IF(Informed=0,1,0),0)</f>
        <v>#N/A</v>
      </c>
      <c r="AD198" s="51" t="e">
        <f aca="false">IF(Arterial=1,IF(Informed=1,1,0),0)</f>
        <v>#N/A</v>
      </c>
      <c r="AE198" s="51" t="e">
        <f aca="false">IF(Arterial=1,IF(Informed=0,1,0),0)</f>
        <v>#N/A</v>
      </c>
      <c r="AF198" s="44" t="e">
        <f aca="false">IF(AB198=1,(X198-G$1030)^2,0)</f>
        <v>#N/A</v>
      </c>
      <c r="AG198" s="44" t="e">
        <f aca="false">IF(AC198=1,(Y198-H$1030)^2,0)</f>
        <v>#N/A</v>
      </c>
      <c r="AH198" s="44" t="e">
        <f aca="false">IF(AD198=1,(Z198-I$1030)^2,0)</f>
        <v>#N/A</v>
      </c>
      <c r="AI198" s="44" t="e">
        <f aca="false">IF(AE198=1,(AA198-J$1030)^2,0)</f>
        <v>#N/A</v>
      </c>
    </row>
    <row r="199" customFormat="false" ht="12" hidden="false" customHeight="false" outlineLevel="0" collapsed="false">
      <c r="A199" s="29" t="n">
        <v>182</v>
      </c>
      <c r="B199" s="45" t="n">
        <f aca="true">IF(RAND()&lt;$D$8,1,0)</f>
        <v>1</v>
      </c>
      <c r="C199" s="34" t="n">
        <f aca="true">-LN(RAND())/$D$2</f>
        <v>0.0551103978211917</v>
      </c>
      <c r="D199" s="46" t="n">
        <f aca="false">D198+C199</f>
        <v>284.496361553217</v>
      </c>
      <c r="E199" s="47" t="e">
        <f aca="false">MAX($D$3,(1+P198-VLOOKUP(VALUE(D199),$J$18:$Q198,7,TRUE()))*$D$3)</f>
        <v>#N/A</v>
      </c>
      <c r="F199" s="47" t="e">
        <f aca="false">MAX($D$4,(1+Q198-VLOOKUP(VALUE(D199),$M$18:$Q198,5,TRUE()))*$D$4)</f>
        <v>#N/A</v>
      </c>
      <c r="G199" s="48" t="n">
        <v>0.5</v>
      </c>
      <c r="H199" s="46" t="e">
        <f aca="true">IF((B199=1),(IF((F199&lt;E199),1,(IF((F199=E199),(IF(RAND()&lt;G199,1,0)),0)))),(IF((RAND()&lt;G199),1,0)))</f>
        <v>#N/A</v>
      </c>
      <c r="I199" s="46" t="e">
        <f aca="true">IF((H199=1),0,$D$3+$D$5*(RAND()-0.5))</f>
        <v>#N/A</v>
      </c>
      <c r="J199" s="46" t="e">
        <f aca="false">I199+MAX(D199,J198)</f>
        <v>#N/A</v>
      </c>
      <c r="K199" s="46" t="e">
        <f aca="false">IF((H199=0),J199-D199,0)</f>
        <v>#N/A</v>
      </c>
      <c r="L199" s="46" t="e">
        <f aca="true">IF(($H199=0),0,$D$4+$D$5*(RAND()-0.5))</f>
        <v>#N/A</v>
      </c>
      <c r="M199" s="46" t="e">
        <f aca="false">L199+MAX(D199,M198)</f>
        <v>#N/A</v>
      </c>
      <c r="N199" s="46" t="e">
        <f aca="false">IF((H199=1),M199-D199,0)</f>
        <v>#N/A</v>
      </c>
      <c r="O199" s="29" t="n">
        <v>182</v>
      </c>
      <c r="P199" s="49" t="e">
        <f aca="false">IF((Arterial=0),P198+1,P198)</f>
        <v>#N/A</v>
      </c>
      <c r="Q199" s="49" t="e">
        <f aca="false">IF((Arterial=1),Q198+1,Q198)</f>
        <v>#N/A</v>
      </c>
      <c r="R199" s="50" t="n">
        <f aca="false">IF((RESET=1),0,R199+K199)</f>
        <v>0</v>
      </c>
      <c r="S199" s="19" t="n">
        <f aca="false">IF(RESET=1,0,S199+N199)</f>
        <v>0</v>
      </c>
      <c r="T199" s="0" t="n">
        <f aca="false">IF(RESET=1,0,T199+IF(H199=0,1,0))</f>
        <v>0</v>
      </c>
      <c r="U199" s="0" t="n">
        <f aca="false">IF(RESET=1,0,U199+H199)</f>
        <v>0</v>
      </c>
      <c r="V199" s="19" t="n">
        <f aca="false">R199/(T199+0.00001)</f>
        <v>0</v>
      </c>
      <c r="W199" s="19" t="n">
        <f aca="false">S199/(U199+0.0001)</f>
        <v>0</v>
      </c>
      <c r="X199" s="47" t="e">
        <f aca="false">IF(Informed=1,K199,0)</f>
        <v>#N/A</v>
      </c>
      <c r="Y199" s="47" t="n">
        <f aca="false">IF(Informed=0,K199,0)</f>
        <v>0</v>
      </c>
      <c r="Z199" s="47" t="e">
        <f aca="false">IF(Informed=1,N199,0)</f>
        <v>#N/A</v>
      </c>
      <c r="AA199" s="47" t="n">
        <f aca="false">IF(Informed=0,N199,0)</f>
        <v>0</v>
      </c>
      <c r="AB199" s="51" t="e">
        <f aca="false">IF(Arterial=0,IF(Informed=1,1,0),0)</f>
        <v>#N/A</v>
      </c>
      <c r="AC199" s="51" t="e">
        <f aca="false">IF(Arterial=0,IF(Informed=0,1,0),0)</f>
        <v>#N/A</v>
      </c>
      <c r="AD199" s="51" t="e">
        <f aca="false">IF(Arterial=1,IF(Informed=1,1,0),0)</f>
        <v>#N/A</v>
      </c>
      <c r="AE199" s="51" t="e">
        <f aca="false">IF(Arterial=1,IF(Informed=0,1,0),0)</f>
        <v>#N/A</v>
      </c>
      <c r="AF199" s="44" t="e">
        <f aca="false">IF(AB199=1,(X199-G$1030)^2,0)</f>
        <v>#N/A</v>
      </c>
      <c r="AG199" s="44" t="e">
        <f aca="false">IF(AC199=1,(Y199-H$1030)^2,0)</f>
        <v>#N/A</v>
      </c>
      <c r="AH199" s="44" t="e">
        <f aca="false">IF(AD199=1,(Z199-I$1030)^2,0)</f>
        <v>#N/A</v>
      </c>
      <c r="AI199" s="44" t="e">
        <f aca="false">IF(AE199=1,(AA199-J$1030)^2,0)</f>
        <v>#N/A</v>
      </c>
    </row>
    <row r="200" customFormat="false" ht="12" hidden="false" customHeight="false" outlineLevel="0" collapsed="false">
      <c r="A200" s="29" t="n">
        <v>183</v>
      </c>
      <c r="B200" s="45" t="n">
        <f aca="true">IF(RAND()&lt;$D$8,1,0)</f>
        <v>1</v>
      </c>
      <c r="C200" s="34" t="n">
        <f aca="true">-LN(RAND())/$D$2</f>
        <v>1.45110904003866</v>
      </c>
      <c r="D200" s="46" t="n">
        <f aca="false">D199+C200</f>
        <v>285.947470593256</v>
      </c>
      <c r="E200" s="47" t="e">
        <f aca="false">MAX($D$3,(1+P199-VLOOKUP(VALUE(D200),$J$18:$Q199,7,TRUE()))*$D$3)</f>
        <v>#N/A</v>
      </c>
      <c r="F200" s="47" t="e">
        <f aca="false">MAX($D$4,(1+Q199-VLOOKUP(VALUE(D200),$M$18:$Q199,5,TRUE()))*$D$4)</f>
        <v>#N/A</v>
      </c>
      <c r="G200" s="48" t="n">
        <v>0.5</v>
      </c>
      <c r="H200" s="46" t="e">
        <f aca="true">IF((B200=1),(IF((F200&lt;E200),1,(IF((F200=E200),(IF(RAND()&lt;G200,1,0)),0)))),(IF((RAND()&lt;G200),1,0)))</f>
        <v>#N/A</v>
      </c>
      <c r="I200" s="46" t="e">
        <f aca="true">IF((H200=1),0,$D$3+$D$5*(RAND()-0.5))</f>
        <v>#N/A</v>
      </c>
      <c r="J200" s="46" t="e">
        <f aca="false">I200+MAX(D200,J199)</f>
        <v>#N/A</v>
      </c>
      <c r="K200" s="46" t="e">
        <f aca="false">IF((H200=0),J200-D200,0)</f>
        <v>#N/A</v>
      </c>
      <c r="L200" s="46" t="e">
        <f aca="true">IF(($H200=0),0,$D$4+$D$5*(RAND()-0.5))</f>
        <v>#N/A</v>
      </c>
      <c r="M200" s="46" t="e">
        <f aca="false">L200+MAX(D200,M199)</f>
        <v>#N/A</v>
      </c>
      <c r="N200" s="46" t="e">
        <f aca="false">IF((H200=1),M200-D200,0)</f>
        <v>#N/A</v>
      </c>
      <c r="O200" s="29" t="n">
        <v>183</v>
      </c>
      <c r="P200" s="49" t="e">
        <f aca="false">IF((Arterial=0),P199+1,P199)</f>
        <v>#N/A</v>
      </c>
      <c r="Q200" s="49" t="e">
        <f aca="false">IF((Arterial=1),Q199+1,Q199)</f>
        <v>#N/A</v>
      </c>
      <c r="R200" s="50" t="n">
        <f aca="false">IF((RESET=1),0,R200+K200)</f>
        <v>0</v>
      </c>
      <c r="S200" s="19" t="n">
        <f aca="false">IF(RESET=1,0,S200+N200)</f>
        <v>0</v>
      </c>
      <c r="T200" s="0" t="n">
        <f aca="false">IF(RESET=1,0,T200+IF(H200=0,1,0))</f>
        <v>0</v>
      </c>
      <c r="U200" s="0" t="n">
        <f aca="false">IF(RESET=1,0,U200+H200)</f>
        <v>0</v>
      </c>
      <c r="V200" s="19" t="n">
        <f aca="false">R200/(T200+0.00001)</f>
        <v>0</v>
      </c>
      <c r="W200" s="19" t="n">
        <f aca="false">S200/(U200+0.0001)</f>
        <v>0</v>
      </c>
      <c r="X200" s="47" t="e">
        <f aca="false">IF(Informed=1,K200,0)</f>
        <v>#N/A</v>
      </c>
      <c r="Y200" s="47" t="n">
        <f aca="false">IF(Informed=0,K200,0)</f>
        <v>0</v>
      </c>
      <c r="Z200" s="47" t="e">
        <f aca="false">IF(Informed=1,N200,0)</f>
        <v>#N/A</v>
      </c>
      <c r="AA200" s="47" t="n">
        <f aca="false">IF(Informed=0,N200,0)</f>
        <v>0</v>
      </c>
      <c r="AB200" s="51" t="e">
        <f aca="false">IF(Arterial=0,IF(Informed=1,1,0),0)</f>
        <v>#N/A</v>
      </c>
      <c r="AC200" s="51" t="e">
        <f aca="false">IF(Arterial=0,IF(Informed=0,1,0),0)</f>
        <v>#N/A</v>
      </c>
      <c r="AD200" s="51" t="e">
        <f aca="false">IF(Arterial=1,IF(Informed=1,1,0),0)</f>
        <v>#N/A</v>
      </c>
      <c r="AE200" s="51" t="e">
        <f aca="false">IF(Arterial=1,IF(Informed=0,1,0),0)</f>
        <v>#N/A</v>
      </c>
      <c r="AF200" s="44" t="e">
        <f aca="false">IF(AB200=1,(X200-G$1030)^2,0)</f>
        <v>#N/A</v>
      </c>
      <c r="AG200" s="44" t="e">
        <f aca="false">IF(AC200=1,(Y200-H$1030)^2,0)</f>
        <v>#N/A</v>
      </c>
      <c r="AH200" s="44" t="e">
        <f aca="false">IF(AD200=1,(Z200-I$1030)^2,0)</f>
        <v>#N/A</v>
      </c>
      <c r="AI200" s="44" t="e">
        <f aca="false">IF(AE200=1,(AA200-J$1030)^2,0)</f>
        <v>#N/A</v>
      </c>
    </row>
    <row r="201" customFormat="false" ht="12" hidden="false" customHeight="false" outlineLevel="0" collapsed="false">
      <c r="A201" s="29" t="n">
        <v>184</v>
      </c>
      <c r="B201" s="45" t="n">
        <f aca="true">IF(RAND()&lt;$D$8,1,0)</f>
        <v>1</v>
      </c>
      <c r="C201" s="34" t="n">
        <f aca="true">-LN(RAND())/$D$2</f>
        <v>1.83366490204108</v>
      </c>
      <c r="D201" s="46" t="n">
        <f aca="false">D200+C201</f>
        <v>287.781135495297</v>
      </c>
      <c r="E201" s="47" t="e">
        <f aca="false">MAX($D$3,(1+P200-VLOOKUP(VALUE(D201),$J$18:$Q200,7,TRUE()))*$D$3)</f>
        <v>#N/A</v>
      </c>
      <c r="F201" s="47" t="e">
        <f aca="false">MAX($D$4,(1+Q200-VLOOKUP(VALUE(D201),$M$18:$Q200,5,TRUE()))*$D$4)</f>
        <v>#N/A</v>
      </c>
      <c r="G201" s="48" t="n">
        <v>0.5</v>
      </c>
      <c r="H201" s="46" t="e">
        <f aca="true">IF((B201=1),(IF((F201&lt;E201),1,(IF((F201=E201),(IF(RAND()&lt;G201,1,0)),0)))),(IF((RAND()&lt;G201),1,0)))</f>
        <v>#N/A</v>
      </c>
      <c r="I201" s="46" t="e">
        <f aca="true">IF((H201=1),0,$D$3+$D$5*(RAND()-0.5))</f>
        <v>#N/A</v>
      </c>
      <c r="J201" s="46" t="e">
        <f aca="false">I201+MAX(D201,J200)</f>
        <v>#N/A</v>
      </c>
      <c r="K201" s="46" t="e">
        <f aca="false">IF((H201=0),J201-D201,0)</f>
        <v>#N/A</v>
      </c>
      <c r="L201" s="46" t="e">
        <f aca="true">IF(($H201=0),0,$D$4+$D$5*(RAND()-0.5))</f>
        <v>#N/A</v>
      </c>
      <c r="M201" s="46" t="e">
        <f aca="false">L201+MAX(D201,M200)</f>
        <v>#N/A</v>
      </c>
      <c r="N201" s="46" t="e">
        <f aca="false">IF((H201=1),M201-D201,0)</f>
        <v>#N/A</v>
      </c>
      <c r="O201" s="29" t="n">
        <v>184</v>
      </c>
      <c r="P201" s="49" t="e">
        <f aca="false">IF((Arterial=0),P200+1,P200)</f>
        <v>#N/A</v>
      </c>
      <c r="Q201" s="49" t="e">
        <f aca="false">IF((Arterial=1),Q200+1,Q200)</f>
        <v>#N/A</v>
      </c>
      <c r="R201" s="50" t="n">
        <f aca="false">IF((RESET=1),0,R201+K201)</f>
        <v>0</v>
      </c>
      <c r="S201" s="19" t="n">
        <f aca="false">IF(RESET=1,0,S201+N201)</f>
        <v>0</v>
      </c>
      <c r="T201" s="0" t="n">
        <f aca="false">IF(RESET=1,0,T201+IF(H201=0,1,0))</f>
        <v>0</v>
      </c>
      <c r="U201" s="0" t="n">
        <f aca="false">IF(RESET=1,0,U201+H201)</f>
        <v>0</v>
      </c>
      <c r="V201" s="19" t="n">
        <f aca="false">R201/(T201+0.00001)</f>
        <v>0</v>
      </c>
      <c r="W201" s="19" t="n">
        <f aca="false">S201/(U201+0.0001)</f>
        <v>0</v>
      </c>
      <c r="X201" s="47" t="e">
        <f aca="false">IF(Informed=1,K201,0)</f>
        <v>#N/A</v>
      </c>
      <c r="Y201" s="47" t="n">
        <f aca="false">IF(Informed=0,K201,0)</f>
        <v>0</v>
      </c>
      <c r="Z201" s="47" t="e">
        <f aca="false">IF(Informed=1,N201,0)</f>
        <v>#N/A</v>
      </c>
      <c r="AA201" s="47" t="n">
        <f aca="false">IF(Informed=0,N201,0)</f>
        <v>0</v>
      </c>
      <c r="AB201" s="51" t="e">
        <f aca="false">IF(Arterial=0,IF(Informed=1,1,0),0)</f>
        <v>#N/A</v>
      </c>
      <c r="AC201" s="51" t="e">
        <f aca="false">IF(Arterial=0,IF(Informed=0,1,0),0)</f>
        <v>#N/A</v>
      </c>
      <c r="AD201" s="51" t="e">
        <f aca="false">IF(Arterial=1,IF(Informed=1,1,0),0)</f>
        <v>#N/A</v>
      </c>
      <c r="AE201" s="51" t="e">
        <f aca="false">IF(Arterial=1,IF(Informed=0,1,0),0)</f>
        <v>#N/A</v>
      </c>
      <c r="AF201" s="44" t="e">
        <f aca="false">IF(AB201=1,(X201-G$1030)^2,0)</f>
        <v>#N/A</v>
      </c>
      <c r="AG201" s="44" t="e">
        <f aca="false">IF(AC201=1,(Y201-H$1030)^2,0)</f>
        <v>#N/A</v>
      </c>
      <c r="AH201" s="44" t="e">
        <f aca="false">IF(AD201=1,(Z201-I$1030)^2,0)</f>
        <v>#N/A</v>
      </c>
      <c r="AI201" s="44" t="e">
        <f aca="false">IF(AE201=1,(AA201-J$1030)^2,0)</f>
        <v>#N/A</v>
      </c>
    </row>
    <row r="202" customFormat="false" ht="12" hidden="false" customHeight="false" outlineLevel="0" collapsed="false">
      <c r="A202" s="29" t="n">
        <v>185</v>
      </c>
      <c r="B202" s="45" t="n">
        <f aca="true">IF(RAND()&lt;$D$8,1,0)</f>
        <v>1</v>
      </c>
      <c r="C202" s="34" t="n">
        <f aca="true">-LN(RAND())/$D$2</f>
        <v>1.0110690412726</v>
      </c>
      <c r="D202" s="46" t="n">
        <f aca="false">D201+C202</f>
        <v>288.79220453657</v>
      </c>
      <c r="E202" s="47" t="e">
        <f aca="false">MAX($D$3,(1+P201-VLOOKUP(VALUE(D202),$J$18:$Q201,7,TRUE()))*$D$3)</f>
        <v>#N/A</v>
      </c>
      <c r="F202" s="47" t="e">
        <f aca="false">MAX($D$4,(1+Q201-VLOOKUP(VALUE(D202),$M$18:$Q201,5,TRUE()))*$D$4)</f>
        <v>#N/A</v>
      </c>
      <c r="G202" s="48" t="n">
        <v>0.5</v>
      </c>
      <c r="H202" s="46" t="e">
        <f aca="true">IF((B202=1),(IF((F202&lt;E202),1,(IF((F202=E202),(IF(RAND()&lt;G202,1,0)),0)))),(IF((RAND()&lt;G202),1,0)))</f>
        <v>#N/A</v>
      </c>
      <c r="I202" s="46" t="e">
        <f aca="true">IF((H202=1),0,$D$3+$D$5*(RAND()-0.5))</f>
        <v>#N/A</v>
      </c>
      <c r="J202" s="46" t="e">
        <f aca="false">I202+MAX(D202,J201)</f>
        <v>#N/A</v>
      </c>
      <c r="K202" s="46" t="e">
        <f aca="false">IF((H202=0),J202-D202,0)</f>
        <v>#N/A</v>
      </c>
      <c r="L202" s="46" t="e">
        <f aca="true">IF(($H202=0),0,$D$4+$D$5*(RAND()-0.5))</f>
        <v>#N/A</v>
      </c>
      <c r="M202" s="46" t="e">
        <f aca="false">L202+MAX(D202,M201)</f>
        <v>#N/A</v>
      </c>
      <c r="N202" s="46" t="e">
        <f aca="false">IF((H202=1),M202-D202,0)</f>
        <v>#N/A</v>
      </c>
      <c r="O202" s="29" t="n">
        <v>185</v>
      </c>
      <c r="P202" s="49" t="e">
        <f aca="false">IF((Arterial=0),P201+1,P201)</f>
        <v>#N/A</v>
      </c>
      <c r="Q202" s="49" t="e">
        <f aca="false">IF((Arterial=1),Q201+1,Q201)</f>
        <v>#N/A</v>
      </c>
      <c r="R202" s="50" t="n">
        <f aca="false">IF((RESET=1),0,R202+K202)</f>
        <v>0</v>
      </c>
      <c r="S202" s="19" t="n">
        <f aca="false">IF(RESET=1,0,S202+N202)</f>
        <v>0</v>
      </c>
      <c r="T202" s="0" t="n">
        <f aca="false">IF(RESET=1,0,T202+IF(H202=0,1,0))</f>
        <v>0</v>
      </c>
      <c r="U202" s="0" t="n">
        <f aca="false">IF(RESET=1,0,U202+H202)</f>
        <v>0</v>
      </c>
      <c r="V202" s="19" t="n">
        <f aca="false">R202/(T202+0.00001)</f>
        <v>0</v>
      </c>
      <c r="W202" s="19" t="n">
        <f aca="false">S202/(U202+0.0001)</f>
        <v>0</v>
      </c>
      <c r="X202" s="47" t="e">
        <f aca="false">IF(Informed=1,K202,0)</f>
        <v>#N/A</v>
      </c>
      <c r="Y202" s="47" t="n">
        <f aca="false">IF(Informed=0,K202,0)</f>
        <v>0</v>
      </c>
      <c r="Z202" s="47" t="e">
        <f aca="false">IF(Informed=1,N202,0)</f>
        <v>#N/A</v>
      </c>
      <c r="AA202" s="47" t="n">
        <f aca="false">IF(Informed=0,N202,0)</f>
        <v>0</v>
      </c>
      <c r="AB202" s="51" t="e">
        <f aca="false">IF(Arterial=0,IF(Informed=1,1,0),0)</f>
        <v>#N/A</v>
      </c>
      <c r="AC202" s="51" t="e">
        <f aca="false">IF(Arterial=0,IF(Informed=0,1,0),0)</f>
        <v>#N/A</v>
      </c>
      <c r="AD202" s="51" t="e">
        <f aca="false">IF(Arterial=1,IF(Informed=1,1,0),0)</f>
        <v>#N/A</v>
      </c>
      <c r="AE202" s="51" t="e">
        <f aca="false">IF(Arterial=1,IF(Informed=0,1,0),0)</f>
        <v>#N/A</v>
      </c>
      <c r="AF202" s="44" t="e">
        <f aca="false">IF(AB202=1,(X202-G$1030)^2,0)</f>
        <v>#N/A</v>
      </c>
      <c r="AG202" s="44" t="e">
        <f aca="false">IF(AC202=1,(Y202-H$1030)^2,0)</f>
        <v>#N/A</v>
      </c>
      <c r="AH202" s="44" t="e">
        <f aca="false">IF(AD202=1,(Z202-I$1030)^2,0)</f>
        <v>#N/A</v>
      </c>
      <c r="AI202" s="44" t="e">
        <f aca="false">IF(AE202=1,(AA202-J$1030)^2,0)</f>
        <v>#N/A</v>
      </c>
    </row>
    <row r="203" customFormat="false" ht="12" hidden="false" customHeight="false" outlineLevel="0" collapsed="false">
      <c r="A203" s="29" t="n">
        <v>186</v>
      </c>
      <c r="B203" s="45" t="n">
        <f aca="true">IF(RAND()&lt;$D$8,1,0)</f>
        <v>1</v>
      </c>
      <c r="C203" s="34" t="n">
        <f aca="true">-LN(RAND())/$D$2</f>
        <v>0.68302219875942</v>
      </c>
      <c r="D203" s="46" t="n">
        <f aca="false">D202+C203</f>
        <v>289.475226735329</v>
      </c>
      <c r="E203" s="47" t="e">
        <f aca="false">MAX($D$3,(1+P202-VLOOKUP(VALUE(D203),$J$18:$Q202,7,TRUE()))*$D$3)</f>
        <v>#N/A</v>
      </c>
      <c r="F203" s="47" t="e">
        <f aca="false">MAX($D$4,(1+Q202-VLOOKUP(VALUE(D203),$M$18:$Q202,5,TRUE()))*$D$4)</f>
        <v>#N/A</v>
      </c>
      <c r="G203" s="48" t="n">
        <v>0.5</v>
      </c>
      <c r="H203" s="46" t="e">
        <f aca="true">IF((B203=1),(IF((F203&lt;E203),1,(IF((F203=E203),(IF(RAND()&lt;G203,1,0)),0)))),(IF((RAND()&lt;G203),1,0)))</f>
        <v>#N/A</v>
      </c>
      <c r="I203" s="46" t="e">
        <f aca="true">IF((H203=1),0,$D$3+$D$5*(RAND()-0.5))</f>
        <v>#N/A</v>
      </c>
      <c r="J203" s="46" t="e">
        <f aca="false">I203+MAX(D203,J202)</f>
        <v>#N/A</v>
      </c>
      <c r="K203" s="46" t="e">
        <f aca="false">IF((H203=0),J203-D203,0)</f>
        <v>#N/A</v>
      </c>
      <c r="L203" s="46" t="e">
        <f aca="true">IF(($H203=0),0,$D$4+$D$5*(RAND()-0.5))</f>
        <v>#N/A</v>
      </c>
      <c r="M203" s="46" t="e">
        <f aca="false">L203+MAX(D203,M202)</f>
        <v>#N/A</v>
      </c>
      <c r="N203" s="46" t="e">
        <f aca="false">IF((H203=1),M203-D203,0)</f>
        <v>#N/A</v>
      </c>
      <c r="O203" s="29" t="n">
        <v>186</v>
      </c>
      <c r="P203" s="49" t="e">
        <f aca="false">IF((Arterial=0),P202+1,P202)</f>
        <v>#N/A</v>
      </c>
      <c r="Q203" s="49" t="e">
        <f aca="false">IF((Arterial=1),Q202+1,Q202)</f>
        <v>#N/A</v>
      </c>
      <c r="R203" s="50" t="n">
        <f aca="false">IF((RESET=1),0,R203+K203)</f>
        <v>0</v>
      </c>
      <c r="S203" s="19" t="n">
        <f aca="false">IF(RESET=1,0,S203+N203)</f>
        <v>0</v>
      </c>
      <c r="T203" s="0" t="n">
        <f aca="false">IF(RESET=1,0,T203+IF(H203=0,1,0))</f>
        <v>0</v>
      </c>
      <c r="U203" s="0" t="n">
        <f aca="false">IF(RESET=1,0,U203+H203)</f>
        <v>0</v>
      </c>
      <c r="V203" s="19" t="n">
        <f aca="false">R203/(T203+0.00001)</f>
        <v>0</v>
      </c>
      <c r="W203" s="19" t="n">
        <f aca="false">S203/(U203+0.0001)</f>
        <v>0</v>
      </c>
      <c r="X203" s="47" t="e">
        <f aca="false">IF(Informed=1,K203,0)</f>
        <v>#N/A</v>
      </c>
      <c r="Y203" s="47" t="n">
        <f aca="false">IF(Informed=0,K203,0)</f>
        <v>0</v>
      </c>
      <c r="Z203" s="47" t="e">
        <f aca="false">IF(Informed=1,N203,0)</f>
        <v>#N/A</v>
      </c>
      <c r="AA203" s="47" t="n">
        <f aca="false">IF(Informed=0,N203,0)</f>
        <v>0</v>
      </c>
      <c r="AB203" s="51" t="e">
        <f aca="false">IF(Arterial=0,IF(Informed=1,1,0),0)</f>
        <v>#N/A</v>
      </c>
      <c r="AC203" s="51" t="e">
        <f aca="false">IF(Arterial=0,IF(Informed=0,1,0),0)</f>
        <v>#N/A</v>
      </c>
      <c r="AD203" s="51" t="e">
        <f aca="false">IF(Arterial=1,IF(Informed=1,1,0),0)</f>
        <v>#N/A</v>
      </c>
      <c r="AE203" s="51" t="e">
        <f aca="false">IF(Arterial=1,IF(Informed=0,1,0),0)</f>
        <v>#N/A</v>
      </c>
      <c r="AF203" s="44" t="e">
        <f aca="false">IF(AB203=1,(X203-G$1030)^2,0)</f>
        <v>#N/A</v>
      </c>
      <c r="AG203" s="44" t="e">
        <f aca="false">IF(AC203=1,(Y203-H$1030)^2,0)</f>
        <v>#N/A</v>
      </c>
      <c r="AH203" s="44" t="e">
        <f aca="false">IF(AD203=1,(Z203-I$1030)^2,0)</f>
        <v>#N/A</v>
      </c>
      <c r="AI203" s="44" t="e">
        <f aca="false">IF(AE203=1,(AA203-J$1030)^2,0)</f>
        <v>#N/A</v>
      </c>
    </row>
    <row r="204" customFormat="false" ht="12" hidden="false" customHeight="false" outlineLevel="0" collapsed="false">
      <c r="A204" s="29" t="n">
        <v>187</v>
      </c>
      <c r="B204" s="45" t="n">
        <f aca="true">IF(RAND()&lt;$D$8,1,0)</f>
        <v>1</v>
      </c>
      <c r="C204" s="34" t="n">
        <f aca="true">-LN(RAND())/$D$2</f>
        <v>0.658830289366703</v>
      </c>
      <c r="D204" s="46" t="n">
        <f aca="false">D203+C204</f>
        <v>290.134057024696</v>
      </c>
      <c r="E204" s="47" t="e">
        <f aca="false">MAX($D$3,(1+P203-VLOOKUP(VALUE(D204),$J$18:$Q203,7,TRUE()))*$D$3)</f>
        <v>#N/A</v>
      </c>
      <c r="F204" s="47" t="e">
        <f aca="false">MAX($D$4,(1+Q203-VLOOKUP(VALUE(D204),$M$18:$Q203,5,TRUE()))*$D$4)</f>
        <v>#N/A</v>
      </c>
      <c r="G204" s="48" t="n">
        <v>0.5</v>
      </c>
      <c r="H204" s="46" t="e">
        <f aca="true">IF((B204=1),(IF((F204&lt;E204),1,(IF((F204=E204),(IF(RAND()&lt;G204,1,0)),0)))),(IF((RAND()&lt;G204),1,0)))</f>
        <v>#N/A</v>
      </c>
      <c r="I204" s="46" t="e">
        <f aca="true">IF((H204=1),0,$D$3+$D$5*(RAND()-0.5))</f>
        <v>#N/A</v>
      </c>
      <c r="J204" s="46" t="e">
        <f aca="false">I204+MAX(D204,J203)</f>
        <v>#N/A</v>
      </c>
      <c r="K204" s="46" t="e">
        <f aca="false">IF((H204=0),J204-D204,0)</f>
        <v>#N/A</v>
      </c>
      <c r="L204" s="46" t="e">
        <f aca="true">IF(($H204=0),0,$D$4+$D$5*(RAND()-0.5))</f>
        <v>#N/A</v>
      </c>
      <c r="M204" s="46" t="e">
        <f aca="false">L204+MAX(D204,M203)</f>
        <v>#N/A</v>
      </c>
      <c r="N204" s="46" t="e">
        <f aca="false">IF((H204=1),M204-D204,0)</f>
        <v>#N/A</v>
      </c>
      <c r="O204" s="29" t="n">
        <v>187</v>
      </c>
      <c r="P204" s="49" t="e">
        <f aca="false">IF((Arterial=0),P203+1,P203)</f>
        <v>#N/A</v>
      </c>
      <c r="Q204" s="49" t="e">
        <f aca="false">IF((Arterial=1),Q203+1,Q203)</f>
        <v>#N/A</v>
      </c>
      <c r="R204" s="50" t="n">
        <f aca="false">IF((RESET=1),0,R204+K204)</f>
        <v>0</v>
      </c>
      <c r="S204" s="19" t="n">
        <f aca="false">IF(RESET=1,0,S204+N204)</f>
        <v>0</v>
      </c>
      <c r="T204" s="0" t="n">
        <f aca="false">IF(RESET=1,0,T204+IF(H204=0,1,0))</f>
        <v>0</v>
      </c>
      <c r="U204" s="0" t="n">
        <f aca="false">IF(RESET=1,0,U204+H204)</f>
        <v>0</v>
      </c>
      <c r="V204" s="19" t="n">
        <f aca="false">R204/(T204+0.00001)</f>
        <v>0</v>
      </c>
      <c r="W204" s="19" t="n">
        <f aca="false">S204/(U204+0.0001)</f>
        <v>0</v>
      </c>
      <c r="X204" s="47" t="e">
        <f aca="false">IF(Informed=1,K204,0)</f>
        <v>#N/A</v>
      </c>
      <c r="Y204" s="47" t="n">
        <f aca="false">IF(Informed=0,K204,0)</f>
        <v>0</v>
      </c>
      <c r="Z204" s="47" t="e">
        <f aca="false">IF(Informed=1,N204,0)</f>
        <v>#N/A</v>
      </c>
      <c r="AA204" s="47" t="n">
        <f aca="false">IF(Informed=0,N204,0)</f>
        <v>0</v>
      </c>
      <c r="AB204" s="51" t="e">
        <f aca="false">IF(Arterial=0,IF(Informed=1,1,0),0)</f>
        <v>#N/A</v>
      </c>
      <c r="AC204" s="51" t="e">
        <f aca="false">IF(Arterial=0,IF(Informed=0,1,0),0)</f>
        <v>#N/A</v>
      </c>
      <c r="AD204" s="51" t="e">
        <f aca="false">IF(Arterial=1,IF(Informed=1,1,0),0)</f>
        <v>#N/A</v>
      </c>
      <c r="AE204" s="51" t="e">
        <f aca="false">IF(Arterial=1,IF(Informed=0,1,0),0)</f>
        <v>#N/A</v>
      </c>
      <c r="AF204" s="44" t="e">
        <f aca="false">IF(AB204=1,(X204-G$1030)^2,0)</f>
        <v>#N/A</v>
      </c>
      <c r="AG204" s="44" t="e">
        <f aca="false">IF(AC204=1,(Y204-H$1030)^2,0)</f>
        <v>#N/A</v>
      </c>
      <c r="AH204" s="44" t="e">
        <f aca="false">IF(AD204=1,(Z204-I$1030)^2,0)</f>
        <v>#N/A</v>
      </c>
      <c r="AI204" s="44" t="e">
        <f aca="false">IF(AE204=1,(AA204-J$1030)^2,0)</f>
        <v>#N/A</v>
      </c>
    </row>
    <row r="205" customFormat="false" ht="12" hidden="false" customHeight="false" outlineLevel="0" collapsed="false">
      <c r="A205" s="29" t="n">
        <v>188</v>
      </c>
      <c r="B205" s="45" t="n">
        <f aca="true">IF(RAND()&lt;$D$8,1,0)</f>
        <v>1</v>
      </c>
      <c r="C205" s="34" t="n">
        <f aca="true">-LN(RAND())/$D$2</f>
        <v>2.15131766579538</v>
      </c>
      <c r="D205" s="46" t="n">
        <f aca="false">D204+C205</f>
        <v>292.285374690491</v>
      </c>
      <c r="E205" s="47" t="e">
        <f aca="false">MAX($D$3,(1+P204-VLOOKUP(VALUE(D205),$J$18:$Q204,7,TRUE()))*$D$3)</f>
        <v>#N/A</v>
      </c>
      <c r="F205" s="47" t="e">
        <f aca="false">MAX($D$4,(1+Q204-VLOOKUP(VALUE(D205),$M$18:$Q204,5,TRUE()))*$D$4)</f>
        <v>#N/A</v>
      </c>
      <c r="G205" s="48" t="n">
        <v>0.5</v>
      </c>
      <c r="H205" s="46" t="e">
        <f aca="true">IF((B205=1),(IF((F205&lt;E205),1,(IF((F205=E205),(IF(RAND()&lt;G205,1,0)),0)))),(IF((RAND()&lt;G205),1,0)))</f>
        <v>#N/A</v>
      </c>
      <c r="I205" s="46" t="e">
        <f aca="true">IF((H205=1),0,$D$3+$D$5*(RAND()-0.5))</f>
        <v>#N/A</v>
      </c>
      <c r="J205" s="46" t="e">
        <f aca="false">I205+MAX(D205,J204)</f>
        <v>#N/A</v>
      </c>
      <c r="K205" s="46" t="e">
        <f aca="false">IF((H205=0),J205-D205,0)</f>
        <v>#N/A</v>
      </c>
      <c r="L205" s="46" t="e">
        <f aca="true">IF(($H205=0),0,$D$4+$D$5*(RAND()-0.5))</f>
        <v>#N/A</v>
      </c>
      <c r="M205" s="46" t="e">
        <f aca="false">L205+MAX(D205,M204)</f>
        <v>#N/A</v>
      </c>
      <c r="N205" s="46" t="e">
        <f aca="false">IF((H205=1),M205-D205,0)</f>
        <v>#N/A</v>
      </c>
      <c r="O205" s="29" t="n">
        <v>188</v>
      </c>
      <c r="P205" s="49" t="e">
        <f aca="false">IF((Arterial=0),P204+1,P204)</f>
        <v>#N/A</v>
      </c>
      <c r="Q205" s="49" t="e">
        <f aca="false">IF((Arterial=1),Q204+1,Q204)</f>
        <v>#N/A</v>
      </c>
      <c r="R205" s="50" t="n">
        <f aca="false">IF((RESET=1),0,R205+K205)</f>
        <v>0</v>
      </c>
      <c r="S205" s="19" t="n">
        <f aca="false">IF(RESET=1,0,S205+N205)</f>
        <v>0</v>
      </c>
      <c r="T205" s="0" t="n">
        <f aca="false">IF(RESET=1,0,T205+IF(H205=0,1,0))</f>
        <v>0</v>
      </c>
      <c r="U205" s="0" t="n">
        <f aca="false">IF(RESET=1,0,U205+H205)</f>
        <v>0</v>
      </c>
      <c r="V205" s="19" t="n">
        <f aca="false">R205/(T205+0.00001)</f>
        <v>0</v>
      </c>
      <c r="W205" s="19" t="n">
        <f aca="false">S205/(U205+0.0001)</f>
        <v>0</v>
      </c>
      <c r="X205" s="47" t="e">
        <f aca="false">IF(Informed=1,K205,0)</f>
        <v>#N/A</v>
      </c>
      <c r="Y205" s="47" t="n">
        <f aca="false">IF(Informed=0,K205,0)</f>
        <v>0</v>
      </c>
      <c r="Z205" s="47" t="e">
        <f aca="false">IF(Informed=1,N205,0)</f>
        <v>#N/A</v>
      </c>
      <c r="AA205" s="47" t="n">
        <f aca="false">IF(Informed=0,N205,0)</f>
        <v>0</v>
      </c>
      <c r="AB205" s="51" t="e">
        <f aca="false">IF(Arterial=0,IF(Informed=1,1,0),0)</f>
        <v>#N/A</v>
      </c>
      <c r="AC205" s="51" t="e">
        <f aca="false">IF(Arterial=0,IF(Informed=0,1,0),0)</f>
        <v>#N/A</v>
      </c>
      <c r="AD205" s="51" t="e">
        <f aca="false">IF(Arterial=1,IF(Informed=1,1,0),0)</f>
        <v>#N/A</v>
      </c>
      <c r="AE205" s="51" t="e">
        <f aca="false">IF(Arterial=1,IF(Informed=0,1,0),0)</f>
        <v>#N/A</v>
      </c>
      <c r="AF205" s="44" t="e">
        <f aca="false">IF(AB205=1,(X205-G$1030)^2,0)</f>
        <v>#N/A</v>
      </c>
      <c r="AG205" s="44" t="e">
        <f aca="false">IF(AC205=1,(Y205-H$1030)^2,0)</f>
        <v>#N/A</v>
      </c>
      <c r="AH205" s="44" t="e">
        <f aca="false">IF(AD205=1,(Z205-I$1030)^2,0)</f>
        <v>#N/A</v>
      </c>
      <c r="AI205" s="44" t="e">
        <f aca="false">IF(AE205=1,(AA205-J$1030)^2,0)</f>
        <v>#N/A</v>
      </c>
    </row>
    <row r="206" customFormat="false" ht="12" hidden="false" customHeight="false" outlineLevel="0" collapsed="false">
      <c r="A206" s="29" t="n">
        <v>189</v>
      </c>
      <c r="B206" s="45" t="n">
        <f aca="true">IF(RAND()&lt;$D$8,1,0)</f>
        <v>1</v>
      </c>
      <c r="C206" s="34" t="n">
        <f aca="true">-LN(RAND())/$D$2</f>
        <v>0.991506632946881</v>
      </c>
      <c r="D206" s="46" t="n">
        <f aca="false">D205+C206</f>
        <v>293.276881323438</v>
      </c>
      <c r="E206" s="47" t="e">
        <f aca="false">MAX($D$3,(1+P205-VLOOKUP(VALUE(D206),$J$18:$Q205,7,TRUE()))*$D$3)</f>
        <v>#N/A</v>
      </c>
      <c r="F206" s="47" t="e">
        <f aca="false">MAX($D$4,(1+Q205-VLOOKUP(VALUE(D206),$M$18:$Q205,5,TRUE()))*$D$4)</f>
        <v>#N/A</v>
      </c>
      <c r="G206" s="48" t="n">
        <v>0.5</v>
      </c>
      <c r="H206" s="46" t="e">
        <f aca="true">IF((B206=1),(IF((F206&lt;E206),1,(IF((F206=E206),(IF(RAND()&lt;G206,1,0)),0)))),(IF((RAND()&lt;G206),1,0)))</f>
        <v>#N/A</v>
      </c>
      <c r="I206" s="46" t="e">
        <f aca="true">IF((H206=1),0,$D$3+$D$5*(RAND()-0.5))</f>
        <v>#N/A</v>
      </c>
      <c r="J206" s="46" t="e">
        <f aca="false">I206+MAX(D206,J205)</f>
        <v>#N/A</v>
      </c>
      <c r="K206" s="46" t="e">
        <f aca="false">IF((H206=0),J206-D206,0)</f>
        <v>#N/A</v>
      </c>
      <c r="L206" s="46" t="e">
        <f aca="true">IF(($H206=0),0,$D$4+$D$5*(RAND()-0.5))</f>
        <v>#N/A</v>
      </c>
      <c r="M206" s="46" t="e">
        <f aca="false">L206+MAX(D206,M205)</f>
        <v>#N/A</v>
      </c>
      <c r="N206" s="46" t="e">
        <f aca="false">IF((H206=1),M206-D206,0)</f>
        <v>#N/A</v>
      </c>
      <c r="O206" s="29" t="n">
        <v>189</v>
      </c>
      <c r="P206" s="49" t="e">
        <f aca="false">IF((Arterial=0),P205+1,P205)</f>
        <v>#N/A</v>
      </c>
      <c r="Q206" s="49" t="e">
        <f aca="false">IF((Arterial=1),Q205+1,Q205)</f>
        <v>#N/A</v>
      </c>
      <c r="R206" s="50" t="n">
        <f aca="false">IF((RESET=1),0,R206+K206)</f>
        <v>0</v>
      </c>
      <c r="S206" s="19" t="n">
        <f aca="false">IF(RESET=1,0,S206+N206)</f>
        <v>0</v>
      </c>
      <c r="T206" s="0" t="n">
        <f aca="false">IF(RESET=1,0,T206+IF(H206=0,1,0))</f>
        <v>0</v>
      </c>
      <c r="U206" s="0" t="n">
        <f aca="false">IF(RESET=1,0,U206+H206)</f>
        <v>0</v>
      </c>
      <c r="V206" s="19" t="n">
        <f aca="false">R206/(T206+0.00001)</f>
        <v>0</v>
      </c>
      <c r="W206" s="19" t="n">
        <f aca="false">S206/(U206+0.0001)</f>
        <v>0</v>
      </c>
      <c r="X206" s="47" t="e">
        <f aca="false">IF(Informed=1,K206,0)</f>
        <v>#N/A</v>
      </c>
      <c r="Y206" s="47" t="n">
        <f aca="false">IF(Informed=0,K206,0)</f>
        <v>0</v>
      </c>
      <c r="Z206" s="47" t="e">
        <f aca="false">IF(Informed=1,N206,0)</f>
        <v>#N/A</v>
      </c>
      <c r="AA206" s="47" t="n">
        <f aca="false">IF(Informed=0,N206,0)</f>
        <v>0</v>
      </c>
      <c r="AB206" s="51" t="e">
        <f aca="false">IF(Arterial=0,IF(Informed=1,1,0),0)</f>
        <v>#N/A</v>
      </c>
      <c r="AC206" s="51" t="e">
        <f aca="false">IF(Arterial=0,IF(Informed=0,1,0),0)</f>
        <v>#N/A</v>
      </c>
      <c r="AD206" s="51" t="e">
        <f aca="false">IF(Arterial=1,IF(Informed=1,1,0),0)</f>
        <v>#N/A</v>
      </c>
      <c r="AE206" s="51" t="e">
        <f aca="false">IF(Arterial=1,IF(Informed=0,1,0),0)</f>
        <v>#N/A</v>
      </c>
      <c r="AF206" s="44" t="e">
        <f aca="false">IF(AB206=1,(X206-G$1030)^2,0)</f>
        <v>#N/A</v>
      </c>
      <c r="AG206" s="44" t="e">
        <f aca="false">IF(AC206=1,(Y206-H$1030)^2,0)</f>
        <v>#N/A</v>
      </c>
      <c r="AH206" s="44" t="e">
        <f aca="false">IF(AD206=1,(Z206-I$1030)^2,0)</f>
        <v>#N/A</v>
      </c>
      <c r="AI206" s="44" t="e">
        <f aca="false">IF(AE206=1,(AA206-J$1030)^2,0)</f>
        <v>#N/A</v>
      </c>
    </row>
    <row r="207" customFormat="false" ht="12" hidden="false" customHeight="false" outlineLevel="0" collapsed="false">
      <c r="A207" s="29" t="n">
        <v>190</v>
      </c>
      <c r="B207" s="45" t="n">
        <f aca="true">IF(RAND()&lt;$D$8,1,0)</f>
        <v>1</v>
      </c>
      <c r="C207" s="34" t="n">
        <f aca="true">-LN(RAND())/$D$2</f>
        <v>2.69901293366016</v>
      </c>
      <c r="D207" s="46" t="n">
        <f aca="false">D206+C207</f>
        <v>295.975894257098</v>
      </c>
      <c r="E207" s="47" t="e">
        <f aca="false">MAX($D$3,(1+P206-VLOOKUP(VALUE(D207),$J$18:$Q206,7,TRUE()))*$D$3)</f>
        <v>#N/A</v>
      </c>
      <c r="F207" s="47" t="e">
        <f aca="false">MAX($D$4,(1+Q206-VLOOKUP(VALUE(D207),$M$18:$Q206,5,TRUE()))*$D$4)</f>
        <v>#N/A</v>
      </c>
      <c r="G207" s="48" t="n">
        <v>0.5</v>
      </c>
      <c r="H207" s="46" t="e">
        <f aca="true">IF((B207=1),(IF((F207&lt;E207),1,(IF((F207=E207),(IF(RAND()&lt;G207,1,0)),0)))),(IF((RAND()&lt;G207),1,0)))</f>
        <v>#N/A</v>
      </c>
      <c r="I207" s="46" t="e">
        <f aca="true">IF((H207=1),0,$D$3+$D$5*(RAND()-0.5))</f>
        <v>#N/A</v>
      </c>
      <c r="J207" s="46" t="e">
        <f aca="false">I207+MAX(D207,J206)</f>
        <v>#N/A</v>
      </c>
      <c r="K207" s="46" t="e">
        <f aca="false">IF((H207=0),J207-D207,0)</f>
        <v>#N/A</v>
      </c>
      <c r="L207" s="46" t="e">
        <f aca="true">IF(($H207=0),0,$D$4+$D$5*(RAND()-0.5))</f>
        <v>#N/A</v>
      </c>
      <c r="M207" s="46" t="e">
        <f aca="false">L207+MAX(D207,M206)</f>
        <v>#N/A</v>
      </c>
      <c r="N207" s="46" t="e">
        <f aca="false">IF((H207=1),M207-D207,0)</f>
        <v>#N/A</v>
      </c>
      <c r="O207" s="29" t="n">
        <v>190</v>
      </c>
      <c r="P207" s="49" t="e">
        <f aca="false">IF((Arterial=0),P206+1,P206)</f>
        <v>#N/A</v>
      </c>
      <c r="Q207" s="49" t="e">
        <f aca="false">IF((Arterial=1),Q206+1,Q206)</f>
        <v>#N/A</v>
      </c>
      <c r="R207" s="50" t="n">
        <f aca="false">IF((RESET=1),0,R207+K207)</f>
        <v>0</v>
      </c>
      <c r="S207" s="19" t="n">
        <f aca="false">IF(RESET=1,0,S207+N207)</f>
        <v>0</v>
      </c>
      <c r="T207" s="0" t="n">
        <f aca="false">IF(RESET=1,0,T207+IF(H207=0,1,0))</f>
        <v>0</v>
      </c>
      <c r="U207" s="0" t="n">
        <f aca="false">IF(RESET=1,0,U207+H207)</f>
        <v>0</v>
      </c>
      <c r="V207" s="19" t="n">
        <f aca="false">R207/(T207+0.00001)</f>
        <v>0</v>
      </c>
      <c r="W207" s="19" t="n">
        <f aca="false">S207/(U207+0.0001)</f>
        <v>0</v>
      </c>
      <c r="X207" s="47" t="e">
        <f aca="false">IF(Informed=1,K207,0)</f>
        <v>#N/A</v>
      </c>
      <c r="Y207" s="47" t="n">
        <f aca="false">IF(Informed=0,K207,0)</f>
        <v>0</v>
      </c>
      <c r="Z207" s="47" t="e">
        <f aca="false">IF(Informed=1,N207,0)</f>
        <v>#N/A</v>
      </c>
      <c r="AA207" s="47" t="n">
        <f aca="false">IF(Informed=0,N207,0)</f>
        <v>0</v>
      </c>
      <c r="AB207" s="51" t="e">
        <f aca="false">IF(Arterial=0,IF(Informed=1,1,0),0)</f>
        <v>#N/A</v>
      </c>
      <c r="AC207" s="51" t="e">
        <f aca="false">IF(Arterial=0,IF(Informed=0,1,0),0)</f>
        <v>#N/A</v>
      </c>
      <c r="AD207" s="51" t="e">
        <f aca="false">IF(Arterial=1,IF(Informed=1,1,0),0)</f>
        <v>#N/A</v>
      </c>
      <c r="AE207" s="51" t="e">
        <f aca="false">IF(Arterial=1,IF(Informed=0,1,0),0)</f>
        <v>#N/A</v>
      </c>
      <c r="AF207" s="44" t="e">
        <f aca="false">IF(AB207=1,(X207-G$1030)^2,0)</f>
        <v>#N/A</v>
      </c>
      <c r="AG207" s="44" t="e">
        <f aca="false">IF(AC207=1,(Y207-H$1030)^2,0)</f>
        <v>#N/A</v>
      </c>
      <c r="AH207" s="44" t="e">
        <f aca="false">IF(AD207=1,(Z207-I$1030)^2,0)</f>
        <v>#N/A</v>
      </c>
      <c r="AI207" s="44" t="e">
        <f aca="false">IF(AE207=1,(AA207-J$1030)^2,0)</f>
        <v>#N/A</v>
      </c>
    </row>
    <row r="208" customFormat="false" ht="12" hidden="false" customHeight="false" outlineLevel="0" collapsed="false">
      <c r="A208" s="29" t="n">
        <v>191</v>
      </c>
      <c r="B208" s="45" t="n">
        <f aca="true">IF(RAND()&lt;$D$8,1,0)</f>
        <v>1</v>
      </c>
      <c r="C208" s="34" t="n">
        <f aca="true">-LN(RAND())/$D$2</f>
        <v>1.63748791559149</v>
      </c>
      <c r="D208" s="46" t="n">
        <f aca="false">D207+C208</f>
        <v>297.61338217269</v>
      </c>
      <c r="E208" s="47" t="e">
        <f aca="false">MAX($D$3,(1+P207-VLOOKUP(VALUE(D208),$J$18:$Q207,7,TRUE()))*$D$3)</f>
        <v>#N/A</v>
      </c>
      <c r="F208" s="47" t="e">
        <f aca="false">MAX($D$4,(1+Q207-VLOOKUP(VALUE(D208),$M$18:$Q207,5,TRUE()))*$D$4)</f>
        <v>#N/A</v>
      </c>
      <c r="G208" s="48" t="n">
        <v>0.5</v>
      </c>
      <c r="H208" s="46" t="e">
        <f aca="true">IF((B208=1),(IF((F208&lt;E208),1,(IF((F208=E208),(IF(RAND()&lt;G208,1,0)),0)))),(IF((RAND()&lt;G208),1,0)))</f>
        <v>#N/A</v>
      </c>
      <c r="I208" s="46" t="e">
        <f aca="true">IF((H208=1),0,$D$3+$D$5*(RAND()-0.5))</f>
        <v>#N/A</v>
      </c>
      <c r="J208" s="46" t="e">
        <f aca="false">I208+MAX(D208,J207)</f>
        <v>#N/A</v>
      </c>
      <c r="K208" s="46" t="e">
        <f aca="false">IF((H208=0),J208-D208,0)</f>
        <v>#N/A</v>
      </c>
      <c r="L208" s="46" t="e">
        <f aca="true">IF(($H208=0),0,$D$4+$D$5*(RAND()-0.5))</f>
        <v>#N/A</v>
      </c>
      <c r="M208" s="46" t="e">
        <f aca="false">L208+MAX(D208,M207)</f>
        <v>#N/A</v>
      </c>
      <c r="N208" s="46" t="e">
        <f aca="false">IF((H208=1),M208-D208,0)</f>
        <v>#N/A</v>
      </c>
      <c r="O208" s="29" t="n">
        <v>191</v>
      </c>
      <c r="P208" s="49" t="e">
        <f aca="false">IF((Arterial=0),P207+1,P207)</f>
        <v>#N/A</v>
      </c>
      <c r="Q208" s="49" t="e">
        <f aca="false">IF((Arterial=1),Q207+1,Q207)</f>
        <v>#N/A</v>
      </c>
      <c r="R208" s="50" t="n">
        <f aca="false">IF((RESET=1),0,R208+K208)</f>
        <v>0</v>
      </c>
      <c r="S208" s="19" t="n">
        <f aca="false">IF(RESET=1,0,S208+N208)</f>
        <v>0</v>
      </c>
      <c r="T208" s="0" t="n">
        <f aca="false">IF(RESET=1,0,T208+IF(H208=0,1,0))</f>
        <v>0</v>
      </c>
      <c r="U208" s="0" t="n">
        <f aca="false">IF(RESET=1,0,U208+H208)</f>
        <v>0</v>
      </c>
      <c r="V208" s="19" t="n">
        <f aca="false">R208/(T208+0.00001)</f>
        <v>0</v>
      </c>
      <c r="W208" s="19" t="n">
        <f aca="false">S208/(U208+0.0001)</f>
        <v>0</v>
      </c>
      <c r="X208" s="47" t="e">
        <f aca="false">IF(Informed=1,K208,0)</f>
        <v>#N/A</v>
      </c>
      <c r="Y208" s="47" t="n">
        <f aca="false">IF(Informed=0,K208,0)</f>
        <v>0</v>
      </c>
      <c r="Z208" s="47" t="e">
        <f aca="false">IF(Informed=1,N208,0)</f>
        <v>#N/A</v>
      </c>
      <c r="AA208" s="47" t="n">
        <f aca="false">IF(Informed=0,N208,0)</f>
        <v>0</v>
      </c>
      <c r="AB208" s="51" t="e">
        <f aca="false">IF(Arterial=0,IF(Informed=1,1,0),0)</f>
        <v>#N/A</v>
      </c>
      <c r="AC208" s="51" t="e">
        <f aca="false">IF(Arterial=0,IF(Informed=0,1,0),0)</f>
        <v>#N/A</v>
      </c>
      <c r="AD208" s="51" t="e">
        <f aca="false">IF(Arterial=1,IF(Informed=1,1,0),0)</f>
        <v>#N/A</v>
      </c>
      <c r="AE208" s="51" t="e">
        <f aca="false">IF(Arterial=1,IF(Informed=0,1,0),0)</f>
        <v>#N/A</v>
      </c>
      <c r="AF208" s="44" t="e">
        <f aca="false">IF(AB208=1,(X208-G$1030)^2,0)</f>
        <v>#N/A</v>
      </c>
      <c r="AG208" s="44" t="e">
        <f aca="false">IF(AC208=1,(Y208-H$1030)^2,0)</f>
        <v>#N/A</v>
      </c>
      <c r="AH208" s="44" t="e">
        <f aca="false">IF(AD208=1,(Z208-I$1030)^2,0)</f>
        <v>#N/A</v>
      </c>
      <c r="AI208" s="44" t="e">
        <f aca="false">IF(AE208=1,(AA208-J$1030)^2,0)</f>
        <v>#N/A</v>
      </c>
    </row>
    <row r="209" customFormat="false" ht="12" hidden="false" customHeight="false" outlineLevel="0" collapsed="false">
      <c r="A209" s="29" t="n">
        <v>192</v>
      </c>
      <c r="B209" s="45" t="n">
        <f aca="true">IF(RAND()&lt;$D$8,1,0)</f>
        <v>1</v>
      </c>
      <c r="C209" s="34" t="n">
        <f aca="true">-LN(RAND())/$D$2</f>
        <v>0.207364290716882</v>
      </c>
      <c r="D209" s="46" t="n">
        <f aca="false">D208+C209</f>
        <v>297.820746463407</v>
      </c>
      <c r="E209" s="47" t="e">
        <f aca="false">MAX($D$3,(1+P208-VLOOKUP(VALUE(D209),$J$18:$Q208,7,TRUE()))*$D$3)</f>
        <v>#N/A</v>
      </c>
      <c r="F209" s="47" t="e">
        <f aca="false">MAX($D$4,(1+Q208-VLOOKUP(VALUE(D209),$M$18:$Q208,5,TRUE()))*$D$4)</f>
        <v>#N/A</v>
      </c>
      <c r="G209" s="48" t="n">
        <v>0.5</v>
      </c>
      <c r="H209" s="46" t="e">
        <f aca="true">IF((B209=1),(IF((F209&lt;E209),1,(IF((F209=E209),(IF(RAND()&lt;G209,1,0)),0)))),(IF((RAND()&lt;G209),1,0)))</f>
        <v>#N/A</v>
      </c>
      <c r="I209" s="46" t="e">
        <f aca="true">IF((H209=1),0,$D$3+$D$5*(RAND()-0.5))</f>
        <v>#N/A</v>
      </c>
      <c r="J209" s="46" t="e">
        <f aca="false">I209+MAX(D209,J208)</f>
        <v>#N/A</v>
      </c>
      <c r="K209" s="46" t="e">
        <f aca="false">IF((H209=0),J209-D209,0)</f>
        <v>#N/A</v>
      </c>
      <c r="L209" s="46" t="e">
        <f aca="true">IF(($H209=0),0,$D$4+$D$5*(RAND()-0.5))</f>
        <v>#N/A</v>
      </c>
      <c r="M209" s="46" t="e">
        <f aca="false">L209+MAX(D209,M208)</f>
        <v>#N/A</v>
      </c>
      <c r="N209" s="46" t="e">
        <f aca="false">IF((H209=1),M209-D209,0)</f>
        <v>#N/A</v>
      </c>
      <c r="O209" s="29" t="n">
        <v>192</v>
      </c>
      <c r="P209" s="49" t="e">
        <f aca="false">IF((Arterial=0),P208+1,P208)</f>
        <v>#N/A</v>
      </c>
      <c r="Q209" s="49" t="e">
        <f aca="false">IF((Arterial=1),Q208+1,Q208)</f>
        <v>#N/A</v>
      </c>
      <c r="R209" s="50" t="n">
        <f aca="false">IF((RESET=1),0,R209+K209)</f>
        <v>0</v>
      </c>
      <c r="S209" s="19" t="n">
        <f aca="false">IF(RESET=1,0,S209+N209)</f>
        <v>0</v>
      </c>
      <c r="T209" s="0" t="n">
        <f aca="false">IF(RESET=1,0,T209+IF(H209=0,1,0))</f>
        <v>0</v>
      </c>
      <c r="U209" s="0" t="n">
        <f aca="false">IF(RESET=1,0,U209+H209)</f>
        <v>0</v>
      </c>
      <c r="V209" s="19" t="n">
        <f aca="false">R209/(T209+0.00001)</f>
        <v>0</v>
      </c>
      <c r="W209" s="19" t="n">
        <f aca="false">S209/(U209+0.0001)</f>
        <v>0</v>
      </c>
      <c r="X209" s="47" t="e">
        <f aca="false">IF(Informed=1,K209,0)</f>
        <v>#N/A</v>
      </c>
      <c r="Y209" s="47" t="n">
        <f aca="false">IF(Informed=0,K209,0)</f>
        <v>0</v>
      </c>
      <c r="Z209" s="47" t="e">
        <f aca="false">IF(Informed=1,N209,0)</f>
        <v>#N/A</v>
      </c>
      <c r="AA209" s="47" t="n">
        <f aca="false">IF(Informed=0,N209,0)</f>
        <v>0</v>
      </c>
      <c r="AB209" s="51" t="e">
        <f aca="false">IF(Arterial=0,IF(Informed=1,1,0),0)</f>
        <v>#N/A</v>
      </c>
      <c r="AC209" s="51" t="e">
        <f aca="false">IF(Arterial=0,IF(Informed=0,1,0),0)</f>
        <v>#N/A</v>
      </c>
      <c r="AD209" s="51" t="e">
        <f aca="false">IF(Arterial=1,IF(Informed=1,1,0),0)</f>
        <v>#N/A</v>
      </c>
      <c r="AE209" s="51" t="e">
        <f aca="false">IF(Arterial=1,IF(Informed=0,1,0),0)</f>
        <v>#N/A</v>
      </c>
      <c r="AF209" s="44" t="e">
        <f aca="false">IF(AB209=1,(X209-G$1030)^2,0)</f>
        <v>#N/A</v>
      </c>
      <c r="AG209" s="44" t="e">
        <f aca="false">IF(AC209=1,(Y209-H$1030)^2,0)</f>
        <v>#N/A</v>
      </c>
      <c r="AH209" s="44" t="e">
        <f aca="false">IF(AD209=1,(Z209-I$1030)^2,0)</f>
        <v>#N/A</v>
      </c>
      <c r="AI209" s="44" t="e">
        <f aca="false">IF(AE209=1,(AA209-J$1030)^2,0)</f>
        <v>#N/A</v>
      </c>
    </row>
    <row r="210" customFormat="false" ht="12" hidden="false" customHeight="false" outlineLevel="0" collapsed="false">
      <c r="A210" s="29" t="n">
        <v>193</v>
      </c>
      <c r="B210" s="45" t="n">
        <f aca="true">IF(RAND()&lt;$D$8,1,0)</f>
        <v>1</v>
      </c>
      <c r="C210" s="34" t="n">
        <f aca="true">-LN(RAND())/$D$2</f>
        <v>4.90571784430862</v>
      </c>
      <c r="D210" s="46" t="n">
        <f aca="false">D209+C210</f>
        <v>302.726464307715</v>
      </c>
      <c r="E210" s="47" t="e">
        <f aca="false">MAX($D$3,(1+P209-VLOOKUP(VALUE(D210),$J$18:$Q209,7,TRUE()))*$D$3)</f>
        <v>#N/A</v>
      </c>
      <c r="F210" s="47" t="e">
        <f aca="false">MAX($D$4,(1+Q209-VLOOKUP(VALUE(D210),$M$18:$Q209,5,TRUE()))*$D$4)</f>
        <v>#N/A</v>
      </c>
      <c r="G210" s="48" t="n">
        <v>0.5</v>
      </c>
      <c r="H210" s="46" t="e">
        <f aca="true">IF((B210=1),(IF((F210&lt;E210),1,(IF((F210=E210),(IF(RAND()&lt;G210,1,0)),0)))),(IF((RAND()&lt;G210),1,0)))</f>
        <v>#N/A</v>
      </c>
      <c r="I210" s="46" t="e">
        <f aca="true">IF((H210=1),0,$D$3+$D$5*(RAND()-0.5))</f>
        <v>#N/A</v>
      </c>
      <c r="J210" s="46" t="e">
        <f aca="false">I210+MAX(D210,J209)</f>
        <v>#N/A</v>
      </c>
      <c r="K210" s="46" t="e">
        <f aca="false">IF((H210=0),J210-D210,0)</f>
        <v>#N/A</v>
      </c>
      <c r="L210" s="46" t="e">
        <f aca="true">IF(($H210=0),0,$D$4+$D$5*(RAND()-0.5))</f>
        <v>#N/A</v>
      </c>
      <c r="M210" s="46" t="e">
        <f aca="false">L210+MAX(D210,M209)</f>
        <v>#N/A</v>
      </c>
      <c r="N210" s="46" t="e">
        <f aca="false">IF((H210=1),M210-D210,0)</f>
        <v>#N/A</v>
      </c>
      <c r="O210" s="29" t="n">
        <v>193</v>
      </c>
      <c r="P210" s="49" t="e">
        <f aca="false">IF((Arterial=0),P209+1,P209)</f>
        <v>#N/A</v>
      </c>
      <c r="Q210" s="49" t="e">
        <f aca="false">IF((Arterial=1),Q209+1,Q209)</f>
        <v>#N/A</v>
      </c>
      <c r="R210" s="50" t="n">
        <f aca="false">IF((RESET=1),0,R210+K210)</f>
        <v>0</v>
      </c>
      <c r="S210" s="19" t="n">
        <f aca="false">IF(RESET=1,0,S210+N210)</f>
        <v>0</v>
      </c>
      <c r="T210" s="0" t="n">
        <f aca="false">IF(RESET=1,0,T210+IF(H210=0,1,0))</f>
        <v>0</v>
      </c>
      <c r="U210" s="0" t="n">
        <f aca="false">IF(RESET=1,0,U210+H210)</f>
        <v>0</v>
      </c>
      <c r="V210" s="19" t="n">
        <f aca="false">R210/(T210+0.00001)</f>
        <v>0</v>
      </c>
      <c r="W210" s="19" t="n">
        <f aca="false">S210/(U210+0.0001)</f>
        <v>0</v>
      </c>
      <c r="X210" s="47" t="e">
        <f aca="false">IF(Informed=1,K210,0)</f>
        <v>#N/A</v>
      </c>
      <c r="Y210" s="47" t="n">
        <f aca="false">IF(Informed=0,K210,0)</f>
        <v>0</v>
      </c>
      <c r="Z210" s="47" t="e">
        <f aca="false">IF(Informed=1,N210,0)</f>
        <v>#N/A</v>
      </c>
      <c r="AA210" s="47" t="n">
        <f aca="false">IF(Informed=0,N210,0)</f>
        <v>0</v>
      </c>
      <c r="AB210" s="51" t="e">
        <f aca="false">IF(Arterial=0,IF(Informed=1,1,0),0)</f>
        <v>#N/A</v>
      </c>
      <c r="AC210" s="51" t="e">
        <f aca="false">IF(Arterial=0,IF(Informed=0,1,0),0)</f>
        <v>#N/A</v>
      </c>
      <c r="AD210" s="51" t="e">
        <f aca="false">IF(Arterial=1,IF(Informed=1,1,0),0)</f>
        <v>#N/A</v>
      </c>
      <c r="AE210" s="51" t="e">
        <f aca="false">IF(Arterial=1,IF(Informed=0,1,0),0)</f>
        <v>#N/A</v>
      </c>
      <c r="AF210" s="44" t="e">
        <f aca="false">IF(AB210=1,(X210-G$1030)^2,0)</f>
        <v>#N/A</v>
      </c>
      <c r="AG210" s="44" t="e">
        <f aca="false">IF(AC210=1,(Y210-H$1030)^2,0)</f>
        <v>#N/A</v>
      </c>
      <c r="AH210" s="44" t="e">
        <f aca="false">IF(AD210=1,(Z210-I$1030)^2,0)</f>
        <v>#N/A</v>
      </c>
      <c r="AI210" s="44" t="e">
        <f aca="false">IF(AE210=1,(AA210-J$1030)^2,0)</f>
        <v>#N/A</v>
      </c>
    </row>
    <row r="211" customFormat="false" ht="12" hidden="false" customHeight="false" outlineLevel="0" collapsed="false">
      <c r="A211" s="29" t="n">
        <v>194</v>
      </c>
      <c r="B211" s="45" t="n">
        <f aca="true">IF(RAND()&lt;$D$8,1,0)</f>
        <v>1</v>
      </c>
      <c r="C211" s="34" t="n">
        <f aca="true">-LN(RAND())/$D$2</f>
        <v>1.38474118088244</v>
      </c>
      <c r="D211" s="46" t="n">
        <f aca="false">D210+C211</f>
        <v>304.111205488598</v>
      </c>
      <c r="E211" s="47" t="e">
        <f aca="false">MAX($D$3,(1+P210-VLOOKUP(VALUE(D211),$J$18:$Q210,7,TRUE()))*$D$3)</f>
        <v>#N/A</v>
      </c>
      <c r="F211" s="47" t="e">
        <f aca="false">MAX($D$4,(1+Q210-VLOOKUP(VALUE(D211),$M$18:$Q210,5,TRUE()))*$D$4)</f>
        <v>#N/A</v>
      </c>
      <c r="G211" s="48" t="n">
        <v>0.5</v>
      </c>
      <c r="H211" s="46" t="e">
        <f aca="true">IF((B211=1),(IF((F211&lt;E211),1,(IF((F211=E211),(IF(RAND()&lt;G211,1,0)),0)))),(IF((RAND()&lt;G211),1,0)))</f>
        <v>#N/A</v>
      </c>
      <c r="I211" s="46" t="e">
        <f aca="true">IF((H211=1),0,$D$3+$D$5*(RAND()-0.5))</f>
        <v>#N/A</v>
      </c>
      <c r="J211" s="46" t="e">
        <f aca="false">I211+MAX(D211,J210)</f>
        <v>#N/A</v>
      </c>
      <c r="K211" s="46" t="e">
        <f aca="false">IF((H211=0),J211-D211,0)</f>
        <v>#N/A</v>
      </c>
      <c r="L211" s="46" t="e">
        <f aca="true">IF(($H211=0),0,$D$4+$D$5*(RAND()-0.5))</f>
        <v>#N/A</v>
      </c>
      <c r="M211" s="46" t="e">
        <f aca="false">L211+MAX(D211,M210)</f>
        <v>#N/A</v>
      </c>
      <c r="N211" s="46" t="e">
        <f aca="false">IF((H211=1),M211-D211,0)</f>
        <v>#N/A</v>
      </c>
      <c r="O211" s="29" t="n">
        <v>194</v>
      </c>
      <c r="P211" s="49" t="e">
        <f aca="false">IF((Arterial=0),P210+1,P210)</f>
        <v>#N/A</v>
      </c>
      <c r="Q211" s="49" t="e">
        <f aca="false">IF((Arterial=1),Q210+1,Q210)</f>
        <v>#N/A</v>
      </c>
      <c r="R211" s="50" t="n">
        <f aca="false">IF((RESET=1),0,R211+K211)</f>
        <v>0</v>
      </c>
      <c r="S211" s="19" t="n">
        <f aca="false">IF(RESET=1,0,S211+N211)</f>
        <v>0</v>
      </c>
      <c r="T211" s="0" t="n">
        <f aca="false">IF(RESET=1,0,T211+IF(H211=0,1,0))</f>
        <v>0</v>
      </c>
      <c r="U211" s="0" t="n">
        <f aca="false">IF(RESET=1,0,U211+H211)</f>
        <v>0</v>
      </c>
      <c r="V211" s="19" t="n">
        <f aca="false">R211/(T211+0.00001)</f>
        <v>0</v>
      </c>
      <c r="W211" s="19" t="n">
        <f aca="false">S211/(U211+0.0001)</f>
        <v>0</v>
      </c>
      <c r="X211" s="47" t="e">
        <f aca="false">IF(Informed=1,K211,0)</f>
        <v>#N/A</v>
      </c>
      <c r="Y211" s="47" t="n">
        <f aca="false">IF(Informed=0,K211,0)</f>
        <v>0</v>
      </c>
      <c r="Z211" s="47" t="e">
        <f aca="false">IF(Informed=1,N211,0)</f>
        <v>#N/A</v>
      </c>
      <c r="AA211" s="47" t="n">
        <f aca="false">IF(Informed=0,N211,0)</f>
        <v>0</v>
      </c>
      <c r="AB211" s="51" t="e">
        <f aca="false">IF(Arterial=0,IF(Informed=1,1,0),0)</f>
        <v>#N/A</v>
      </c>
      <c r="AC211" s="51" t="e">
        <f aca="false">IF(Arterial=0,IF(Informed=0,1,0),0)</f>
        <v>#N/A</v>
      </c>
      <c r="AD211" s="51" t="e">
        <f aca="false">IF(Arterial=1,IF(Informed=1,1,0),0)</f>
        <v>#N/A</v>
      </c>
      <c r="AE211" s="51" t="e">
        <f aca="false">IF(Arterial=1,IF(Informed=0,1,0),0)</f>
        <v>#N/A</v>
      </c>
      <c r="AF211" s="44" t="e">
        <f aca="false">IF(AB211=1,(X211-G$1030)^2,0)</f>
        <v>#N/A</v>
      </c>
      <c r="AG211" s="44" t="e">
        <f aca="false">IF(AC211=1,(Y211-H$1030)^2,0)</f>
        <v>#N/A</v>
      </c>
      <c r="AH211" s="44" t="e">
        <f aca="false">IF(AD211=1,(Z211-I$1030)^2,0)</f>
        <v>#N/A</v>
      </c>
      <c r="AI211" s="44" t="e">
        <f aca="false">IF(AE211=1,(AA211-J$1030)^2,0)</f>
        <v>#N/A</v>
      </c>
    </row>
    <row r="212" customFormat="false" ht="12" hidden="false" customHeight="false" outlineLevel="0" collapsed="false">
      <c r="A212" s="29" t="n">
        <v>195</v>
      </c>
      <c r="B212" s="45" t="n">
        <f aca="true">IF(RAND()&lt;$D$8,1,0)</f>
        <v>1</v>
      </c>
      <c r="C212" s="34" t="n">
        <f aca="true">-LN(RAND())/$D$2</f>
        <v>1.32354670128743</v>
      </c>
      <c r="D212" s="46" t="n">
        <f aca="false">D211+C212</f>
        <v>305.434752189885</v>
      </c>
      <c r="E212" s="47" t="e">
        <f aca="false">MAX($D$3,(1+P211-VLOOKUP(VALUE(D212),$J$18:$Q211,7,TRUE()))*$D$3)</f>
        <v>#N/A</v>
      </c>
      <c r="F212" s="47" t="e">
        <f aca="false">MAX($D$4,(1+Q211-VLOOKUP(VALUE(D212),$M$18:$Q211,5,TRUE()))*$D$4)</f>
        <v>#N/A</v>
      </c>
      <c r="G212" s="48" t="n">
        <v>0.5</v>
      </c>
      <c r="H212" s="46" t="e">
        <f aca="true">IF((B212=1),(IF((F212&lt;E212),1,(IF((F212=E212),(IF(RAND()&lt;G212,1,0)),0)))),(IF((RAND()&lt;G212),1,0)))</f>
        <v>#N/A</v>
      </c>
      <c r="I212" s="46" t="e">
        <f aca="true">IF((H212=1),0,$D$3+$D$5*(RAND()-0.5))</f>
        <v>#N/A</v>
      </c>
      <c r="J212" s="46" t="e">
        <f aca="false">I212+MAX(D212,J211)</f>
        <v>#N/A</v>
      </c>
      <c r="K212" s="46" t="e">
        <f aca="false">IF((H212=0),J212-D212,0)</f>
        <v>#N/A</v>
      </c>
      <c r="L212" s="46" t="e">
        <f aca="true">IF(($H212=0),0,$D$4+$D$5*(RAND()-0.5))</f>
        <v>#N/A</v>
      </c>
      <c r="M212" s="46" t="e">
        <f aca="false">L212+MAX(D212,M211)</f>
        <v>#N/A</v>
      </c>
      <c r="N212" s="46" t="e">
        <f aca="false">IF((H212=1),M212-D212,0)</f>
        <v>#N/A</v>
      </c>
      <c r="O212" s="29" t="n">
        <v>195</v>
      </c>
      <c r="P212" s="49" t="e">
        <f aca="false">IF((Arterial=0),P211+1,P211)</f>
        <v>#N/A</v>
      </c>
      <c r="Q212" s="49" t="e">
        <f aca="false">IF((Arterial=1),Q211+1,Q211)</f>
        <v>#N/A</v>
      </c>
      <c r="R212" s="50" t="n">
        <f aca="false">IF((RESET=1),0,R212+K212)</f>
        <v>0</v>
      </c>
      <c r="S212" s="19" t="n">
        <f aca="false">IF(RESET=1,0,S212+N212)</f>
        <v>0</v>
      </c>
      <c r="T212" s="0" t="n">
        <f aca="false">IF(RESET=1,0,T212+IF(H212=0,1,0))</f>
        <v>0</v>
      </c>
      <c r="U212" s="0" t="n">
        <f aca="false">IF(RESET=1,0,U212+H212)</f>
        <v>0</v>
      </c>
      <c r="V212" s="19" t="n">
        <f aca="false">R212/(T212+0.00001)</f>
        <v>0</v>
      </c>
      <c r="W212" s="19" t="n">
        <f aca="false">S212/(U212+0.0001)</f>
        <v>0</v>
      </c>
      <c r="X212" s="47" t="e">
        <f aca="false">IF(Informed=1,K212,0)</f>
        <v>#N/A</v>
      </c>
      <c r="Y212" s="47" t="n">
        <f aca="false">IF(Informed=0,K212,0)</f>
        <v>0</v>
      </c>
      <c r="Z212" s="47" t="e">
        <f aca="false">IF(Informed=1,N212,0)</f>
        <v>#N/A</v>
      </c>
      <c r="AA212" s="47" t="n">
        <f aca="false">IF(Informed=0,N212,0)</f>
        <v>0</v>
      </c>
      <c r="AB212" s="51" t="e">
        <f aca="false">IF(Arterial=0,IF(Informed=1,1,0),0)</f>
        <v>#N/A</v>
      </c>
      <c r="AC212" s="51" t="e">
        <f aca="false">IF(Arterial=0,IF(Informed=0,1,0),0)</f>
        <v>#N/A</v>
      </c>
      <c r="AD212" s="51" t="e">
        <f aca="false">IF(Arterial=1,IF(Informed=1,1,0),0)</f>
        <v>#N/A</v>
      </c>
      <c r="AE212" s="51" t="e">
        <f aca="false">IF(Arterial=1,IF(Informed=0,1,0),0)</f>
        <v>#N/A</v>
      </c>
      <c r="AF212" s="44" t="e">
        <f aca="false">IF(AB212=1,(X212-G$1030)^2,0)</f>
        <v>#N/A</v>
      </c>
      <c r="AG212" s="44" t="e">
        <f aca="false">IF(AC212=1,(Y212-H$1030)^2,0)</f>
        <v>#N/A</v>
      </c>
      <c r="AH212" s="44" t="e">
        <f aca="false">IF(AD212=1,(Z212-I$1030)^2,0)</f>
        <v>#N/A</v>
      </c>
      <c r="AI212" s="44" t="e">
        <f aca="false">IF(AE212=1,(AA212-J$1030)^2,0)</f>
        <v>#N/A</v>
      </c>
    </row>
    <row r="213" customFormat="false" ht="12" hidden="false" customHeight="false" outlineLevel="0" collapsed="false">
      <c r="A213" s="29" t="n">
        <v>196</v>
      </c>
      <c r="B213" s="45" t="n">
        <f aca="true">IF(RAND()&lt;$D$8,1,0)</f>
        <v>1</v>
      </c>
      <c r="C213" s="34" t="n">
        <f aca="true">-LN(RAND())/$D$2</f>
        <v>1.18727184271852</v>
      </c>
      <c r="D213" s="46" t="n">
        <f aca="false">D212+C213</f>
        <v>306.622024032604</v>
      </c>
      <c r="E213" s="47" t="e">
        <f aca="false">MAX($D$3,(1+P212-VLOOKUP(VALUE(D213),$J$18:$Q212,7,TRUE()))*$D$3)</f>
        <v>#N/A</v>
      </c>
      <c r="F213" s="47" t="e">
        <f aca="false">MAX($D$4,(1+Q212-VLOOKUP(VALUE(D213),$M$18:$Q212,5,TRUE()))*$D$4)</f>
        <v>#N/A</v>
      </c>
      <c r="G213" s="48" t="n">
        <v>0.5</v>
      </c>
      <c r="H213" s="46" t="e">
        <f aca="true">IF((B213=1),(IF((F213&lt;E213),1,(IF((F213=E213),(IF(RAND()&lt;G213,1,0)),0)))),(IF((RAND()&lt;G213),1,0)))</f>
        <v>#N/A</v>
      </c>
      <c r="I213" s="46" t="e">
        <f aca="true">IF((H213=1),0,$D$3+$D$5*(RAND()-0.5))</f>
        <v>#N/A</v>
      </c>
      <c r="J213" s="46" t="e">
        <f aca="false">I213+MAX(D213,J212)</f>
        <v>#N/A</v>
      </c>
      <c r="K213" s="46" t="e">
        <f aca="false">IF((H213=0),J213-D213,0)</f>
        <v>#N/A</v>
      </c>
      <c r="L213" s="46" t="e">
        <f aca="true">IF(($H213=0),0,$D$4+$D$5*(RAND()-0.5))</f>
        <v>#N/A</v>
      </c>
      <c r="M213" s="46" t="e">
        <f aca="false">L213+MAX(D213,M212)</f>
        <v>#N/A</v>
      </c>
      <c r="N213" s="46" t="e">
        <f aca="false">IF((H213=1),M213-D213,0)</f>
        <v>#N/A</v>
      </c>
      <c r="O213" s="29" t="n">
        <v>196</v>
      </c>
      <c r="P213" s="49" t="e">
        <f aca="false">IF((Arterial=0),P212+1,P212)</f>
        <v>#N/A</v>
      </c>
      <c r="Q213" s="49" t="e">
        <f aca="false">IF((Arterial=1),Q212+1,Q212)</f>
        <v>#N/A</v>
      </c>
      <c r="R213" s="50" t="n">
        <f aca="false">IF((RESET=1),0,R213+K213)</f>
        <v>0</v>
      </c>
      <c r="S213" s="19" t="n">
        <f aca="false">IF(RESET=1,0,S213+N213)</f>
        <v>0</v>
      </c>
      <c r="T213" s="0" t="n">
        <f aca="false">IF(RESET=1,0,T213+IF(H213=0,1,0))</f>
        <v>0</v>
      </c>
      <c r="U213" s="0" t="n">
        <f aca="false">IF(RESET=1,0,U213+H213)</f>
        <v>0</v>
      </c>
      <c r="V213" s="19" t="n">
        <f aca="false">R213/(T213+0.00001)</f>
        <v>0</v>
      </c>
      <c r="W213" s="19" t="n">
        <f aca="false">S213/(U213+0.0001)</f>
        <v>0</v>
      </c>
      <c r="X213" s="47" t="e">
        <f aca="false">IF(Informed=1,K213,0)</f>
        <v>#N/A</v>
      </c>
      <c r="Y213" s="47" t="n">
        <f aca="false">IF(Informed=0,K213,0)</f>
        <v>0</v>
      </c>
      <c r="Z213" s="47" t="e">
        <f aca="false">IF(Informed=1,N213,0)</f>
        <v>#N/A</v>
      </c>
      <c r="AA213" s="47" t="n">
        <f aca="false">IF(Informed=0,N213,0)</f>
        <v>0</v>
      </c>
      <c r="AB213" s="51" t="e">
        <f aca="false">IF(Arterial=0,IF(Informed=1,1,0),0)</f>
        <v>#N/A</v>
      </c>
      <c r="AC213" s="51" t="e">
        <f aca="false">IF(Arterial=0,IF(Informed=0,1,0),0)</f>
        <v>#N/A</v>
      </c>
      <c r="AD213" s="51" t="e">
        <f aca="false">IF(Arterial=1,IF(Informed=1,1,0),0)</f>
        <v>#N/A</v>
      </c>
      <c r="AE213" s="51" t="e">
        <f aca="false">IF(Arterial=1,IF(Informed=0,1,0),0)</f>
        <v>#N/A</v>
      </c>
      <c r="AF213" s="44" t="e">
        <f aca="false">IF(AB213=1,(X213-G$1030)^2,0)</f>
        <v>#N/A</v>
      </c>
      <c r="AG213" s="44" t="e">
        <f aca="false">IF(AC213=1,(Y213-H$1030)^2,0)</f>
        <v>#N/A</v>
      </c>
      <c r="AH213" s="44" t="e">
        <f aca="false">IF(AD213=1,(Z213-I$1030)^2,0)</f>
        <v>#N/A</v>
      </c>
      <c r="AI213" s="44" t="e">
        <f aca="false">IF(AE213=1,(AA213-J$1030)^2,0)</f>
        <v>#N/A</v>
      </c>
    </row>
    <row r="214" customFormat="false" ht="12" hidden="false" customHeight="false" outlineLevel="0" collapsed="false">
      <c r="A214" s="29" t="n">
        <v>197</v>
      </c>
      <c r="B214" s="45" t="n">
        <f aca="true">IF(RAND()&lt;$D$8,1,0)</f>
        <v>1</v>
      </c>
      <c r="C214" s="34" t="n">
        <f aca="true">-LN(RAND())/$D$2</f>
        <v>2.0960365233702</v>
      </c>
      <c r="D214" s="46" t="n">
        <f aca="false">D213+C214</f>
        <v>308.718060555974</v>
      </c>
      <c r="E214" s="47" t="e">
        <f aca="false">MAX($D$3,(1+P213-VLOOKUP(VALUE(D214),$J$18:$Q213,7,TRUE()))*$D$3)</f>
        <v>#N/A</v>
      </c>
      <c r="F214" s="47" t="e">
        <f aca="false">MAX($D$4,(1+Q213-VLOOKUP(VALUE(D214),$M$18:$Q213,5,TRUE()))*$D$4)</f>
        <v>#N/A</v>
      </c>
      <c r="G214" s="48" t="n">
        <v>0.5</v>
      </c>
      <c r="H214" s="46" t="e">
        <f aca="true">IF((B214=1),(IF((F214&lt;E214),1,(IF((F214=E214),(IF(RAND()&lt;G214,1,0)),0)))),(IF((RAND()&lt;G214),1,0)))</f>
        <v>#N/A</v>
      </c>
      <c r="I214" s="46" t="e">
        <f aca="true">IF((H214=1),0,$D$3+$D$5*(RAND()-0.5))</f>
        <v>#N/A</v>
      </c>
      <c r="J214" s="46" t="e">
        <f aca="false">I214+MAX(D214,J213)</f>
        <v>#N/A</v>
      </c>
      <c r="K214" s="46" t="e">
        <f aca="false">IF((H214=0),J214-D214,0)</f>
        <v>#N/A</v>
      </c>
      <c r="L214" s="46" t="e">
        <f aca="true">IF(($H214=0),0,$D$4+$D$5*(RAND()-0.5))</f>
        <v>#N/A</v>
      </c>
      <c r="M214" s="46" t="e">
        <f aca="false">L214+MAX(D214,M213)</f>
        <v>#N/A</v>
      </c>
      <c r="N214" s="46" t="e">
        <f aca="false">IF((H214=1),M214-D214,0)</f>
        <v>#N/A</v>
      </c>
      <c r="O214" s="29" t="n">
        <v>197</v>
      </c>
      <c r="P214" s="49" t="e">
        <f aca="false">IF((Arterial=0),P213+1,P213)</f>
        <v>#N/A</v>
      </c>
      <c r="Q214" s="49" t="e">
        <f aca="false">IF((Arterial=1),Q213+1,Q213)</f>
        <v>#N/A</v>
      </c>
      <c r="R214" s="50" t="n">
        <f aca="false">IF((RESET=1),0,R214+K214)</f>
        <v>0</v>
      </c>
      <c r="S214" s="19" t="n">
        <f aca="false">IF(RESET=1,0,S214+N214)</f>
        <v>0</v>
      </c>
      <c r="T214" s="0" t="n">
        <f aca="false">IF(RESET=1,0,T214+IF(H214=0,1,0))</f>
        <v>0</v>
      </c>
      <c r="U214" s="0" t="n">
        <f aca="false">IF(RESET=1,0,U214+H214)</f>
        <v>0</v>
      </c>
      <c r="V214" s="19" t="n">
        <f aca="false">R214/(T214+0.00001)</f>
        <v>0</v>
      </c>
      <c r="W214" s="19" t="n">
        <f aca="false">S214/(U214+0.0001)</f>
        <v>0</v>
      </c>
      <c r="X214" s="47" t="e">
        <f aca="false">IF(Informed=1,K214,0)</f>
        <v>#N/A</v>
      </c>
      <c r="Y214" s="47" t="n">
        <f aca="false">IF(Informed=0,K214,0)</f>
        <v>0</v>
      </c>
      <c r="Z214" s="47" t="e">
        <f aca="false">IF(Informed=1,N214,0)</f>
        <v>#N/A</v>
      </c>
      <c r="AA214" s="47" t="n">
        <f aca="false">IF(Informed=0,N214,0)</f>
        <v>0</v>
      </c>
      <c r="AB214" s="51" t="e">
        <f aca="false">IF(Arterial=0,IF(Informed=1,1,0),0)</f>
        <v>#N/A</v>
      </c>
      <c r="AC214" s="51" t="e">
        <f aca="false">IF(Arterial=0,IF(Informed=0,1,0),0)</f>
        <v>#N/A</v>
      </c>
      <c r="AD214" s="51" t="e">
        <f aca="false">IF(Arterial=1,IF(Informed=1,1,0),0)</f>
        <v>#N/A</v>
      </c>
      <c r="AE214" s="51" t="e">
        <f aca="false">IF(Arterial=1,IF(Informed=0,1,0),0)</f>
        <v>#N/A</v>
      </c>
      <c r="AF214" s="44" t="e">
        <f aca="false">IF(AB214=1,(X214-G$1030)^2,0)</f>
        <v>#N/A</v>
      </c>
      <c r="AG214" s="44" t="e">
        <f aca="false">IF(AC214=1,(Y214-H$1030)^2,0)</f>
        <v>#N/A</v>
      </c>
      <c r="AH214" s="44" t="e">
        <f aca="false">IF(AD214=1,(Z214-I$1030)^2,0)</f>
        <v>#N/A</v>
      </c>
      <c r="AI214" s="44" t="e">
        <f aca="false">IF(AE214=1,(AA214-J$1030)^2,0)</f>
        <v>#N/A</v>
      </c>
    </row>
    <row r="215" customFormat="false" ht="12" hidden="false" customHeight="false" outlineLevel="0" collapsed="false">
      <c r="A215" s="29" t="n">
        <v>198</v>
      </c>
      <c r="B215" s="45" t="n">
        <f aca="true">IF(RAND()&lt;$D$8,1,0)</f>
        <v>1</v>
      </c>
      <c r="C215" s="34" t="n">
        <f aca="true">-LN(RAND())/$D$2</f>
        <v>0.912088810367069</v>
      </c>
      <c r="D215" s="46" t="n">
        <f aca="false">D214+C215</f>
        <v>309.630149366341</v>
      </c>
      <c r="E215" s="47" t="e">
        <f aca="false">MAX($D$3,(1+P214-VLOOKUP(VALUE(D215),$J$18:$Q214,7,TRUE()))*$D$3)</f>
        <v>#N/A</v>
      </c>
      <c r="F215" s="47" t="e">
        <f aca="false">MAX($D$4,(1+Q214-VLOOKUP(VALUE(D215),$M$18:$Q214,5,TRUE()))*$D$4)</f>
        <v>#N/A</v>
      </c>
      <c r="G215" s="48" t="n">
        <v>0.5</v>
      </c>
      <c r="H215" s="46" t="e">
        <f aca="true">IF((B215=1),(IF((F215&lt;E215),1,(IF((F215=E215),(IF(RAND()&lt;G215,1,0)),0)))),(IF((RAND()&lt;G215),1,0)))</f>
        <v>#N/A</v>
      </c>
      <c r="I215" s="46" t="e">
        <f aca="true">IF((H215=1),0,$D$3+$D$5*(RAND()-0.5))</f>
        <v>#N/A</v>
      </c>
      <c r="J215" s="46" t="e">
        <f aca="false">I215+MAX(D215,J214)</f>
        <v>#N/A</v>
      </c>
      <c r="K215" s="46" t="e">
        <f aca="false">IF((H215=0),J215-D215,0)</f>
        <v>#N/A</v>
      </c>
      <c r="L215" s="46" t="e">
        <f aca="true">IF(($H215=0),0,$D$4+$D$5*(RAND()-0.5))</f>
        <v>#N/A</v>
      </c>
      <c r="M215" s="46" t="e">
        <f aca="false">L215+MAX(D215,M214)</f>
        <v>#N/A</v>
      </c>
      <c r="N215" s="46" t="e">
        <f aca="false">IF((H215=1),M215-D215,0)</f>
        <v>#N/A</v>
      </c>
      <c r="O215" s="29" t="n">
        <v>198</v>
      </c>
      <c r="P215" s="49" t="e">
        <f aca="false">IF((Arterial=0),P214+1,P214)</f>
        <v>#N/A</v>
      </c>
      <c r="Q215" s="49" t="e">
        <f aca="false">IF((Arterial=1),Q214+1,Q214)</f>
        <v>#N/A</v>
      </c>
      <c r="R215" s="50" t="n">
        <f aca="false">IF((RESET=1),0,R215+K215)</f>
        <v>0</v>
      </c>
      <c r="S215" s="19" t="n">
        <f aca="false">IF(RESET=1,0,S215+N215)</f>
        <v>0</v>
      </c>
      <c r="T215" s="0" t="n">
        <f aca="false">IF(RESET=1,0,T215+IF(H215=0,1,0))</f>
        <v>0</v>
      </c>
      <c r="U215" s="0" t="n">
        <f aca="false">IF(RESET=1,0,U215+H215)</f>
        <v>0</v>
      </c>
      <c r="V215" s="19" t="n">
        <f aca="false">R215/(T215+0.00001)</f>
        <v>0</v>
      </c>
      <c r="W215" s="19" t="n">
        <f aca="false">S215/(U215+0.0001)</f>
        <v>0</v>
      </c>
      <c r="X215" s="47" t="e">
        <f aca="false">IF(Informed=1,K215,0)</f>
        <v>#N/A</v>
      </c>
      <c r="Y215" s="47" t="n">
        <f aca="false">IF(Informed=0,K215,0)</f>
        <v>0</v>
      </c>
      <c r="Z215" s="47" t="e">
        <f aca="false">IF(Informed=1,N215,0)</f>
        <v>#N/A</v>
      </c>
      <c r="AA215" s="47" t="n">
        <f aca="false">IF(Informed=0,N215,0)</f>
        <v>0</v>
      </c>
      <c r="AB215" s="51" t="e">
        <f aca="false">IF(Arterial=0,IF(Informed=1,1,0),0)</f>
        <v>#N/A</v>
      </c>
      <c r="AC215" s="51" t="e">
        <f aca="false">IF(Arterial=0,IF(Informed=0,1,0),0)</f>
        <v>#N/A</v>
      </c>
      <c r="AD215" s="51" t="e">
        <f aca="false">IF(Arterial=1,IF(Informed=1,1,0),0)</f>
        <v>#N/A</v>
      </c>
      <c r="AE215" s="51" t="e">
        <f aca="false">IF(Arterial=1,IF(Informed=0,1,0),0)</f>
        <v>#N/A</v>
      </c>
      <c r="AF215" s="44" t="e">
        <f aca="false">IF(AB215=1,(X215-G$1030)^2,0)</f>
        <v>#N/A</v>
      </c>
      <c r="AG215" s="44" t="e">
        <f aca="false">IF(AC215=1,(Y215-H$1030)^2,0)</f>
        <v>#N/A</v>
      </c>
      <c r="AH215" s="44" t="e">
        <f aca="false">IF(AD215=1,(Z215-I$1030)^2,0)</f>
        <v>#N/A</v>
      </c>
      <c r="AI215" s="44" t="e">
        <f aca="false">IF(AE215=1,(AA215-J$1030)^2,0)</f>
        <v>#N/A</v>
      </c>
    </row>
    <row r="216" customFormat="false" ht="12" hidden="false" customHeight="false" outlineLevel="0" collapsed="false">
      <c r="A216" s="29" t="n">
        <v>199</v>
      </c>
      <c r="B216" s="45" t="n">
        <f aca="true">IF(RAND()&lt;$D$8,1,0)</f>
        <v>1</v>
      </c>
      <c r="C216" s="34" t="n">
        <f aca="true">-LN(RAND())/$D$2</f>
        <v>0.417247069618424</v>
      </c>
      <c r="D216" s="46" t="n">
        <f aca="false">D215+C216</f>
        <v>310.04739643596</v>
      </c>
      <c r="E216" s="47" t="e">
        <f aca="false">MAX($D$3,(1+P215-VLOOKUP(VALUE(D216),$J$18:$Q215,7,TRUE()))*$D$3)</f>
        <v>#N/A</v>
      </c>
      <c r="F216" s="47" t="e">
        <f aca="false">MAX($D$4,(1+Q215-VLOOKUP(VALUE(D216),$M$18:$Q215,5,TRUE()))*$D$4)</f>
        <v>#N/A</v>
      </c>
      <c r="G216" s="48" t="n">
        <v>0.5</v>
      </c>
      <c r="H216" s="46" t="e">
        <f aca="true">IF((B216=1),(IF((F216&lt;E216),1,(IF((F216=E216),(IF(RAND()&lt;G216,1,0)),0)))),(IF((RAND()&lt;G216),1,0)))</f>
        <v>#N/A</v>
      </c>
      <c r="I216" s="46" t="e">
        <f aca="true">IF((H216=1),0,$D$3+$D$5*(RAND()-0.5))</f>
        <v>#N/A</v>
      </c>
      <c r="J216" s="46" t="e">
        <f aca="false">I216+MAX(D216,J215)</f>
        <v>#N/A</v>
      </c>
      <c r="K216" s="46" t="e">
        <f aca="false">IF((H216=0),J216-D216,0)</f>
        <v>#N/A</v>
      </c>
      <c r="L216" s="46" t="e">
        <f aca="true">IF(($H216=0),0,$D$4+$D$5*(RAND()-0.5))</f>
        <v>#N/A</v>
      </c>
      <c r="M216" s="46" t="e">
        <f aca="false">L216+MAX(D216,M215)</f>
        <v>#N/A</v>
      </c>
      <c r="N216" s="46" t="e">
        <f aca="false">IF((H216=1),M216-D216,0)</f>
        <v>#N/A</v>
      </c>
      <c r="O216" s="29" t="n">
        <v>199</v>
      </c>
      <c r="P216" s="49" t="e">
        <f aca="false">IF((Arterial=0),P215+1,P215)</f>
        <v>#N/A</v>
      </c>
      <c r="Q216" s="49" t="e">
        <f aca="false">IF((Arterial=1),Q215+1,Q215)</f>
        <v>#N/A</v>
      </c>
      <c r="R216" s="50" t="n">
        <f aca="false">IF((RESET=1),0,R216+K216)</f>
        <v>0</v>
      </c>
      <c r="S216" s="19" t="n">
        <f aca="false">IF(RESET=1,0,S216+N216)</f>
        <v>0</v>
      </c>
      <c r="T216" s="0" t="n">
        <f aca="false">IF(RESET=1,0,T216+IF(H216=0,1,0))</f>
        <v>0</v>
      </c>
      <c r="U216" s="0" t="n">
        <f aca="false">IF(RESET=1,0,U216+H216)</f>
        <v>0</v>
      </c>
      <c r="V216" s="19" t="n">
        <f aca="false">R216/(T216+0.00001)</f>
        <v>0</v>
      </c>
      <c r="W216" s="19" t="n">
        <f aca="false">S216/(U216+0.0001)</f>
        <v>0</v>
      </c>
      <c r="X216" s="47" t="e">
        <f aca="false">IF(Informed=1,K216,0)</f>
        <v>#N/A</v>
      </c>
      <c r="Y216" s="47" t="n">
        <f aca="false">IF(Informed=0,K216,0)</f>
        <v>0</v>
      </c>
      <c r="Z216" s="47" t="e">
        <f aca="false">IF(Informed=1,N216,0)</f>
        <v>#N/A</v>
      </c>
      <c r="AA216" s="47" t="n">
        <f aca="false">IF(Informed=0,N216,0)</f>
        <v>0</v>
      </c>
      <c r="AB216" s="51" t="e">
        <f aca="false">IF(Arterial=0,IF(Informed=1,1,0),0)</f>
        <v>#N/A</v>
      </c>
      <c r="AC216" s="51" t="e">
        <f aca="false">IF(Arterial=0,IF(Informed=0,1,0),0)</f>
        <v>#N/A</v>
      </c>
      <c r="AD216" s="51" t="e">
        <f aca="false">IF(Arterial=1,IF(Informed=1,1,0),0)</f>
        <v>#N/A</v>
      </c>
      <c r="AE216" s="51" t="e">
        <f aca="false">IF(Arterial=1,IF(Informed=0,1,0),0)</f>
        <v>#N/A</v>
      </c>
      <c r="AF216" s="44" t="e">
        <f aca="false">IF(AB216=1,(X216-G$1030)^2,0)</f>
        <v>#N/A</v>
      </c>
      <c r="AG216" s="44" t="e">
        <f aca="false">IF(AC216=1,(Y216-H$1030)^2,0)</f>
        <v>#N/A</v>
      </c>
      <c r="AH216" s="44" t="e">
        <f aca="false">IF(AD216=1,(Z216-I$1030)^2,0)</f>
        <v>#N/A</v>
      </c>
      <c r="AI216" s="44" t="e">
        <f aca="false">IF(AE216=1,(AA216-J$1030)^2,0)</f>
        <v>#N/A</v>
      </c>
    </row>
    <row r="217" customFormat="false" ht="12" hidden="false" customHeight="false" outlineLevel="0" collapsed="false">
      <c r="A217" s="29" t="n">
        <v>200</v>
      </c>
      <c r="B217" s="45" t="n">
        <f aca="true">IF(RAND()&lt;$D$8,1,0)</f>
        <v>1</v>
      </c>
      <c r="C217" s="34" t="n">
        <f aca="true">-LN(RAND())/$D$2</f>
        <v>1.08636861275988</v>
      </c>
      <c r="D217" s="46" t="n">
        <f aca="false">D216+C217</f>
        <v>311.133765048719</v>
      </c>
      <c r="E217" s="47" t="e">
        <f aca="false">MAX($D$3,(1+P216-VLOOKUP(VALUE(D217),$J$18:$Q216,7,TRUE()))*$D$3)</f>
        <v>#N/A</v>
      </c>
      <c r="F217" s="47" t="e">
        <f aca="false">MAX($D$4,(1+Q216-VLOOKUP(VALUE(D217),$M$18:$Q216,5,TRUE()))*$D$4)</f>
        <v>#N/A</v>
      </c>
      <c r="G217" s="48" t="n">
        <v>0.5</v>
      </c>
      <c r="H217" s="46" t="e">
        <f aca="true">IF((B217=1),(IF((F217&lt;E217),1,(IF((F217=E217),(IF(RAND()&lt;G217,1,0)),0)))),(IF((RAND()&lt;G217),1,0)))</f>
        <v>#N/A</v>
      </c>
      <c r="I217" s="46" t="e">
        <f aca="true">IF((H217=1),0,$D$3+$D$5*(RAND()-0.5))</f>
        <v>#N/A</v>
      </c>
      <c r="J217" s="46" t="e">
        <f aca="false">I217+MAX(D217,J216)</f>
        <v>#N/A</v>
      </c>
      <c r="K217" s="46" t="e">
        <f aca="false">IF((H217=0),J217-D217,0)</f>
        <v>#N/A</v>
      </c>
      <c r="L217" s="46" t="e">
        <f aca="true">IF(($H217=0),0,$D$4+$D$5*(RAND()-0.5))</f>
        <v>#N/A</v>
      </c>
      <c r="M217" s="46" t="e">
        <f aca="false">L217+MAX(D217,M216)</f>
        <v>#N/A</v>
      </c>
      <c r="N217" s="46" t="e">
        <f aca="false">IF((H217=1),M217-D217,0)</f>
        <v>#N/A</v>
      </c>
      <c r="O217" s="29" t="n">
        <v>200</v>
      </c>
      <c r="P217" s="49" t="e">
        <f aca="false">IF((Arterial=0),P216+1,P216)</f>
        <v>#N/A</v>
      </c>
      <c r="Q217" s="49" t="e">
        <f aca="false">IF((Arterial=1),Q216+1,Q216)</f>
        <v>#N/A</v>
      </c>
      <c r="R217" s="50" t="n">
        <f aca="false">IF((RESET=1),0,R217+K217)</f>
        <v>0</v>
      </c>
      <c r="S217" s="19" t="n">
        <f aca="false">IF(RESET=1,0,S217+N217)</f>
        <v>0</v>
      </c>
      <c r="T217" s="0" t="n">
        <f aca="false">IF(RESET=1,0,T217+IF(H217=0,1,0))</f>
        <v>0</v>
      </c>
      <c r="U217" s="0" t="n">
        <f aca="false">IF(RESET=1,0,U217+H217)</f>
        <v>0</v>
      </c>
      <c r="V217" s="19" t="n">
        <f aca="false">R217/(T217+0.00001)</f>
        <v>0</v>
      </c>
      <c r="W217" s="19" t="n">
        <f aca="false">S217/(U217+0.0001)</f>
        <v>0</v>
      </c>
      <c r="X217" s="47" t="e">
        <f aca="false">IF(Informed=1,K217,0)</f>
        <v>#N/A</v>
      </c>
      <c r="Y217" s="47" t="n">
        <f aca="false">IF(Informed=0,K217,0)</f>
        <v>0</v>
      </c>
      <c r="Z217" s="47" t="e">
        <f aca="false">IF(Informed=1,N217,0)</f>
        <v>#N/A</v>
      </c>
      <c r="AA217" s="47" t="n">
        <f aca="false">IF(Informed=0,N217,0)</f>
        <v>0</v>
      </c>
      <c r="AB217" s="51" t="e">
        <f aca="false">IF(Arterial=0,IF(Informed=1,1,0),0)</f>
        <v>#N/A</v>
      </c>
      <c r="AC217" s="51" t="e">
        <f aca="false">IF(Arterial=0,IF(Informed=0,1,0),0)</f>
        <v>#N/A</v>
      </c>
      <c r="AD217" s="51" t="e">
        <f aca="false">IF(Arterial=1,IF(Informed=1,1,0),0)</f>
        <v>#N/A</v>
      </c>
      <c r="AE217" s="51" t="e">
        <f aca="false">IF(Arterial=1,IF(Informed=0,1,0),0)</f>
        <v>#N/A</v>
      </c>
      <c r="AF217" s="44" t="e">
        <f aca="false">IF(AB217=1,(X217-G$1030)^2,0)</f>
        <v>#N/A</v>
      </c>
      <c r="AG217" s="44" t="e">
        <f aca="false">IF(AC217=1,(Y217-H$1030)^2,0)</f>
        <v>#N/A</v>
      </c>
      <c r="AH217" s="44" t="e">
        <f aca="false">IF(AD217=1,(Z217-I$1030)^2,0)</f>
        <v>#N/A</v>
      </c>
      <c r="AI217" s="44" t="e">
        <f aca="false">IF(AE217=1,(AA217-J$1030)^2,0)</f>
        <v>#N/A</v>
      </c>
    </row>
    <row r="218" customFormat="false" ht="12" hidden="false" customHeight="false" outlineLevel="0" collapsed="false">
      <c r="A218" s="29" t="n">
        <v>201</v>
      </c>
      <c r="B218" s="45" t="n">
        <f aca="true">IF(RAND()&lt;$D$8,1,0)</f>
        <v>1</v>
      </c>
      <c r="C218" s="34" t="n">
        <f aca="true">-LN(RAND())/$D$2</f>
        <v>0.217969183791475</v>
      </c>
      <c r="D218" s="46" t="n">
        <f aca="false">D217+C218</f>
        <v>311.351734232511</v>
      </c>
      <c r="E218" s="47" t="e">
        <f aca="false">MAX($D$3,(1+P217-VLOOKUP(VALUE(D218),$J$18:$Q217,7,TRUE()))*$D$3)</f>
        <v>#N/A</v>
      </c>
      <c r="F218" s="47" t="e">
        <f aca="false">MAX($D$4,(1+Q217-VLOOKUP(VALUE(D218),$M$18:$Q217,5,TRUE()))*$D$4)</f>
        <v>#N/A</v>
      </c>
      <c r="G218" s="48" t="n">
        <v>0.5</v>
      </c>
      <c r="H218" s="46" t="e">
        <f aca="true">IF((B218=1),(IF((F218&lt;E218),1,(IF((F218=E218),(IF(RAND()&lt;G218,1,0)),0)))),(IF((RAND()&lt;G218),1,0)))</f>
        <v>#N/A</v>
      </c>
      <c r="I218" s="46" t="e">
        <f aca="true">IF((H218=1),0,$D$3+$D$5*(RAND()-0.5))</f>
        <v>#N/A</v>
      </c>
      <c r="J218" s="46" t="e">
        <f aca="false">I218+MAX(D218,J217)</f>
        <v>#N/A</v>
      </c>
      <c r="K218" s="46" t="e">
        <f aca="false">IF((H218=0),J218-D218,0)</f>
        <v>#N/A</v>
      </c>
      <c r="L218" s="46" t="e">
        <f aca="true">IF(($H218=0),0,$D$4+$D$5*(RAND()-0.5))</f>
        <v>#N/A</v>
      </c>
      <c r="M218" s="46" t="e">
        <f aca="false">L218+MAX(D218,M217)</f>
        <v>#N/A</v>
      </c>
      <c r="N218" s="46" t="e">
        <f aca="false">IF((H218=1),M218-D218,0)</f>
        <v>#N/A</v>
      </c>
      <c r="O218" s="29" t="n">
        <v>201</v>
      </c>
      <c r="P218" s="49" t="e">
        <f aca="false">IF((Arterial=0),P217+1,P217)</f>
        <v>#N/A</v>
      </c>
      <c r="Q218" s="49" t="e">
        <f aca="false">IF((Arterial=1),Q217+1,Q217)</f>
        <v>#N/A</v>
      </c>
      <c r="R218" s="50" t="n">
        <f aca="false">IF((RESET=1),0,R218+K218)</f>
        <v>0</v>
      </c>
      <c r="S218" s="19" t="n">
        <f aca="false">IF(RESET=1,0,S218+N218)</f>
        <v>0</v>
      </c>
      <c r="T218" s="0" t="n">
        <f aca="false">IF(RESET=1,0,T218+IF(H218=0,1,0))</f>
        <v>0</v>
      </c>
      <c r="U218" s="0" t="n">
        <f aca="false">IF(RESET=1,0,U218+H218)</f>
        <v>0</v>
      </c>
      <c r="V218" s="19" t="n">
        <f aca="false">R218/(T218+0.00001)</f>
        <v>0</v>
      </c>
      <c r="W218" s="19" t="n">
        <f aca="false">S218/(U218+0.0001)</f>
        <v>0</v>
      </c>
      <c r="X218" s="47" t="e">
        <f aca="false">IF(Informed=1,K218,0)</f>
        <v>#N/A</v>
      </c>
      <c r="Y218" s="47" t="n">
        <f aca="false">IF(Informed=0,K218,0)</f>
        <v>0</v>
      </c>
      <c r="Z218" s="47" t="e">
        <f aca="false">IF(Informed=1,N218,0)</f>
        <v>#N/A</v>
      </c>
      <c r="AA218" s="47" t="n">
        <f aca="false">IF(Informed=0,N218,0)</f>
        <v>0</v>
      </c>
      <c r="AB218" s="51" t="e">
        <f aca="false">IF(Arterial=0,IF(Informed=1,1,0),0)</f>
        <v>#N/A</v>
      </c>
      <c r="AC218" s="51" t="e">
        <f aca="false">IF(Arterial=0,IF(Informed=0,1,0),0)</f>
        <v>#N/A</v>
      </c>
      <c r="AD218" s="51" t="e">
        <f aca="false">IF(Arterial=1,IF(Informed=1,1,0),0)</f>
        <v>#N/A</v>
      </c>
      <c r="AE218" s="51" t="e">
        <f aca="false">IF(Arterial=1,IF(Informed=0,1,0),0)</f>
        <v>#N/A</v>
      </c>
      <c r="AF218" s="44" t="e">
        <f aca="false">IF(AB218=1,(X218-G$1030)^2,0)</f>
        <v>#N/A</v>
      </c>
      <c r="AG218" s="44" t="e">
        <f aca="false">IF(AC218=1,(Y218-H$1030)^2,0)</f>
        <v>#N/A</v>
      </c>
      <c r="AH218" s="44" t="e">
        <f aca="false">IF(AD218=1,(Z218-I$1030)^2,0)</f>
        <v>#N/A</v>
      </c>
      <c r="AI218" s="44" t="e">
        <f aca="false">IF(AE218=1,(AA218-J$1030)^2,0)</f>
        <v>#N/A</v>
      </c>
    </row>
    <row r="219" customFormat="false" ht="12" hidden="false" customHeight="false" outlineLevel="0" collapsed="false">
      <c r="A219" s="29" t="n">
        <v>202</v>
      </c>
      <c r="B219" s="45" t="n">
        <f aca="true">IF(RAND()&lt;$D$8,1,0)</f>
        <v>1</v>
      </c>
      <c r="C219" s="34" t="n">
        <f aca="true">-LN(RAND())/$D$2</f>
        <v>0.39825284966808</v>
      </c>
      <c r="D219" s="46" t="n">
        <f aca="false">D218+C219</f>
        <v>311.749987082179</v>
      </c>
      <c r="E219" s="47" t="e">
        <f aca="false">MAX($D$3,(1+P218-VLOOKUP(VALUE(D219),$J$18:$Q218,7,TRUE()))*$D$3)</f>
        <v>#N/A</v>
      </c>
      <c r="F219" s="47" t="e">
        <f aca="false">MAX($D$4,(1+Q218-VLOOKUP(VALUE(D219),$M$18:$Q218,5,TRUE()))*$D$4)</f>
        <v>#N/A</v>
      </c>
      <c r="G219" s="48" t="n">
        <v>0.5</v>
      </c>
      <c r="H219" s="46" t="e">
        <f aca="true">IF((B219=1),(IF((F219&lt;E219),1,(IF((F219=E219),(IF(RAND()&lt;G219,1,0)),0)))),(IF((RAND()&lt;G219),1,0)))</f>
        <v>#N/A</v>
      </c>
      <c r="I219" s="46" t="e">
        <f aca="true">IF((H219=1),0,$D$3+$D$5*(RAND()-0.5))</f>
        <v>#N/A</v>
      </c>
      <c r="J219" s="46" t="e">
        <f aca="false">I219+MAX(D219,J218)</f>
        <v>#N/A</v>
      </c>
      <c r="K219" s="46" t="e">
        <f aca="false">IF((H219=0),J219-D219,0)</f>
        <v>#N/A</v>
      </c>
      <c r="L219" s="46" t="e">
        <f aca="true">IF(($H219=0),0,$D$4+$D$5*(RAND()-0.5))</f>
        <v>#N/A</v>
      </c>
      <c r="M219" s="46" t="e">
        <f aca="false">L219+MAX(D219,M218)</f>
        <v>#N/A</v>
      </c>
      <c r="N219" s="46" t="e">
        <f aca="false">IF((H219=1),M219-D219,0)</f>
        <v>#N/A</v>
      </c>
      <c r="O219" s="29" t="n">
        <v>202</v>
      </c>
      <c r="P219" s="49" t="e">
        <f aca="false">IF((Arterial=0),P218+1,P218)</f>
        <v>#N/A</v>
      </c>
      <c r="Q219" s="49" t="e">
        <f aca="false">IF((Arterial=1),Q218+1,Q218)</f>
        <v>#N/A</v>
      </c>
      <c r="R219" s="50" t="n">
        <f aca="false">IF((RESET=1),0,R219+K219)</f>
        <v>0</v>
      </c>
      <c r="S219" s="19" t="n">
        <f aca="false">IF(RESET=1,0,S219+N219)</f>
        <v>0</v>
      </c>
      <c r="T219" s="0" t="n">
        <f aca="false">IF(RESET=1,0,T219+IF(H219=0,1,0))</f>
        <v>0</v>
      </c>
      <c r="U219" s="0" t="n">
        <f aca="false">IF(RESET=1,0,U219+H219)</f>
        <v>0</v>
      </c>
      <c r="V219" s="19" t="n">
        <f aca="false">R219/(T219+0.00001)</f>
        <v>0</v>
      </c>
      <c r="W219" s="19" t="n">
        <f aca="false">S219/(U219+0.0001)</f>
        <v>0</v>
      </c>
      <c r="X219" s="47" t="e">
        <f aca="false">IF(Informed=1,K219,0)</f>
        <v>#N/A</v>
      </c>
      <c r="Y219" s="47" t="n">
        <f aca="false">IF(Informed=0,K219,0)</f>
        <v>0</v>
      </c>
      <c r="Z219" s="47" t="e">
        <f aca="false">IF(Informed=1,N219,0)</f>
        <v>#N/A</v>
      </c>
      <c r="AA219" s="47" t="n">
        <f aca="false">IF(Informed=0,N219,0)</f>
        <v>0</v>
      </c>
      <c r="AB219" s="51" t="e">
        <f aca="false">IF(Arterial=0,IF(Informed=1,1,0),0)</f>
        <v>#N/A</v>
      </c>
      <c r="AC219" s="51" t="e">
        <f aca="false">IF(Arterial=0,IF(Informed=0,1,0),0)</f>
        <v>#N/A</v>
      </c>
      <c r="AD219" s="51" t="e">
        <f aca="false">IF(Arterial=1,IF(Informed=1,1,0),0)</f>
        <v>#N/A</v>
      </c>
      <c r="AE219" s="51" t="e">
        <f aca="false">IF(Arterial=1,IF(Informed=0,1,0),0)</f>
        <v>#N/A</v>
      </c>
      <c r="AF219" s="44" t="e">
        <f aca="false">IF(AB219=1,(X219-G$1030)^2,0)</f>
        <v>#N/A</v>
      </c>
      <c r="AG219" s="44" t="e">
        <f aca="false">IF(AC219=1,(Y219-H$1030)^2,0)</f>
        <v>#N/A</v>
      </c>
      <c r="AH219" s="44" t="e">
        <f aca="false">IF(AD219=1,(Z219-I$1030)^2,0)</f>
        <v>#N/A</v>
      </c>
      <c r="AI219" s="44" t="e">
        <f aca="false">IF(AE219=1,(AA219-J$1030)^2,0)</f>
        <v>#N/A</v>
      </c>
    </row>
    <row r="220" customFormat="false" ht="12" hidden="false" customHeight="false" outlineLevel="0" collapsed="false">
      <c r="A220" s="29" t="n">
        <v>203</v>
      </c>
      <c r="B220" s="45" t="n">
        <f aca="true">IF(RAND()&lt;$D$8,1,0)</f>
        <v>1</v>
      </c>
      <c r="C220" s="34" t="n">
        <f aca="true">-LN(RAND())/$D$2</f>
        <v>1.80768953229395</v>
      </c>
      <c r="D220" s="46" t="n">
        <f aca="false">D219+C220</f>
        <v>313.557676614473</v>
      </c>
      <c r="E220" s="47" t="e">
        <f aca="false">MAX($D$3,(1+P219-VLOOKUP(VALUE(D220),$J$18:$Q219,7,TRUE()))*$D$3)</f>
        <v>#N/A</v>
      </c>
      <c r="F220" s="47" t="e">
        <f aca="false">MAX($D$4,(1+Q219-VLOOKUP(VALUE(D220),$M$18:$Q219,5,TRUE()))*$D$4)</f>
        <v>#N/A</v>
      </c>
      <c r="G220" s="48" t="n">
        <v>0.5</v>
      </c>
      <c r="H220" s="46" t="e">
        <f aca="true">IF((B220=1),(IF((F220&lt;E220),1,(IF((F220=E220),(IF(RAND()&lt;G220,1,0)),0)))),(IF((RAND()&lt;G220),1,0)))</f>
        <v>#N/A</v>
      </c>
      <c r="I220" s="46" t="e">
        <f aca="true">IF((H220=1),0,$D$3+$D$5*(RAND()-0.5))</f>
        <v>#N/A</v>
      </c>
      <c r="J220" s="46" t="e">
        <f aca="false">I220+MAX(D220,J219)</f>
        <v>#N/A</v>
      </c>
      <c r="K220" s="46" t="e">
        <f aca="false">IF((H220=0),J220-D220,0)</f>
        <v>#N/A</v>
      </c>
      <c r="L220" s="46" t="e">
        <f aca="true">IF(($H220=0),0,$D$4+$D$5*(RAND()-0.5))</f>
        <v>#N/A</v>
      </c>
      <c r="M220" s="46" t="e">
        <f aca="false">L220+MAX(D220,M219)</f>
        <v>#N/A</v>
      </c>
      <c r="N220" s="46" t="e">
        <f aca="false">IF((H220=1),M220-D220,0)</f>
        <v>#N/A</v>
      </c>
      <c r="O220" s="29" t="n">
        <v>203</v>
      </c>
      <c r="P220" s="49" t="e">
        <f aca="false">IF((Arterial=0),P219+1,P219)</f>
        <v>#N/A</v>
      </c>
      <c r="Q220" s="49" t="e">
        <f aca="false">IF((Arterial=1),Q219+1,Q219)</f>
        <v>#N/A</v>
      </c>
      <c r="R220" s="50" t="n">
        <f aca="false">IF((RESET=1),0,R220+K220)</f>
        <v>0</v>
      </c>
      <c r="S220" s="19" t="n">
        <f aca="false">IF(RESET=1,0,S220+N220)</f>
        <v>0</v>
      </c>
      <c r="T220" s="0" t="n">
        <f aca="false">IF(RESET=1,0,T220+IF(H220=0,1,0))</f>
        <v>0</v>
      </c>
      <c r="U220" s="0" t="n">
        <f aca="false">IF(RESET=1,0,U220+H220)</f>
        <v>0</v>
      </c>
      <c r="V220" s="19" t="n">
        <f aca="false">R220/(T220+0.00001)</f>
        <v>0</v>
      </c>
      <c r="W220" s="19" t="n">
        <f aca="false">S220/(U220+0.0001)</f>
        <v>0</v>
      </c>
      <c r="X220" s="47" t="e">
        <f aca="false">IF(Informed=1,K220,0)</f>
        <v>#N/A</v>
      </c>
      <c r="Y220" s="47" t="n">
        <f aca="false">IF(Informed=0,K220,0)</f>
        <v>0</v>
      </c>
      <c r="Z220" s="47" t="e">
        <f aca="false">IF(Informed=1,N220,0)</f>
        <v>#N/A</v>
      </c>
      <c r="AA220" s="47" t="n">
        <f aca="false">IF(Informed=0,N220,0)</f>
        <v>0</v>
      </c>
      <c r="AB220" s="51" t="e">
        <f aca="false">IF(Arterial=0,IF(Informed=1,1,0),0)</f>
        <v>#N/A</v>
      </c>
      <c r="AC220" s="51" t="e">
        <f aca="false">IF(Arterial=0,IF(Informed=0,1,0),0)</f>
        <v>#N/A</v>
      </c>
      <c r="AD220" s="51" t="e">
        <f aca="false">IF(Arterial=1,IF(Informed=1,1,0),0)</f>
        <v>#N/A</v>
      </c>
      <c r="AE220" s="51" t="e">
        <f aca="false">IF(Arterial=1,IF(Informed=0,1,0),0)</f>
        <v>#N/A</v>
      </c>
      <c r="AF220" s="44" t="e">
        <f aca="false">IF(AB220=1,(X220-G$1030)^2,0)</f>
        <v>#N/A</v>
      </c>
      <c r="AG220" s="44" t="e">
        <f aca="false">IF(AC220=1,(Y220-H$1030)^2,0)</f>
        <v>#N/A</v>
      </c>
      <c r="AH220" s="44" t="e">
        <f aca="false">IF(AD220=1,(Z220-I$1030)^2,0)</f>
        <v>#N/A</v>
      </c>
      <c r="AI220" s="44" t="e">
        <f aca="false">IF(AE220=1,(AA220-J$1030)^2,0)</f>
        <v>#N/A</v>
      </c>
    </row>
    <row r="221" customFormat="false" ht="12" hidden="false" customHeight="false" outlineLevel="0" collapsed="false">
      <c r="A221" s="29" t="n">
        <v>204</v>
      </c>
      <c r="B221" s="45" t="n">
        <f aca="true">IF(RAND()&lt;$D$8,1,0)</f>
        <v>1</v>
      </c>
      <c r="C221" s="34" t="n">
        <f aca="true">-LN(RAND())/$D$2</f>
        <v>2.22025186722224</v>
      </c>
      <c r="D221" s="46" t="n">
        <f aca="false">D220+C221</f>
        <v>315.777928481695</v>
      </c>
      <c r="E221" s="47" t="e">
        <f aca="false">MAX($D$3,(1+P220-VLOOKUP(VALUE(D221),$J$18:$Q220,7,TRUE()))*$D$3)</f>
        <v>#N/A</v>
      </c>
      <c r="F221" s="47" t="e">
        <f aca="false">MAX($D$4,(1+Q220-VLOOKUP(VALUE(D221),$M$18:$Q220,5,TRUE()))*$D$4)</f>
        <v>#N/A</v>
      </c>
      <c r="G221" s="48" t="n">
        <v>0.5</v>
      </c>
      <c r="H221" s="46" t="e">
        <f aca="true">IF((B221=1),(IF((F221&lt;E221),1,(IF((F221=E221),(IF(RAND()&lt;G221,1,0)),0)))),(IF((RAND()&lt;G221),1,0)))</f>
        <v>#N/A</v>
      </c>
      <c r="I221" s="46" t="e">
        <f aca="true">IF((H221=1),0,$D$3+$D$5*(RAND()-0.5))</f>
        <v>#N/A</v>
      </c>
      <c r="J221" s="46" t="e">
        <f aca="false">I221+MAX(D221,J220)</f>
        <v>#N/A</v>
      </c>
      <c r="K221" s="46" t="e">
        <f aca="false">IF((H221=0),J221-D221,0)</f>
        <v>#N/A</v>
      </c>
      <c r="L221" s="46" t="e">
        <f aca="true">IF(($H221=0),0,$D$4+$D$5*(RAND()-0.5))</f>
        <v>#N/A</v>
      </c>
      <c r="M221" s="46" t="e">
        <f aca="false">L221+MAX(D221,M220)</f>
        <v>#N/A</v>
      </c>
      <c r="N221" s="46" t="e">
        <f aca="false">IF((H221=1),M221-D221,0)</f>
        <v>#N/A</v>
      </c>
      <c r="O221" s="29" t="n">
        <v>204</v>
      </c>
      <c r="P221" s="49" t="e">
        <f aca="false">IF((Arterial=0),P220+1,P220)</f>
        <v>#N/A</v>
      </c>
      <c r="Q221" s="49" t="e">
        <f aca="false">IF((Arterial=1),Q220+1,Q220)</f>
        <v>#N/A</v>
      </c>
      <c r="R221" s="50" t="n">
        <f aca="false">IF((RESET=1),0,R221+K221)</f>
        <v>0</v>
      </c>
      <c r="S221" s="19" t="n">
        <f aca="false">IF(RESET=1,0,S221+N221)</f>
        <v>0</v>
      </c>
      <c r="T221" s="0" t="n">
        <f aca="false">IF(RESET=1,0,T221+IF(H221=0,1,0))</f>
        <v>0</v>
      </c>
      <c r="U221" s="0" t="n">
        <f aca="false">IF(RESET=1,0,U221+H221)</f>
        <v>0</v>
      </c>
      <c r="V221" s="19" t="n">
        <f aca="false">R221/(T221+0.00001)</f>
        <v>0</v>
      </c>
      <c r="W221" s="19" t="n">
        <f aca="false">S221/(U221+0.0001)</f>
        <v>0</v>
      </c>
      <c r="X221" s="47" t="e">
        <f aca="false">IF(Informed=1,K221,0)</f>
        <v>#N/A</v>
      </c>
      <c r="Y221" s="47" t="n">
        <f aca="false">IF(Informed=0,K221,0)</f>
        <v>0</v>
      </c>
      <c r="Z221" s="47" t="e">
        <f aca="false">IF(Informed=1,N221,0)</f>
        <v>#N/A</v>
      </c>
      <c r="AA221" s="47" t="n">
        <f aca="false">IF(Informed=0,N221,0)</f>
        <v>0</v>
      </c>
      <c r="AB221" s="51" t="e">
        <f aca="false">IF(Arterial=0,IF(Informed=1,1,0),0)</f>
        <v>#N/A</v>
      </c>
      <c r="AC221" s="51" t="e">
        <f aca="false">IF(Arterial=0,IF(Informed=0,1,0),0)</f>
        <v>#N/A</v>
      </c>
      <c r="AD221" s="51" t="e">
        <f aca="false">IF(Arterial=1,IF(Informed=1,1,0),0)</f>
        <v>#N/A</v>
      </c>
      <c r="AE221" s="51" t="e">
        <f aca="false">IF(Arterial=1,IF(Informed=0,1,0),0)</f>
        <v>#N/A</v>
      </c>
      <c r="AF221" s="44" t="e">
        <f aca="false">IF(AB221=1,(X221-G$1030)^2,0)</f>
        <v>#N/A</v>
      </c>
      <c r="AG221" s="44" t="e">
        <f aca="false">IF(AC221=1,(Y221-H$1030)^2,0)</f>
        <v>#N/A</v>
      </c>
      <c r="AH221" s="44" t="e">
        <f aca="false">IF(AD221=1,(Z221-I$1030)^2,0)</f>
        <v>#N/A</v>
      </c>
      <c r="AI221" s="44" t="e">
        <f aca="false">IF(AE221=1,(AA221-J$1030)^2,0)</f>
        <v>#N/A</v>
      </c>
    </row>
    <row r="222" customFormat="false" ht="12" hidden="false" customHeight="false" outlineLevel="0" collapsed="false">
      <c r="A222" s="29" t="n">
        <v>205</v>
      </c>
      <c r="B222" s="45" t="n">
        <f aca="true">IF(RAND()&lt;$D$8,1,0)</f>
        <v>1</v>
      </c>
      <c r="C222" s="34" t="n">
        <f aca="true">-LN(RAND())/$D$2</f>
        <v>0.824856939477562</v>
      </c>
      <c r="D222" s="46" t="n">
        <f aca="false">D221+C222</f>
        <v>316.602785421173</v>
      </c>
      <c r="E222" s="47" t="e">
        <f aca="false">MAX($D$3,(1+P221-VLOOKUP(VALUE(D222),$J$18:$Q221,7,TRUE()))*$D$3)</f>
        <v>#N/A</v>
      </c>
      <c r="F222" s="47" t="e">
        <f aca="false">MAX($D$4,(1+Q221-VLOOKUP(VALUE(D222),$M$18:$Q221,5,TRUE()))*$D$4)</f>
        <v>#N/A</v>
      </c>
      <c r="G222" s="48" t="n">
        <v>0.5</v>
      </c>
      <c r="H222" s="46" t="e">
        <f aca="true">IF((B222=1),(IF((F222&lt;E222),1,(IF((F222=E222),(IF(RAND()&lt;G222,1,0)),0)))),(IF((RAND()&lt;G222),1,0)))</f>
        <v>#N/A</v>
      </c>
      <c r="I222" s="46" t="e">
        <f aca="true">IF((H222=1),0,$D$3+$D$5*(RAND()-0.5))</f>
        <v>#N/A</v>
      </c>
      <c r="J222" s="46" t="e">
        <f aca="false">I222+MAX(D222,J221)</f>
        <v>#N/A</v>
      </c>
      <c r="K222" s="46" t="e">
        <f aca="false">IF((H222=0),J222-D222,0)</f>
        <v>#N/A</v>
      </c>
      <c r="L222" s="46" t="e">
        <f aca="true">IF(($H222=0),0,$D$4+$D$5*(RAND()-0.5))</f>
        <v>#N/A</v>
      </c>
      <c r="M222" s="46" t="e">
        <f aca="false">L222+MAX(D222,M221)</f>
        <v>#N/A</v>
      </c>
      <c r="N222" s="46" t="e">
        <f aca="false">IF((H222=1),M222-D222,0)</f>
        <v>#N/A</v>
      </c>
      <c r="O222" s="29" t="n">
        <v>205</v>
      </c>
      <c r="P222" s="49" t="e">
        <f aca="false">IF((Arterial=0),P221+1,P221)</f>
        <v>#N/A</v>
      </c>
      <c r="Q222" s="49" t="e">
        <f aca="false">IF((Arterial=1),Q221+1,Q221)</f>
        <v>#N/A</v>
      </c>
      <c r="R222" s="50" t="n">
        <f aca="false">IF((RESET=1),0,R222+K222)</f>
        <v>0</v>
      </c>
      <c r="S222" s="19" t="n">
        <f aca="false">IF(RESET=1,0,S222+N222)</f>
        <v>0</v>
      </c>
      <c r="T222" s="0" t="n">
        <f aca="false">IF(RESET=1,0,T222+IF(H222=0,1,0))</f>
        <v>0</v>
      </c>
      <c r="U222" s="0" t="n">
        <f aca="false">IF(RESET=1,0,U222+H222)</f>
        <v>0</v>
      </c>
      <c r="V222" s="19" t="n">
        <f aca="false">R222/(T222+0.00001)</f>
        <v>0</v>
      </c>
      <c r="W222" s="19" t="n">
        <f aca="false">S222/(U222+0.0001)</f>
        <v>0</v>
      </c>
      <c r="X222" s="47" t="e">
        <f aca="false">IF(Informed=1,K222,0)</f>
        <v>#N/A</v>
      </c>
      <c r="Y222" s="47" t="n">
        <f aca="false">IF(Informed=0,K222,0)</f>
        <v>0</v>
      </c>
      <c r="Z222" s="47" t="e">
        <f aca="false">IF(Informed=1,N222,0)</f>
        <v>#N/A</v>
      </c>
      <c r="AA222" s="47" t="n">
        <f aca="false">IF(Informed=0,N222,0)</f>
        <v>0</v>
      </c>
      <c r="AB222" s="51" t="e">
        <f aca="false">IF(Arterial=0,IF(Informed=1,1,0),0)</f>
        <v>#N/A</v>
      </c>
      <c r="AC222" s="51" t="e">
        <f aca="false">IF(Arterial=0,IF(Informed=0,1,0),0)</f>
        <v>#N/A</v>
      </c>
      <c r="AD222" s="51" t="e">
        <f aca="false">IF(Arterial=1,IF(Informed=1,1,0),0)</f>
        <v>#N/A</v>
      </c>
      <c r="AE222" s="51" t="e">
        <f aca="false">IF(Arterial=1,IF(Informed=0,1,0),0)</f>
        <v>#N/A</v>
      </c>
      <c r="AF222" s="44" t="e">
        <f aca="false">IF(AB222=1,(X222-G$1030)^2,0)</f>
        <v>#N/A</v>
      </c>
      <c r="AG222" s="44" t="e">
        <f aca="false">IF(AC222=1,(Y222-H$1030)^2,0)</f>
        <v>#N/A</v>
      </c>
      <c r="AH222" s="44" t="e">
        <f aca="false">IF(AD222=1,(Z222-I$1030)^2,0)</f>
        <v>#N/A</v>
      </c>
      <c r="AI222" s="44" t="e">
        <f aca="false">IF(AE222=1,(AA222-J$1030)^2,0)</f>
        <v>#N/A</v>
      </c>
    </row>
    <row r="223" customFormat="false" ht="12" hidden="false" customHeight="false" outlineLevel="0" collapsed="false">
      <c r="A223" s="29" t="n">
        <v>206</v>
      </c>
      <c r="B223" s="45" t="n">
        <f aca="true">IF(RAND()&lt;$D$8,1,0)</f>
        <v>1</v>
      </c>
      <c r="C223" s="34" t="n">
        <f aca="true">-LN(RAND())/$D$2</f>
        <v>0.355026559803627</v>
      </c>
      <c r="D223" s="46" t="n">
        <f aca="false">D222+C223</f>
        <v>316.957811980976</v>
      </c>
      <c r="E223" s="47" t="e">
        <f aca="false">MAX($D$3,(1+P222-VLOOKUP(VALUE(D223),$J$18:$Q222,7,TRUE()))*$D$3)</f>
        <v>#N/A</v>
      </c>
      <c r="F223" s="47" t="e">
        <f aca="false">MAX($D$4,(1+Q222-VLOOKUP(VALUE(D223),$M$18:$Q222,5,TRUE()))*$D$4)</f>
        <v>#N/A</v>
      </c>
      <c r="G223" s="48" t="n">
        <v>0.5</v>
      </c>
      <c r="H223" s="46" t="e">
        <f aca="true">IF((B223=1),(IF((F223&lt;E223),1,(IF((F223=E223),(IF(RAND()&lt;G223,1,0)),0)))),(IF((RAND()&lt;G223),1,0)))</f>
        <v>#N/A</v>
      </c>
      <c r="I223" s="46" t="e">
        <f aca="true">IF((H223=1),0,$D$3+$D$5*(RAND()-0.5))</f>
        <v>#N/A</v>
      </c>
      <c r="J223" s="46" t="e">
        <f aca="false">I223+MAX(D223,J222)</f>
        <v>#N/A</v>
      </c>
      <c r="K223" s="46" t="e">
        <f aca="false">IF((H223=0),J223-D223,0)</f>
        <v>#N/A</v>
      </c>
      <c r="L223" s="46" t="e">
        <f aca="true">IF(($H223=0),0,$D$4+$D$5*(RAND()-0.5))</f>
        <v>#N/A</v>
      </c>
      <c r="M223" s="46" t="e">
        <f aca="false">L223+MAX(D223,M222)</f>
        <v>#N/A</v>
      </c>
      <c r="N223" s="46" t="e">
        <f aca="false">IF((H223=1),M223-D223,0)</f>
        <v>#N/A</v>
      </c>
      <c r="O223" s="29" t="n">
        <v>206</v>
      </c>
      <c r="P223" s="49" t="e">
        <f aca="false">IF((Arterial=0),P222+1,P222)</f>
        <v>#N/A</v>
      </c>
      <c r="Q223" s="49" t="e">
        <f aca="false">IF((Arterial=1),Q222+1,Q222)</f>
        <v>#N/A</v>
      </c>
      <c r="R223" s="50" t="n">
        <f aca="false">IF((RESET=1),0,R223+K223)</f>
        <v>0</v>
      </c>
      <c r="S223" s="19" t="n">
        <f aca="false">IF(RESET=1,0,S223+N223)</f>
        <v>0</v>
      </c>
      <c r="T223" s="0" t="n">
        <f aca="false">IF(RESET=1,0,T223+IF(H223=0,1,0))</f>
        <v>0</v>
      </c>
      <c r="U223" s="0" t="n">
        <f aca="false">IF(RESET=1,0,U223+H223)</f>
        <v>0</v>
      </c>
      <c r="V223" s="19" t="n">
        <f aca="false">R223/(T223+0.00001)</f>
        <v>0</v>
      </c>
      <c r="W223" s="19" t="n">
        <f aca="false">S223/(U223+0.0001)</f>
        <v>0</v>
      </c>
      <c r="X223" s="47" t="e">
        <f aca="false">IF(Informed=1,K223,0)</f>
        <v>#N/A</v>
      </c>
      <c r="Y223" s="47" t="n">
        <f aca="false">IF(Informed=0,K223,0)</f>
        <v>0</v>
      </c>
      <c r="Z223" s="47" t="e">
        <f aca="false">IF(Informed=1,N223,0)</f>
        <v>#N/A</v>
      </c>
      <c r="AA223" s="47" t="n">
        <f aca="false">IF(Informed=0,N223,0)</f>
        <v>0</v>
      </c>
      <c r="AB223" s="51" t="e">
        <f aca="false">IF(Arterial=0,IF(Informed=1,1,0),0)</f>
        <v>#N/A</v>
      </c>
      <c r="AC223" s="51" t="e">
        <f aca="false">IF(Arterial=0,IF(Informed=0,1,0),0)</f>
        <v>#N/A</v>
      </c>
      <c r="AD223" s="51" t="e">
        <f aca="false">IF(Arterial=1,IF(Informed=1,1,0),0)</f>
        <v>#N/A</v>
      </c>
      <c r="AE223" s="51" t="e">
        <f aca="false">IF(Arterial=1,IF(Informed=0,1,0),0)</f>
        <v>#N/A</v>
      </c>
      <c r="AF223" s="44" t="e">
        <f aca="false">IF(AB223=1,(X223-G$1030)^2,0)</f>
        <v>#N/A</v>
      </c>
      <c r="AG223" s="44" t="e">
        <f aca="false">IF(AC223=1,(Y223-H$1030)^2,0)</f>
        <v>#N/A</v>
      </c>
      <c r="AH223" s="44" t="e">
        <f aca="false">IF(AD223=1,(Z223-I$1030)^2,0)</f>
        <v>#N/A</v>
      </c>
      <c r="AI223" s="44" t="e">
        <f aca="false">IF(AE223=1,(AA223-J$1030)^2,0)</f>
        <v>#N/A</v>
      </c>
    </row>
    <row r="224" customFormat="false" ht="12" hidden="false" customHeight="false" outlineLevel="0" collapsed="false">
      <c r="A224" s="29" t="n">
        <v>207</v>
      </c>
      <c r="B224" s="45" t="n">
        <f aca="true">IF(RAND()&lt;$D$8,1,0)</f>
        <v>1</v>
      </c>
      <c r="C224" s="34" t="n">
        <f aca="true">-LN(RAND())/$D$2</f>
        <v>0.512622636327793</v>
      </c>
      <c r="D224" s="46" t="n">
        <f aca="false">D223+C224</f>
        <v>317.470434617304</v>
      </c>
      <c r="E224" s="47" t="e">
        <f aca="false">MAX($D$3,(1+P223-VLOOKUP(VALUE(D224),$J$18:$Q223,7,TRUE()))*$D$3)</f>
        <v>#N/A</v>
      </c>
      <c r="F224" s="47" t="e">
        <f aca="false">MAX($D$4,(1+Q223-VLOOKUP(VALUE(D224),$M$18:$Q223,5,TRUE()))*$D$4)</f>
        <v>#N/A</v>
      </c>
      <c r="G224" s="48" t="n">
        <v>0.5</v>
      </c>
      <c r="H224" s="46" t="e">
        <f aca="true">IF((B224=1),(IF((F224&lt;E224),1,(IF((F224=E224),(IF(RAND()&lt;G224,1,0)),0)))),(IF((RAND()&lt;G224),1,0)))</f>
        <v>#N/A</v>
      </c>
      <c r="I224" s="46" t="e">
        <f aca="true">IF((H224=1),0,$D$3+$D$5*(RAND()-0.5))</f>
        <v>#N/A</v>
      </c>
      <c r="J224" s="46" t="e">
        <f aca="false">I224+MAX(D224,J223)</f>
        <v>#N/A</v>
      </c>
      <c r="K224" s="46" t="e">
        <f aca="false">IF((H224=0),J224-D224,0)</f>
        <v>#N/A</v>
      </c>
      <c r="L224" s="46" t="e">
        <f aca="true">IF(($H224=0),0,$D$4+$D$5*(RAND()-0.5))</f>
        <v>#N/A</v>
      </c>
      <c r="M224" s="46" t="e">
        <f aca="false">L224+MAX(D224,M223)</f>
        <v>#N/A</v>
      </c>
      <c r="N224" s="46" t="e">
        <f aca="false">IF((H224=1),M224-D224,0)</f>
        <v>#N/A</v>
      </c>
      <c r="O224" s="29" t="n">
        <v>207</v>
      </c>
      <c r="P224" s="49" t="e">
        <f aca="false">IF((Arterial=0),P223+1,P223)</f>
        <v>#N/A</v>
      </c>
      <c r="Q224" s="49" t="e">
        <f aca="false">IF((Arterial=1),Q223+1,Q223)</f>
        <v>#N/A</v>
      </c>
      <c r="R224" s="50" t="n">
        <f aca="false">IF((RESET=1),0,R224+K224)</f>
        <v>0</v>
      </c>
      <c r="S224" s="19" t="n">
        <f aca="false">IF(RESET=1,0,S224+N224)</f>
        <v>0</v>
      </c>
      <c r="T224" s="0" t="n">
        <f aca="false">IF(RESET=1,0,T224+IF(H224=0,1,0))</f>
        <v>0</v>
      </c>
      <c r="U224" s="0" t="n">
        <f aca="false">IF(RESET=1,0,U224+H224)</f>
        <v>0</v>
      </c>
      <c r="V224" s="19" t="n">
        <f aca="false">R224/(T224+0.00001)</f>
        <v>0</v>
      </c>
      <c r="W224" s="19" t="n">
        <f aca="false">S224/(U224+0.0001)</f>
        <v>0</v>
      </c>
      <c r="X224" s="47" t="e">
        <f aca="false">IF(Informed=1,K224,0)</f>
        <v>#N/A</v>
      </c>
      <c r="Y224" s="47" t="n">
        <f aca="false">IF(Informed=0,K224,0)</f>
        <v>0</v>
      </c>
      <c r="Z224" s="47" t="e">
        <f aca="false">IF(Informed=1,N224,0)</f>
        <v>#N/A</v>
      </c>
      <c r="AA224" s="47" t="n">
        <f aca="false">IF(Informed=0,N224,0)</f>
        <v>0</v>
      </c>
      <c r="AB224" s="51" t="e">
        <f aca="false">IF(Arterial=0,IF(Informed=1,1,0),0)</f>
        <v>#N/A</v>
      </c>
      <c r="AC224" s="51" t="e">
        <f aca="false">IF(Arterial=0,IF(Informed=0,1,0),0)</f>
        <v>#N/A</v>
      </c>
      <c r="AD224" s="51" t="e">
        <f aca="false">IF(Arterial=1,IF(Informed=1,1,0),0)</f>
        <v>#N/A</v>
      </c>
      <c r="AE224" s="51" t="e">
        <f aca="false">IF(Arterial=1,IF(Informed=0,1,0),0)</f>
        <v>#N/A</v>
      </c>
      <c r="AF224" s="44" t="e">
        <f aca="false">IF(AB224=1,(X224-G$1030)^2,0)</f>
        <v>#N/A</v>
      </c>
      <c r="AG224" s="44" t="e">
        <f aca="false">IF(AC224=1,(Y224-H$1030)^2,0)</f>
        <v>#N/A</v>
      </c>
      <c r="AH224" s="44" t="e">
        <f aca="false">IF(AD224=1,(Z224-I$1030)^2,0)</f>
        <v>#N/A</v>
      </c>
      <c r="AI224" s="44" t="e">
        <f aca="false">IF(AE224=1,(AA224-J$1030)^2,0)</f>
        <v>#N/A</v>
      </c>
    </row>
    <row r="225" customFormat="false" ht="12" hidden="false" customHeight="false" outlineLevel="0" collapsed="false">
      <c r="A225" s="29" t="n">
        <v>208</v>
      </c>
      <c r="B225" s="45" t="n">
        <f aca="true">IF(RAND()&lt;$D$8,1,0)</f>
        <v>1</v>
      </c>
      <c r="C225" s="34" t="n">
        <f aca="true">-LN(RAND())/$D$2</f>
        <v>0.914397059988063</v>
      </c>
      <c r="D225" s="46" t="n">
        <f aca="false">D224+C225</f>
        <v>318.384831677292</v>
      </c>
      <c r="E225" s="47" t="e">
        <f aca="false">MAX($D$3,(1+P224-VLOOKUP(VALUE(D225),$J$18:$Q224,7,TRUE()))*$D$3)</f>
        <v>#N/A</v>
      </c>
      <c r="F225" s="47" t="e">
        <f aca="false">MAX($D$4,(1+Q224-VLOOKUP(VALUE(D225),$M$18:$Q224,5,TRUE()))*$D$4)</f>
        <v>#N/A</v>
      </c>
      <c r="G225" s="48" t="n">
        <v>0.5</v>
      </c>
      <c r="H225" s="46" t="e">
        <f aca="true">IF((B225=1),(IF((F225&lt;E225),1,(IF((F225=E225),(IF(RAND()&lt;G225,1,0)),0)))),(IF((RAND()&lt;G225),1,0)))</f>
        <v>#N/A</v>
      </c>
      <c r="I225" s="46" t="e">
        <f aca="true">IF((H225=1),0,$D$3+$D$5*(RAND()-0.5))</f>
        <v>#N/A</v>
      </c>
      <c r="J225" s="46" t="e">
        <f aca="false">I225+MAX(D225,J224)</f>
        <v>#N/A</v>
      </c>
      <c r="K225" s="46" t="e">
        <f aca="false">IF((H225=0),J225-D225,0)</f>
        <v>#N/A</v>
      </c>
      <c r="L225" s="46" t="e">
        <f aca="true">IF(($H225=0),0,$D$4+$D$5*(RAND()-0.5))</f>
        <v>#N/A</v>
      </c>
      <c r="M225" s="46" t="e">
        <f aca="false">L225+MAX(D225,M224)</f>
        <v>#N/A</v>
      </c>
      <c r="N225" s="46" t="e">
        <f aca="false">IF((H225=1),M225-D225,0)</f>
        <v>#N/A</v>
      </c>
      <c r="O225" s="29" t="n">
        <v>208</v>
      </c>
      <c r="P225" s="49" t="e">
        <f aca="false">IF((Arterial=0),P224+1,P224)</f>
        <v>#N/A</v>
      </c>
      <c r="Q225" s="49" t="e">
        <f aca="false">IF((Arterial=1),Q224+1,Q224)</f>
        <v>#N/A</v>
      </c>
      <c r="R225" s="50" t="n">
        <f aca="false">IF((RESET=1),0,R225+K225)</f>
        <v>0</v>
      </c>
      <c r="S225" s="19" t="n">
        <f aca="false">IF(RESET=1,0,S225+N225)</f>
        <v>0</v>
      </c>
      <c r="T225" s="0" t="n">
        <f aca="false">IF(RESET=1,0,T225+IF(H225=0,1,0))</f>
        <v>0</v>
      </c>
      <c r="U225" s="0" t="n">
        <f aca="false">IF(RESET=1,0,U225+H225)</f>
        <v>0</v>
      </c>
      <c r="V225" s="19" t="n">
        <f aca="false">R225/(T225+0.00001)</f>
        <v>0</v>
      </c>
      <c r="W225" s="19" t="n">
        <f aca="false">S225/(U225+0.0001)</f>
        <v>0</v>
      </c>
      <c r="X225" s="47" t="e">
        <f aca="false">IF(Informed=1,K225,0)</f>
        <v>#N/A</v>
      </c>
      <c r="Y225" s="47" t="n">
        <f aca="false">IF(Informed=0,K225,0)</f>
        <v>0</v>
      </c>
      <c r="Z225" s="47" t="e">
        <f aca="false">IF(Informed=1,N225,0)</f>
        <v>#N/A</v>
      </c>
      <c r="AA225" s="47" t="n">
        <f aca="false">IF(Informed=0,N225,0)</f>
        <v>0</v>
      </c>
      <c r="AB225" s="51" t="e">
        <f aca="false">IF(Arterial=0,IF(Informed=1,1,0),0)</f>
        <v>#N/A</v>
      </c>
      <c r="AC225" s="51" t="e">
        <f aca="false">IF(Arterial=0,IF(Informed=0,1,0),0)</f>
        <v>#N/A</v>
      </c>
      <c r="AD225" s="51" t="e">
        <f aca="false">IF(Arterial=1,IF(Informed=1,1,0),0)</f>
        <v>#N/A</v>
      </c>
      <c r="AE225" s="51" t="e">
        <f aca="false">IF(Arterial=1,IF(Informed=0,1,0),0)</f>
        <v>#N/A</v>
      </c>
      <c r="AF225" s="44" t="e">
        <f aca="false">IF(AB225=1,(X225-G$1030)^2,0)</f>
        <v>#N/A</v>
      </c>
      <c r="AG225" s="44" t="e">
        <f aca="false">IF(AC225=1,(Y225-H$1030)^2,0)</f>
        <v>#N/A</v>
      </c>
      <c r="AH225" s="44" t="e">
        <f aca="false">IF(AD225=1,(Z225-I$1030)^2,0)</f>
        <v>#N/A</v>
      </c>
      <c r="AI225" s="44" t="e">
        <f aca="false">IF(AE225=1,(AA225-J$1030)^2,0)</f>
        <v>#N/A</v>
      </c>
    </row>
    <row r="226" customFormat="false" ht="12" hidden="false" customHeight="false" outlineLevel="0" collapsed="false">
      <c r="A226" s="29" t="n">
        <v>209</v>
      </c>
      <c r="B226" s="45" t="n">
        <f aca="true">IF(RAND()&lt;$D$8,1,0)</f>
        <v>1</v>
      </c>
      <c r="C226" s="34" t="n">
        <f aca="true">-LN(RAND())/$D$2</f>
        <v>1.49241855743062</v>
      </c>
      <c r="D226" s="46" t="n">
        <f aca="false">D225+C226</f>
        <v>319.877250234723</v>
      </c>
      <c r="E226" s="47" t="e">
        <f aca="false">MAX($D$3,(1+P225-VLOOKUP(VALUE(D226),$J$18:$Q225,7,TRUE()))*$D$3)</f>
        <v>#N/A</v>
      </c>
      <c r="F226" s="47" t="e">
        <f aca="false">MAX($D$4,(1+Q225-VLOOKUP(VALUE(D226),$M$18:$Q225,5,TRUE()))*$D$4)</f>
        <v>#N/A</v>
      </c>
      <c r="G226" s="48" t="n">
        <v>0.5</v>
      </c>
      <c r="H226" s="46" t="e">
        <f aca="true">IF((B226=1),(IF((F226&lt;E226),1,(IF((F226=E226),(IF(RAND()&lt;G226,1,0)),0)))),(IF((RAND()&lt;G226),1,0)))</f>
        <v>#N/A</v>
      </c>
      <c r="I226" s="46" t="e">
        <f aca="true">IF((H226=1),0,$D$3+$D$5*(RAND()-0.5))</f>
        <v>#N/A</v>
      </c>
      <c r="J226" s="46" t="e">
        <f aca="false">I226+MAX(D226,J225)</f>
        <v>#N/A</v>
      </c>
      <c r="K226" s="46" t="e">
        <f aca="false">IF((H226=0),J226-D226,0)</f>
        <v>#N/A</v>
      </c>
      <c r="L226" s="46" t="e">
        <f aca="true">IF(($H226=0),0,$D$4+$D$5*(RAND()-0.5))</f>
        <v>#N/A</v>
      </c>
      <c r="M226" s="46" t="e">
        <f aca="false">L226+MAX(D226,M225)</f>
        <v>#N/A</v>
      </c>
      <c r="N226" s="46" t="e">
        <f aca="false">IF((H226=1),M226-D226,0)</f>
        <v>#N/A</v>
      </c>
      <c r="O226" s="29" t="n">
        <v>209</v>
      </c>
      <c r="P226" s="49" t="e">
        <f aca="false">IF((Arterial=0),P225+1,P225)</f>
        <v>#N/A</v>
      </c>
      <c r="Q226" s="49" t="e">
        <f aca="false">IF((Arterial=1),Q225+1,Q225)</f>
        <v>#N/A</v>
      </c>
      <c r="R226" s="50" t="n">
        <f aca="false">IF((RESET=1),0,R226+K226)</f>
        <v>0</v>
      </c>
      <c r="S226" s="19" t="n">
        <f aca="false">IF(RESET=1,0,S226+N226)</f>
        <v>0</v>
      </c>
      <c r="T226" s="0" t="n">
        <f aca="false">IF(RESET=1,0,T226+IF(H226=0,1,0))</f>
        <v>0</v>
      </c>
      <c r="U226" s="0" t="n">
        <f aca="false">IF(RESET=1,0,U226+H226)</f>
        <v>0</v>
      </c>
      <c r="V226" s="19" t="n">
        <f aca="false">R226/(T226+0.00001)</f>
        <v>0</v>
      </c>
      <c r="W226" s="19" t="n">
        <f aca="false">S226/(U226+0.0001)</f>
        <v>0</v>
      </c>
      <c r="X226" s="47" t="e">
        <f aca="false">IF(Informed=1,K226,0)</f>
        <v>#N/A</v>
      </c>
      <c r="Y226" s="47" t="n">
        <f aca="false">IF(Informed=0,K226,0)</f>
        <v>0</v>
      </c>
      <c r="Z226" s="47" t="e">
        <f aca="false">IF(Informed=1,N226,0)</f>
        <v>#N/A</v>
      </c>
      <c r="AA226" s="47" t="n">
        <f aca="false">IF(Informed=0,N226,0)</f>
        <v>0</v>
      </c>
      <c r="AB226" s="51" t="e">
        <f aca="false">IF(Arterial=0,IF(Informed=1,1,0),0)</f>
        <v>#N/A</v>
      </c>
      <c r="AC226" s="51" t="e">
        <f aca="false">IF(Arterial=0,IF(Informed=0,1,0),0)</f>
        <v>#N/A</v>
      </c>
      <c r="AD226" s="51" t="e">
        <f aca="false">IF(Arterial=1,IF(Informed=1,1,0),0)</f>
        <v>#N/A</v>
      </c>
      <c r="AE226" s="51" t="e">
        <f aca="false">IF(Arterial=1,IF(Informed=0,1,0),0)</f>
        <v>#N/A</v>
      </c>
      <c r="AF226" s="44" t="e">
        <f aca="false">IF(AB226=1,(X226-G$1030)^2,0)</f>
        <v>#N/A</v>
      </c>
      <c r="AG226" s="44" t="e">
        <f aca="false">IF(AC226=1,(Y226-H$1030)^2,0)</f>
        <v>#N/A</v>
      </c>
      <c r="AH226" s="44" t="e">
        <f aca="false">IF(AD226=1,(Z226-I$1030)^2,0)</f>
        <v>#N/A</v>
      </c>
      <c r="AI226" s="44" t="e">
        <f aca="false">IF(AE226=1,(AA226-J$1030)^2,0)</f>
        <v>#N/A</v>
      </c>
    </row>
    <row r="227" customFormat="false" ht="12" hidden="false" customHeight="false" outlineLevel="0" collapsed="false">
      <c r="A227" s="29" t="n">
        <v>210</v>
      </c>
      <c r="B227" s="45" t="n">
        <f aca="true">IF(RAND()&lt;$D$8,1,0)</f>
        <v>1</v>
      </c>
      <c r="C227" s="34" t="n">
        <f aca="true">-LN(RAND())/$D$2</f>
        <v>0.669354029494314</v>
      </c>
      <c r="D227" s="46" t="n">
        <f aca="false">D226+C227</f>
        <v>320.546604264217</v>
      </c>
      <c r="E227" s="47" t="e">
        <f aca="false">MAX($D$3,(1+P226-VLOOKUP(VALUE(D227),$J$18:$Q226,7,TRUE()))*$D$3)</f>
        <v>#N/A</v>
      </c>
      <c r="F227" s="47" t="e">
        <f aca="false">MAX($D$4,(1+Q226-VLOOKUP(VALUE(D227),$M$18:$Q226,5,TRUE()))*$D$4)</f>
        <v>#N/A</v>
      </c>
      <c r="G227" s="48" t="n">
        <v>0.5</v>
      </c>
      <c r="H227" s="46" t="e">
        <f aca="true">IF((B227=1),(IF((F227&lt;E227),1,(IF((F227=E227),(IF(RAND()&lt;G227,1,0)),0)))),(IF((RAND()&lt;G227),1,0)))</f>
        <v>#N/A</v>
      </c>
      <c r="I227" s="46" t="e">
        <f aca="true">IF((H227=1),0,$D$3+$D$5*(RAND()-0.5))</f>
        <v>#N/A</v>
      </c>
      <c r="J227" s="46" t="e">
        <f aca="false">I227+MAX(D227,J226)</f>
        <v>#N/A</v>
      </c>
      <c r="K227" s="46" t="e">
        <f aca="false">IF((H227=0),J227-D227,0)</f>
        <v>#N/A</v>
      </c>
      <c r="L227" s="46" t="e">
        <f aca="true">IF(($H227=0),0,$D$4+$D$5*(RAND()-0.5))</f>
        <v>#N/A</v>
      </c>
      <c r="M227" s="46" t="e">
        <f aca="false">L227+MAX(D227,M226)</f>
        <v>#N/A</v>
      </c>
      <c r="N227" s="46" t="e">
        <f aca="false">IF((H227=1),M227-D227,0)</f>
        <v>#N/A</v>
      </c>
      <c r="O227" s="29" t="n">
        <v>210</v>
      </c>
      <c r="P227" s="49" t="e">
        <f aca="false">IF((Arterial=0),P226+1,P226)</f>
        <v>#N/A</v>
      </c>
      <c r="Q227" s="49" t="e">
        <f aca="false">IF((Arterial=1),Q226+1,Q226)</f>
        <v>#N/A</v>
      </c>
      <c r="R227" s="50" t="n">
        <f aca="false">IF((RESET=1),0,R227+K227)</f>
        <v>0</v>
      </c>
      <c r="S227" s="19" t="n">
        <f aca="false">IF(RESET=1,0,S227+N227)</f>
        <v>0</v>
      </c>
      <c r="T227" s="0" t="n">
        <f aca="false">IF(RESET=1,0,T227+IF(H227=0,1,0))</f>
        <v>0</v>
      </c>
      <c r="U227" s="0" t="n">
        <f aca="false">IF(RESET=1,0,U227+H227)</f>
        <v>0</v>
      </c>
      <c r="V227" s="19" t="n">
        <f aca="false">R227/(T227+0.00001)</f>
        <v>0</v>
      </c>
      <c r="W227" s="19" t="n">
        <f aca="false">S227/(U227+0.0001)</f>
        <v>0</v>
      </c>
      <c r="X227" s="47" t="e">
        <f aca="false">IF(Informed=1,K227,0)</f>
        <v>#N/A</v>
      </c>
      <c r="Y227" s="47" t="n">
        <f aca="false">IF(Informed=0,K227,0)</f>
        <v>0</v>
      </c>
      <c r="Z227" s="47" t="e">
        <f aca="false">IF(Informed=1,N227,0)</f>
        <v>#N/A</v>
      </c>
      <c r="AA227" s="47" t="n">
        <f aca="false">IF(Informed=0,N227,0)</f>
        <v>0</v>
      </c>
      <c r="AB227" s="51" t="e">
        <f aca="false">IF(Arterial=0,IF(Informed=1,1,0),0)</f>
        <v>#N/A</v>
      </c>
      <c r="AC227" s="51" t="e">
        <f aca="false">IF(Arterial=0,IF(Informed=0,1,0),0)</f>
        <v>#N/A</v>
      </c>
      <c r="AD227" s="51" t="e">
        <f aca="false">IF(Arterial=1,IF(Informed=1,1,0),0)</f>
        <v>#N/A</v>
      </c>
      <c r="AE227" s="51" t="e">
        <f aca="false">IF(Arterial=1,IF(Informed=0,1,0),0)</f>
        <v>#N/A</v>
      </c>
      <c r="AF227" s="44" t="e">
        <f aca="false">IF(AB227=1,(X227-G$1030)^2,0)</f>
        <v>#N/A</v>
      </c>
      <c r="AG227" s="44" t="e">
        <f aca="false">IF(AC227=1,(Y227-H$1030)^2,0)</f>
        <v>#N/A</v>
      </c>
      <c r="AH227" s="44" t="e">
        <f aca="false">IF(AD227=1,(Z227-I$1030)^2,0)</f>
        <v>#N/A</v>
      </c>
      <c r="AI227" s="44" t="e">
        <f aca="false">IF(AE227=1,(AA227-J$1030)^2,0)</f>
        <v>#N/A</v>
      </c>
    </row>
    <row r="228" customFormat="false" ht="12" hidden="false" customHeight="false" outlineLevel="0" collapsed="false">
      <c r="A228" s="29" t="n">
        <v>211</v>
      </c>
      <c r="B228" s="45" t="n">
        <f aca="true">IF(RAND()&lt;$D$8,1,0)</f>
        <v>1</v>
      </c>
      <c r="C228" s="34" t="n">
        <f aca="true">-LN(RAND())/$D$2</f>
        <v>1.06816249114384</v>
      </c>
      <c r="D228" s="46" t="n">
        <f aca="false">D227+C228</f>
        <v>321.614766755361</v>
      </c>
      <c r="E228" s="47" t="e">
        <f aca="false">MAX($D$3,(1+P227-VLOOKUP(VALUE(D228),$J$18:$Q227,7,TRUE()))*$D$3)</f>
        <v>#N/A</v>
      </c>
      <c r="F228" s="47" t="e">
        <f aca="false">MAX($D$4,(1+Q227-VLOOKUP(VALUE(D228),$M$18:$Q227,5,TRUE()))*$D$4)</f>
        <v>#N/A</v>
      </c>
      <c r="G228" s="48" t="n">
        <v>0.5</v>
      </c>
      <c r="H228" s="46" t="e">
        <f aca="true">IF((B228=1),(IF((F228&lt;E228),1,(IF((F228=E228),(IF(RAND()&lt;G228,1,0)),0)))),(IF((RAND()&lt;G228),1,0)))</f>
        <v>#N/A</v>
      </c>
      <c r="I228" s="46" t="e">
        <f aca="true">IF((H228=1),0,$D$3+$D$5*(RAND()-0.5))</f>
        <v>#N/A</v>
      </c>
      <c r="J228" s="46" t="e">
        <f aca="false">I228+MAX(D228,J227)</f>
        <v>#N/A</v>
      </c>
      <c r="K228" s="46" t="e">
        <f aca="false">IF((H228=0),J228-D228,0)</f>
        <v>#N/A</v>
      </c>
      <c r="L228" s="46" t="e">
        <f aca="true">IF(($H228=0),0,$D$4+$D$5*(RAND()-0.5))</f>
        <v>#N/A</v>
      </c>
      <c r="M228" s="46" t="e">
        <f aca="false">L228+MAX(D228,M227)</f>
        <v>#N/A</v>
      </c>
      <c r="N228" s="46" t="e">
        <f aca="false">IF((H228=1),M228-D228,0)</f>
        <v>#N/A</v>
      </c>
      <c r="O228" s="29" t="n">
        <v>211</v>
      </c>
      <c r="P228" s="49" t="e">
        <f aca="false">IF((Arterial=0),P227+1,P227)</f>
        <v>#N/A</v>
      </c>
      <c r="Q228" s="49" t="e">
        <f aca="false">IF((Arterial=1),Q227+1,Q227)</f>
        <v>#N/A</v>
      </c>
      <c r="R228" s="50" t="n">
        <f aca="false">IF((RESET=1),0,R228+K228)</f>
        <v>0</v>
      </c>
      <c r="S228" s="19" t="n">
        <f aca="false">IF(RESET=1,0,S228+N228)</f>
        <v>0</v>
      </c>
      <c r="T228" s="0" t="n">
        <f aca="false">IF(RESET=1,0,T228+IF(H228=0,1,0))</f>
        <v>0</v>
      </c>
      <c r="U228" s="0" t="n">
        <f aca="false">IF(RESET=1,0,U228+H228)</f>
        <v>0</v>
      </c>
      <c r="V228" s="19" t="n">
        <f aca="false">R228/(T228+0.00001)</f>
        <v>0</v>
      </c>
      <c r="W228" s="19" t="n">
        <f aca="false">S228/(U228+0.0001)</f>
        <v>0</v>
      </c>
      <c r="X228" s="47" t="e">
        <f aca="false">IF(Informed=1,K228,0)</f>
        <v>#N/A</v>
      </c>
      <c r="Y228" s="47" t="n">
        <f aca="false">IF(Informed=0,K228,0)</f>
        <v>0</v>
      </c>
      <c r="Z228" s="47" t="e">
        <f aca="false">IF(Informed=1,N228,0)</f>
        <v>#N/A</v>
      </c>
      <c r="AA228" s="47" t="n">
        <f aca="false">IF(Informed=0,N228,0)</f>
        <v>0</v>
      </c>
      <c r="AB228" s="51" t="e">
        <f aca="false">IF(Arterial=0,IF(Informed=1,1,0),0)</f>
        <v>#N/A</v>
      </c>
      <c r="AC228" s="51" t="e">
        <f aca="false">IF(Arterial=0,IF(Informed=0,1,0),0)</f>
        <v>#N/A</v>
      </c>
      <c r="AD228" s="51" t="e">
        <f aca="false">IF(Arterial=1,IF(Informed=1,1,0),0)</f>
        <v>#N/A</v>
      </c>
      <c r="AE228" s="51" t="e">
        <f aca="false">IF(Arterial=1,IF(Informed=0,1,0),0)</f>
        <v>#N/A</v>
      </c>
      <c r="AF228" s="44" t="e">
        <f aca="false">IF(AB228=1,(X228-G$1030)^2,0)</f>
        <v>#N/A</v>
      </c>
      <c r="AG228" s="44" t="e">
        <f aca="false">IF(AC228=1,(Y228-H$1030)^2,0)</f>
        <v>#N/A</v>
      </c>
      <c r="AH228" s="44" t="e">
        <f aca="false">IF(AD228=1,(Z228-I$1030)^2,0)</f>
        <v>#N/A</v>
      </c>
      <c r="AI228" s="44" t="e">
        <f aca="false">IF(AE228=1,(AA228-J$1030)^2,0)</f>
        <v>#N/A</v>
      </c>
    </row>
    <row r="229" customFormat="false" ht="12" hidden="false" customHeight="false" outlineLevel="0" collapsed="false">
      <c r="A229" s="29" t="n">
        <v>212</v>
      </c>
      <c r="B229" s="45" t="n">
        <f aca="true">IF(RAND()&lt;$D$8,1,0)</f>
        <v>1</v>
      </c>
      <c r="C229" s="34" t="n">
        <f aca="true">-LN(RAND())/$D$2</f>
        <v>0.64806568705298</v>
      </c>
      <c r="D229" s="46" t="n">
        <f aca="false">D228+C229</f>
        <v>322.262832442414</v>
      </c>
      <c r="E229" s="47" t="e">
        <f aca="false">MAX($D$3,(1+P228-VLOOKUP(VALUE(D229),$J$18:$Q228,7,TRUE()))*$D$3)</f>
        <v>#N/A</v>
      </c>
      <c r="F229" s="47" t="e">
        <f aca="false">MAX($D$4,(1+Q228-VLOOKUP(VALUE(D229),$M$18:$Q228,5,TRUE()))*$D$4)</f>
        <v>#N/A</v>
      </c>
      <c r="G229" s="48" t="n">
        <v>0.5</v>
      </c>
      <c r="H229" s="46" t="e">
        <f aca="true">IF((B229=1),(IF((F229&lt;E229),1,(IF((F229=E229),(IF(RAND()&lt;G229,1,0)),0)))),(IF((RAND()&lt;G229),1,0)))</f>
        <v>#N/A</v>
      </c>
      <c r="I229" s="46" t="e">
        <f aca="true">IF((H229=1),0,$D$3+$D$5*(RAND()-0.5))</f>
        <v>#N/A</v>
      </c>
      <c r="J229" s="46" t="e">
        <f aca="false">I229+MAX(D229,J228)</f>
        <v>#N/A</v>
      </c>
      <c r="K229" s="46" t="e">
        <f aca="false">IF((H229=0),J229-D229,0)</f>
        <v>#N/A</v>
      </c>
      <c r="L229" s="46" t="e">
        <f aca="true">IF(($H229=0),0,$D$4+$D$5*(RAND()-0.5))</f>
        <v>#N/A</v>
      </c>
      <c r="M229" s="46" t="e">
        <f aca="false">L229+MAX(D229,M228)</f>
        <v>#N/A</v>
      </c>
      <c r="N229" s="46" t="e">
        <f aca="false">IF((H229=1),M229-D229,0)</f>
        <v>#N/A</v>
      </c>
      <c r="O229" s="29" t="n">
        <v>212</v>
      </c>
      <c r="P229" s="49" t="e">
        <f aca="false">IF((Arterial=0),P228+1,P228)</f>
        <v>#N/A</v>
      </c>
      <c r="Q229" s="49" t="e">
        <f aca="false">IF((Arterial=1),Q228+1,Q228)</f>
        <v>#N/A</v>
      </c>
      <c r="R229" s="50" t="n">
        <f aca="false">IF((RESET=1),0,R229+K229)</f>
        <v>0</v>
      </c>
      <c r="S229" s="19" t="n">
        <f aca="false">IF(RESET=1,0,S229+N229)</f>
        <v>0</v>
      </c>
      <c r="T229" s="0" t="n">
        <f aca="false">IF(RESET=1,0,T229+IF(H229=0,1,0))</f>
        <v>0</v>
      </c>
      <c r="U229" s="0" t="n">
        <f aca="false">IF(RESET=1,0,U229+H229)</f>
        <v>0</v>
      </c>
      <c r="V229" s="19" t="n">
        <f aca="false">R229/(T229+0.00001)</f>
        <v>0</v>
      </c>
      <c r="W229" s="19" t="n">
        <f aca="false">S229/(U229+0.0001)</f>
        <v>0</v>
      </c>
      <c r="X229" s="47" t="e">
        <f aca="false">IF(Informed=1,K229,0)</f>
        <v>#N/A</v>
      </c>
      <c r="Y229" s="47" t="n">
        <f aca="false">IF(Informed=0,K229,0)</f>
        <v>0</v>
      </c>
      <c r="Z229" s="47" t="e">
        <f aca="false">IF(Informed=1,N229,0)</f>
        <v>#N/A</v>
      </c>
      <c r="AA229" s="47" t="n">
        <f aca="false">IF(Informed=0,N229,0)</f>
        <v>0</v>
      </c>
      <c r="AB229" s="51" t="e">
        <f aca="false">IF(Arterial=0,IF(Informed=1,1,0),0)</f>
        <v>#N/A</v>
      </c>
      <c r="AC229" s="51" t="e">
        <f aca="false">IF(Arterial=0,IF(Informed=0,1,0),0)</f>
        <v>#N/A</v>
      </c>
      <c r="AD229" s="51" t="e">
        <f aca="false">IF(Arterial=1,IF(Informed=1,1,0),0)</f>
        <v>#N/A</v>
      </c>
      <c r="AE229" s="51" t="e">
        <f aca="false">IF(Arterial=1,IF(Informed=0,1,0),0)</f>
        <v>#N/A</v>
      </c>
      <c r="AF229" s="44" t="e">
        <f aca="false">IF(AB229=1,(X229-G$1030)^2,0)</f>
        <v>#N/A</v>
      </c>
      <c r="AG229" s="44" t="e">
        <f aca="false">IF(AC229=1,(Y229-H$1030)^2,0)</f>
        <v>#N/A</v>
      </c>
      <c r="AH229" s="44" t="e">
        <f aca="false">IF(AD229=1,(Z229-I$1030)^2,0)</f>
        <v>#N/A</v>
      </c>
      <c r="AI229" s="44" t="e">
        <f aca="false">IF(AE229=1,(AA229-J$1030)^2,0)</f>
        <v>#N/A</v>
      </c>
    </row>
    <row r="230" customFormat="false" ht="12" hidden="false" customHeight="false" outlineLevel="0" collapsed="false">
      <c r="A230" s="29" t="n">
        <v>213</v>
      </c>
      <c r="B230" s="45" t="n">
        <f aca="true">IF(RAND()&lt;$D$8,1,0)</f>
        <v>1</v>
      </c>
      <c r="C230" s="34" t="n">
        <f aca="true">-LN(RAND())/$D$2</f>
        <v>1.02922925677677</v>
      </c>
      <c r="D230" s="46" t="n">
        <f aca="false">D229+C230</f>
        <v>323.292061699191</v>
      </c>
      <c r="E230" s="47" t="e">
        <f aca="false">MAX($D$3,(1+P229-VLOOKUP(VALUE(D230),$J$18:$Q229,7,TRUE()))*$D$3)</f>
        <v>#N/A</v>
      </c>
      <c r="F230" s="47" t="e">
        <f aca="false">MAX($D$4,(1+Q229-VLOOKUP(VALUE(D230),$M$18:$Q229,5,TRUE()))*$D$4)</f>
        <v>#N/A</v>
      </c>
      <c r="G230" s="48" t="n">
        <v>0.5</v>
      </c>
      <c r="H230" s="46" t="e">
        <f aca="true">IF((B230=1),(IF((F230&lt;E230),1,(IF((F230=E230),(IF(RAND()&lt;G230,1,0)),0)))),(IF((RAND()&lt;G230),1,0)))</f>
        <v>#N/A</v>
      </c>
      <c r="I230" s="46" t="e">
        <f aca="true">IF((H230=1),0,$D$3+$D$5*(RAND()-0.5))</f>
        <v>#N/A</v>
      </c>
      <c r="J230" s="46" t="e">
        <f aca="false">I230+MAX(D230,J229)</f>
        <v>#N/A</v>
      </c>
      <c r="K230" s="46" t="e">
        <f aca="false">IF((H230=0),J230-D230,0)</f>
        <v>#N/A</v>
      </c>
      <c r="L230" s="46" t="e">
        <f aca="true">IF(($H230=0),0,$D$4+$D$5*(RAND()-0.5))</f>
        <v>#N/A</v>
      </c>
      <c r="M230" s="46" t="e">
        <f aca="false">L230+MAX(D230,M229)</f>
        <v>#N/A</v>
      </c>
      <c r="N230" s="46" t="e">
        <f aca="false">IF((H230=1),M230-D230,0)</f>
        <v>#N/A</v>
      </c>
      <c r="O230" s="29" t="n">
        <v>213</v>
      </c>
      <c r="P230" s="49" t="e">
        <f aca="false">IF((Arterial=0),P229+1,P229)</f>
        <v>#N/A</v>
      </c>
      <c r="Q230" s="49" t="e">
        <f aca="false">IF((Arterial=1),Q229+1,Q229)</f>
        <v>#N/A</v>
      </c>
      <c r="R230" s="50" t="n">
        <f aca="false">IF((RESET=1),0,R230+K230)</f>
        <v>0</v>
      </c>
      <c r="S230" s="19" t="n">
        <f aca="false">IF(RESET=1,0,S230+N230)</f>
        <v>0</v>
      </c>
      <c r="T230" s="0" t="n">
        <f aca="false">IF(RESET=1,0,T230+IF(H230=0,1,0))</f>
        <v>0</v>
      </c>
      <c r="U230" s="0" t="n">
        <f aca="false">IF(RESET=1,0,U230+H230)</f>
        <v>0</v>
      </c>
      <c r="V230" s="19" t="n">
        <f aca="false">R230/(T230+0.00001)</f>
        <v>0</v>
      </c>
      <c r="W230" s="19" t="n">
        <f aca="false">S230/(U230+0.0001)</f>
        <v>0</v>
      </c>
      <c r="X230" s="47" t="e">
        <f aca="false">IF(Informed=1,K230,0)</f>
        <v>#N/A</v>
      </c>
      <c r="Y230" s="47" t="n">
        <f aca="false">IF(Informed=0,K230,0)</f>
        <v>0</v>
      </c>
      <c r="Z230" s="47" t="e">
        <f aca="false">IF(Informed=1,N230,0)</f>
        <v>#N/A</v>
      </c>
      <c r="AA230" s="47" t="n">
        <f aca="false">IF(Informed=0,N230,0)</f>
        <v>0</v>
      </c>
      <c r="AB230" s="51" t="e">
        <f aca="false">IF(Arterial=0,IF(Informed=1,1,0),0)</f>
        <v>#N/A</v>
      </c>
      <c r="AC230" s="51" t="e">
        <f aca="false">IF(Arterial=0,IF(Informed=0,1,0),0)</f>
        <v>#N/A</v>
      </c>
      <c r="AD230" s="51" t="e">
        <f aca="false">IF(Arterial=1,IF(Informed=1,1,0),0)</f>
        <v>#N/A</v>
      </c>
      <c r="AE230" s="51" t="e">
        <f aca="false">IF(Arterial=1,IF(Informed=0,1,0),0)</f>
        <v>#N/A</v>
      </c>
      <c r="AF230" s="44" t="e">
        <f aca="false">IF(AB230=1,(X230-G$1030)^2,0)</f>
        <v>#N/A</v>
      </c>
      <c r="AG230" s="44" t="e">
        <f aca="false">IF(AC230=1,(Y230-H$1030)^2,0)</f>
        <v>#N/A</v>
      </c>
      <c r="AH230" s="44" t="e">
        <f aca="false">IF(AD230=1,(Z230-I$1030)^2,0)</f>
        <v>#N/A</v>
      </c>
      <c r="AI230" s="44" t="e">
        <f aca="false">IF(AE230=1,(AA230-J$1030)^2,0)</f>
        <v>#N/A</v>
      </c>
    </row>
    <row r="231" customFormat="false" ht="12" hidden="false" customHeight="false" outlineLevel="0" collapsed="false">
      <c r="A231" s="29" t="n">
        <v>214</v>
      </c>
      <c r="B231" s="45" t="n">
        <f aca="true">IF(RAND()&lt;$D$8,1,0)</f>
        <v>1</v>
      </c>
      <c r="C231" s="34" t="n">
        <f aca="true">-LN(RAND())/$D$2</f>
        <v>1.78198778471236</v>
      </c>
      <c r="D231" s="46" t="n">
        <f aca="false">D230+C231</f>
        <v>325.074049483903</v>
      </c>
      <c r="E231" s="47" t="e">
        <f aca="false">MAX($D$3,(1+P230-VLOOKUP(VALUE(D231),$J$18:$Q230,7,TRUE()))*$D$3)</f>
        <v>#N/A</v>
      </c>
      <c r="F231" s="47" t="e">
        <f aca="false">MAX($D$4,(1+Q230-VLOOKUP(VALUE(D231),$M$18:$Q230,5,TRUE()))*$D$4)</f>
        <v>#N/A</v>
      </c>
      <c r="G231" s="48" t="n">
        <v>0.5</v>
      </c>
      <c r="H231" s="46" t="e">
        <f aca="true">IF((B231=1),(IF((F231&lt;E231),1,(IF((F231=E231),(IF(RAND()&lt;G231,1,0)),0)))),(IF((RAND()&lt;G231),1,0)))</f>
        <v>#N/A</v>
      </c>
      <c r="I231" s="46" t="e">
        <f aca="true">IF((H231=1),0,$D$3+$D$5*(RAND()-0.5))</f>
        <v>#N/A</v>
      </c>
      <c r="J231" s="46" t="e">
        <f aca="false">I231+MAX(D231,J230)</f>
        <v>#N/A</v>
      </c>
      <c r="K231" s="46" t="e">
        <f aca="false">IF((H231=0),J231-D231,0)</f>
        <v>#N/A</v>
      </c>
      <c r="L231" s="46" t="e">
        <f aca="true">IF(($H231=0),0,$D$4+$D$5*(RAND()-0.5))</f>
        <v>#N/A</v>
      </c>
      <c r="M231" s="46" t="e">
        <f aca="false">L231+MAX(D231,M230)</f>
        <v>#N/A</v>
      </c>
      <c r="N231" s="46" t="e">
        <f aca="false">IF((H231=1),M231-D231,0)</f>
        <v>#N/A</v>
      </c>
      <c r="O231" s="29" t="n">
        <v>214</v>
      </c>
      <c r="P231" s="49" t="e">
        <f aca="false">IF((Arterial=0),P230+1,P230)</f>
        <v>#N/A</v>
      </c>
      <c r="Q231" s="49" t="e">
        <f aca="false">IF((Arterial=1),Q230+1,Q230)</f>
        <v>#N/A</v>
      </c>
      <c r="R231" s="50" t="n">
        <f aca="false">IF((RESET=1),0,R231+K231)</f>
        <v>0</v>
      </c>
      <c r="S231" s="19" t="n">
        <f aca="false">IF(RESET=1,0,S231+N231)</f>
        <v>0</v>
      </c>
      <c r="T231" s="0" t="n">
        <f aca="false">IF(RESET=1,0,T231+IF(H231=0,1,0))</f>
        <v>0</v>
      </c>
      <c r="U231" s="0" t="n">
        <f aca="false">IF(RESET=1,0,U231+H231)</f>
        <v>0</v>
      </c>
      <c r="V231" s="19" t="n">
        <f aca="false">R231/(T231+0.00001)</f>
        <v>0</v>
      </c>
      <c r="W231" s="19" t="n">
        <f aca="false">S231/(U231+0.0001)</f>
        <v>0</v>
      </c>
      <c r="X231" s="47" t="e">
        <f aca="false">IF(Informed=1,K231,0)</f>
        <v>#N/A</v>
      </c>
      <c r="Y231" s="47" t="n">
        <f aca="false">IF(Informed=0,K231,0)</f>
        <v>0</v>
      </c>
      <c r="Z231" s="47" t="e">
        <f aca="false">IF(Informed=1,N231,0)</f>
        <v>#N/A</v>
      </c>
      <c r="AA231" s="47" t="n">
        <f aca="false">IF(Informed=0,N231,0)</f>
        <v>0</v>
      </c>
      <c r="AB231" s="51" t="e">
        <f aca="false">IF(Arterial=0,IF(Informed=1,1,0),0)</f>
        <v>#N/A</v>
      </c>
      <c r="AC231" s="51" t="e">
        <f aca="false">IF(Arterial=0,IF(Informed=0,1,0),0)</f>
        <v>#N/A</v>
      </c>
      <c r="AD231" s="51" t="e">
        <f aca="false">IF(Arterial=1,IF(Informed=1,1,0),0)</f>
        <v>#N/A</v>
      </c>
      <c r="AE231" s="51" t="e">
        <f aca="false">IF(Arterial=1,IF(Informed=0,1,0),0)</f>
        <v>#N/A</v>
      </c>
      <c r="AF231" s="44" t="e">
        <f aca="false">IF(AB231=1,(X231-G$1030)^2,0)</f>
        <v>#N/A</v>
      </c>
      <c r="AG231" s="44" t="e">
        <f aca="false">IF(AC231=1,(Y231-H$1030)^2,0)</f>
        <v>#N/A</v>
      </c>
      <c r="AH231" s="44" t="e">
        <f aca="false">IF(AD231=1,(Z231-I$1030)^2,0)</f>
        <v>#N/A</v>
      </c>
      <c r="AI231" s="44" t="e">
        <f aca="false">IF(AE231=1,(AA231-J$1030)^2,0)</f>
        <v>#N/A</v>
      </c>
    </row>
    <row r="232" customFormat="false" ht="12" hidden="false" customHeight="false" outlineLevel="0" collapsed="false">
      <c r="A232" s="29" t="n">
        <v>215</v>
      </c>
      <c r="B232" s="45" t="n">
        <f aca="true">IF(RAND()&lt;$D$8,1,0)</f>
        <v>1</v>
      </c>
      <c r="C232" s="34" t="n">
        <f aca="true">-LN(RAND())/$D$2</f>
        <v>0.732649952345943</v>
      </c>
      <c r="D232" s="46" t="n">
        <f aca="false">D231+C232</f>
        <v>325.806699436249</v>
      </c>
      <c r="E232" s="47" t="e">
        <f aca="false">MAX($D$3,(1+P231-VLOOKUP(VALUE(D232),$J$18:$Q231,7,TRUE()))*$D$3)</f>
        <v>#N/A</v>
      </c>
      <c r="F232" s="47" t="e">
        <f aca="false">MAX($D$4,(1+Q231-VLOOKUP(VALUE(D232),$M$18:$Q231,5,TRUE()))*$D$4)</f>
        <v>#N/A</v>
      </c>
      <c r="G232" s="48" t="n">
        <v>0.5</v>
      </c>
      <c r="H232" s="46" t="e">
        <f aca="true">IF((B232=1),(IF((F232&lt;E232),1,(IF((F232=E232),(IF(RAND()&lt;G232,1,0)),0)))),(IF((RAND()&lt;G232),1,0)))</f>
        <v>#N/A</v>
      </c>
      <c r="I232" s="46" t="e">
        <f aca="true">IF((H232=1),0,$D$3+$D$5*(RAND()-0.5))</f>
        <v>#N/A</v>
      </c>
      <c r="J232" s="46" t="e">
        <f aca="false">I232+MAX(D232,J231)</f>
        <v>#N/A</v>
      </c>
      <c r="K232" s="46" t="e">
        <f aca="false">IF((H232=0),J232-D232,0)</f>
        <v>#N/A</v>
      </c>
      <c r="L232" s="46" t="e">
        <f aca="true">IF(($H232=0),0,$D$4+$D$5*(RAND()-0.5))</f>
        <v>#N/A</v>
      </c>
      <c r="M232" s="46" t="e">
        <f aca="false">L232+MAX(D232,M231)</f>
        <v>#N/A</v>
      </c>
      <c r="N232" s="46" t="e">
        <f aca="false">IF((H232=1),M232-D232,0)</f>
        <v>#N/A</v>
      </c>
      <c r="O232" s="29" t="n">
        <v>215</v>
      </c>
      <c r="P232" s="49" t="e">
        <f aca="false">IF((Arterial=0),P231+1,P231)</f>
        <v>#N/A</v>
      </c>
      <c r="Q232" s="49" t="e">
        <f aca="false">IF((Arterial=1),Q231+1,Q231)</f>
        <v>#N/A</v>
      </c>
      <c r="R232" s="50" t="n">
        <f aca="false">IF((RESET=1),0,R232+K232)</f>
        <v>0</v>
      </c>
      <c r="S232" s="19" t="n">
        <f aca="false">IF(RESET=1,0,S232+N232)</f>
        <v>0</v>
      </c>
      <c r="T232" s="0" t="n">
        <f aca="false">IF(RESET=1,0,T232+IF(H232=0,1,0))</f>
        <v>0</v>
      </c>
      <c r="U232" s="0" t="n">
        <f aca="false">IF(RESET=1,0,U232+H232)</f>
        <v>0</v>
      </c>
      <c r="V232" s="19" t="n">
        <f aca="false">R232/(T232+0.00001)</f>
        <v>0</v>
      </c>
      <c r="W232" s="19" t="n">
        <f aca="false">S232/(U232+0.0001)</f>
        <v>0</v>
      </c>
      <c r="X232" s="47" t="e">
        <f aca="false">IF(Informed=1,K232,0)</f>
        <v>#N/A</v>
      </c>
      <c r="Y232" s="47" t="n">
        <f aca="false">IF(Informed=0,K232,0)</f>
        <v>0</v>
      </c>
      <c r="Z232" s="47" t="e">
        <f aca="false">IF(Informed=1,N232,0)</f>
        <v>#N/A</v>
      </c>
      <c r="AA232" s="47" t="n">
        <f aca="false">IF(Informed=0,N232,0)</f>
        <v>0</v>
      </c>
      <c r="AB232" s="51" t="e">
        <f aca="false">IF(Arterial=0,IF(Informed=1,1,0),0)</f>
        <v>#N/A</v>
      </c>
      <c r="AC232" s="51" t="e">
        <f aca="false">IF(Arterial=0,IF(Informed=0,1,0),0)</f>
        <v>#N/A</v>
      </c>
      <c r="AD232" s="51" t="e">
        <f aca="false">IF(Arterial=1,IF(Informed=1,1,0),0)</f>
        <v>#N/A</v>
      </c>
      <c r="AE232" s="51" t="e">
        <f aca="false">IF(Arterial=1,IF(Informed=0,1,0),0)</f>
        <v>#N/A</v>
      </c>
      <c r="AF232" s="44" t="e">
        <f aca="false">IF(AB232=1,(X232-G$1030)^2,0)</f>
        <v>#N/A</v>
      </c>
      <c r="AG232" s="44" t="e">
        <f aca="false">IF(AC232=1,(Y232-H$1030)^2,0)</f>
        <v>#N/A</v>
      </c>
      <c r="AH232" s="44" t="e">
        <f aca="false">IF(AD232=1,(Z232-I$1030)^2,0)</f>
        <v>#N/A</v>
      </c>
      <c r="AI232" s="44" t="e">
        <f aca="false">IF(AE232=1,(AA232-J$1030)^2,0)</f>
        <v>#N/A</v>
      </c>
    </row>
    <row r="233" customFormat="false" ht="12" hidden="false" customHeight="false" outlineLevel="0" collapsed="false">
      <c r="A233" s="29" t="n">
        <v>216</v>
      </c>
      <c r="B233" s="45" t="n">
        <f aca="true">IF(RAND()&lt;$D$8,1,0)</f>
        <v>1</v>
      </c>
      <c r="C233" s="34" t="n">
        <f aca="true">-LN(RAND())/$D$2</f>
        <v>1.26454987250658</v>
      </c>
      <c r="D233" s="46" t="n">
        <f aca="false">D232+C233</f>
        <v>327.071249308756</v>
      </c>
      <c r="E233" s="47" t="e">
        <f aca="false">MAX($D$3,(1+P232-VLOOKUP(VALUE(D233),$J$18:$Q232,7,TRUE()))*$D$3)</f>
        <v>#N/A</v>
      </c>
      <c r="F233" s="47" t="e">
        <f aca="false">MAX($D$4,(1+Q232-VLOOKUP(VALUE(D233),$M$18:$Q232,5,TRUE()))*$D$4)</f>
        <v>#N/A</v>
      </c>
      <c r="G233" s="48" t="n">
        <v>0.5</v>
      </c>
      <c r="H233" s="46" t="e">
        <f aca="true">IF((B233=1),(IF((F233&lt;E233),1,(IF((F233=E233),(IF(RAND()&lt;G233,1,0)),0)))),(IF((RAND()&lt;G233),1,0)))</f>
        <v>#N/A</v>
      </c>
      <c r="I233" s="46" t="e">
        <f aca="true">IF((H233=1),0,$D$3+$D$5*(RAND()-0.5))</f>
        <v>#N/A</v>
      </c>
      <c r="J233" s="46" t="e">
        <f aca="false">I233+MAX(D233,J232)</f>
        <v>#N/A</v>
      </c>
      <c r="K233" s="46" t="e">
        <f aca="false">IF((H233=0),J233-D233,0)</f>
        <v>#N/A</v>
      </c>
      <c r="L233" s="46" t="e">
        <f aca="true">IF(($H233=0),0,$D$4+$D$5*(RAND()-0.5))</f>
        <v>#N/A</v>
      </c>
      <c r="M233" s="46" t="e">
        <f aca="false">L233+MAX(D233,M232)</f>
        <v>#N/A</v>
      </c>
      <c r="N233" s="46" t="e">
        <f aca="false">IF((H233=1),M233-D233,0)</f>
        <v>#N/A</v>
      </c>
      <c r="O233" s="29" t="n">
        <v>216</v>
      </c>
      <c r="P233" s="49" t="e">
        <f aca="false">IF((Arterial=0),P232+1,P232)</f>
        <v>#N/A</v>
      </c>
      <c r="Q233" s="49" t="e">
        <f aca="false">IF((Arterial=1),Q232+1,Q232)</f>
        <v>#N/A</v>
      </c>
      <c r="R233" s="50" t="n">
        <f aca="false">IF((RESET=1),0,R233+K233)</f>
        <v>0</v>
      </c>
      <c r="S233" s="19" t="n">
        <f aca="false">IF(RESET=1,0,S233+N233)</f>
        <v>0</v>
      </c>
      <c r="T233" s="0" t="n">
        <f aca="false">IF(RESET=1,0,T233+IF(H233=0,1,0))</f>
        <v>0</v>
      </c>
      <c r="U233" s="0" t="n">
        <f aca="false">IF(RESET=1,0,U233+H233)</f>
        <v>0</v>
      </c>
      <c r="V233" s="19" t="n">
        <f aca="false">R233/(T233+0.00001)</f>
        <v>0</v>
      </c>
      <c r="W233" s="19" t="n">
        <f aca="false">S233/(U233+0.0001)</f>
        <v>0</v>
      </c>
      <c r="X233" s="47" t="e">
        <f aca="false">IF(Informed=1,K233,0)</f>
        <v>#N/A</v>
      </c>
      <c r="Y233" s="47" t="n">
        <f aca="false">IF(Informed=0,K233,0)</f>
        <v>0</v>
      </c>
      <c r="Z233" s="47" t="e">
        <f aca="false">IF(Informed=1,N233,0)</f>
        <v>#N/A</v>
      </c>
      <c r="AA233" s="47" t="n">
        <f aca="false">IF(Informed=0,N233,0)</f>
        <v>0</v>
      </c>
      <c r="AB233" s="51" t="e">
        <f aca="false">IF(Arterial=0,IF(Informed=1,1,0),0)</f>
        <v>#N/A</v>
      </c>
      <c r="AC233" s="51" t="e">
        <f aca="false">IF(Arterial=0,IF(Informed=0,1,0),0)</f>
        <v>#N/A</v>
      </c>
      <c r="AD233" s="51" t="e">
        <f aca="false">IF(Arterial=1,IF(Informed=1,1,0),0)</f>
        <v>#N/A</v>
      </c>
      <c r="AE233" s="51" t="e">
        <f aca="false">IF(Arterial=1,IF(Informed=0,1,0),0)</f>
        <v>#N/A</v>
      </c>
      <c r="AF233" s="44" t="e">
        <f aca="false">IF(AB233=1,(X233-G$1030)^2,0)</f>
        <v>#N/A</v>
      </c>
      <c r="AG233" s="44" t="e">
        <f aca="false">IF(AC233=1,(Y233-H$1030)^2,0)</f>
        <v>#N/A</v>
      </c>
      <c r="AH233" s="44" t="e">
        <f aca="false">IF(AD233=1,(Z233-I$1030)^2,0)</f>
        <v>#N/A</v>
      </c>
      <c r="AI233" s="44" t="e">
        <f aca="false">IF(AE233=1,(AA233-J$1030)^2,0)</f>
        <v>#N/A</v>
      </c>
    </row>
    <row r="234" customFormat="false" ht="12" hidden="false" customHeight="false" outlineLevel="0" collapsed="false">
      <c r="A234" s="29" t="n">
        <v>217</v>
      </c>
      <c r="B234" s="45" t="n">
        <f aca="true">IF(RAND()&lt;$D$8,1,0)</f>
        <v>1</v>
      </c>
      <c r="C234" s="34" t="n">
        <f aca="true">-LN(RAND())/$D$2</f>
        <v>2.76965563921798</v>
      </c>
      <c r="D234" s="46" t="n">
        <f aca="false">D233+C234</f>
        <v>329.840904947974</v>
      </c>
      <c r="E234" s="47" t="e">
        <f aca="false">MAX($D$3,(1+P233-VLOOKUP(VALUE(D234),$J$18:$Q233,7,TRUE()))*$D$3)</f>
        <v>#N/A</v>
      </c>
      <c r="F234" s="47" t="e">
        <f aca="false">MAX($D$4,(1+Q233-VLOOKUP(VALUE(D234),$M$18:$Q233,5,TRUE()))*$D$4)</f>
        <v>#N/A</v>
      </c>
      <c r="G234" s="48" t="n">
        <v>0.5</v>
      </c>
      <c r="H234" s="46" t="e">
        <f aca="true">IF((B234=1),(IF((F234&lt;E234),1,(IF((F234=E234),(IF(RAND()&lt;G234,1,0)),0)))),(IF((RAND()&lt;G234),1,0)))</f>
        <v>#N/A</v>
      </c>
      <c r="I234" s="46" t="e">
        <f aca="true">IF((H234=1),0,$D$3+$D$5*(RAND()-0.5))</f>
        <v>#N/A</v>
      </c>
      <c r="J234" s="46" t="e">
        <f aca="false">I234+MAX(D234,J233)</f>
        <v>#N/A</v>
      </c>
      <c r="K234" s="46" t="e">
        <f aca="false">IF((H234=0),J234-D234,0)</f>
        <v>#N/A</v>
      </c>
      <c r="L234" s="46" t="e">
        <f aca="true">IF(($H234=0),0,$D$4+$D$5*(RAND()-0.5))</f>
        <v>#N/A</v>
      </c>
      <c r="M234" s="46" t="e">
        <f aca="false">L234+MAX(D234,M233)</f>
        <v>#N/A</v>
      </c>
      <c r="N234" s="46" t="e">
        <f aca="false">IF((H234=1),M234-D234,0)</f>
        <v>#N/A</v>
      </c>
      <c r="O234" s="29" t="n">
        <v>217</v>
      </c>
      <c r="P234" s="49" t="e">
        <f aca="false">IF((Arterial=0),P233+1,P233)</f>
        <v>#N/A</v>
      </c>
      <c r="Q234" s="49" t="e">
        <f aca="false">IF((Arterial=1),Q233+1,Q233)</f>
        <v>#N/A</v>
      </c>
      <c r="R234" s="50" t="n">
        <f aca="false">IF((RESET=1),0,R234+K234)</f>
        <v>0</v>
      </c>
      <c r="S234" s="19" t="n">
        <f aca="false">IF(RESET=1,0,S234+N234)</f>
        <v>0</v>
      </c>
      <c r="T234" s="0" t="n">
        <f aca="false">IF(RESET=1,0,T234+IF(H234=0,1,0))</f>
        <v>0</v>
      </c>
      <c r="U234" s="0" t="n">
        <f aca="false">IF(RESET=1,0,U234+H234)</f>
        <v>0</v>
      </c>
      <c r="V234" s="19" t="n">
        <f aca="false">R234/(T234+0.00001)</f>
        <v>0</v>
      </c>
      <c r="W234" s="19" t="n">
        <f aca="false">S234/(U234+0.0001)</f>
        <v>0</v>
      </c>
      <c r="X234" s="47" t="e">
        <f aca="false">IF(Informed=1,K234,0)</f>
        <v>#N/A</v>
      </c>
      <c r="Y234" s="47" t="n">
        <f aca="false">IF(Informed=0,K234,0)</f>
        <v>0</v>
      </c>
      <c r="Z234" s="47" t="e">
        <f aca="false">IF(Informed=1,N234,0)</f>
        <v>#N/A</v>
      </c>
      <c r="AA234" s="47" t="n">
        <f aca="false">IF(Informed=0,N234,0)</f>
        <v>0</v>
      </c>
      <c r="AB234" s="51" t="e">
        <f aca="false">IF(Arterial=0,IF(Informed=1,1,0),0)</f>
        <v>#N/A</v>
      </c>
      <c r="AC234" s="51" t="e">
        <f aca="false">IF(Arterial=0,IF(Informed=0,1,0),0)</f>
        <v>#N/A</v>
      </c>
      <c r="AD234" s="51" t="e">
        <f aca="false">IF(Arterial=1,IF(Informed=1,1,0),0)</f>
        <v>#N/A</v>
      </c>
      <c r="AE234" s="51" t="e">
        <f aca="false">IF(Arterial=1,IF(Informed=0,1,0),0)</f>
        <v>#N/A</v>
      </c>
      <c r="AF234" s="44" t="e">
        <f aca="false">IF(AB234=1,(X234-G$1030)^2,0)</f>
        <v>#N/A</v>
      </c>
      <c r="AG234" s="44" t="e">
        <f aca="false">IF(AC234=1,(Y234-H$1030)^2,0)</f>
        <v>#N/A</v>
      </c>
      <c r="AH234" s="44" t="e">
        <f aca="false">IF(AD234=1,(Z234-I$1030)^2,0)</f>
        <v>#N/A</v>
      </c>
      <c r="AI234" s="44" t="e">
        <f aca="false">IF(AE234=1,(AA234-J$1030)^2,0)</f>
        <v>#N/A</v>
      </c>
    </row>
    <row r="235" customFormat="false" ht="12" hidden="false" customHeight="false" outlineLevel="0" collapsed="false">
      <c r="A235" s="29" t="n">
        <v>218</v>
      </c>
      <c r="B235" s="45" t="n">
        <f aca="true">IF(RAND()&lt;$D$8,1,0)</f>
        <v>1</v>
      </c>
      <c r="C235" s="34" t="n">
        <f aca="true">-LN(RAND())/$D$2</f>
        <v>10.0034875109857</v>
      </c>
      <c r="D235" s="46" t="n">
        <f aca="false">D234+C235</f>
        <v>339.844392458959</v>
      </c>
      <c r="E235" s="47" t="e">
        <f aca="false">MAX($D$3,(1+P234-VLOOKUP(VALUE(D235),$J$18:$Q234,7,TRUE()))*$D$3)</f>
        <v>#N/A</v>
      </c>
      <c r="F235" s="47" t="e">
        <f aca="false">MAX($D$4,(1+Q234-VLOOKUP(VALUE(D235),$M$18:$Q234,5,TRUE()))*$D$4)</f>
        <v>#N/A</v>
      </c>
      <c r="G235" s="48" t="n">
        <v>0.5</v>
      </c>
      <c r="H235" s="46" t="e">
        <f aca="true">IF((B235=1),(IF((F235&lt;E235),1,(IF((F235=E235),(IF(RAND()&lt;G235,1,0)),0)))),(IF((RAND()&lt;G235),1,0)))</f>
        <v>#N/A</v>
      </c>
      <c r="I235" s="46" t="e">
        <f aca="true">IF((H235=1),0,$D$3+$D$5*(RAND()-0.5))</f>
        <v>#N/A</v>
      </c>
      <c r="J235" s="46" t="e">
        <f aca="false">I235+MAX(D235,J234)</f>
        <v>#N/A</v>
      </c>
      <c r="K235" s="46" t="e">
        <f aca="false">IF((H235=0),J235-D235,0)</f>
        <v>#N/A</v>
      </c>
      <c r="L235" s="46" t="e">
        <f aca="true">IF(($H235=0),0,$D$4+$D$5*(RAND()-0.5))</f>
        <v>#N/A</v>
      </c>
      <c r="M235" s="46" t="e">
        <f aca="false">L235+MAX(D235,M234)</f>
        <v>#N/A</v>
      </c>
      <c r="N235" s="46" t="e">
        <f aca="false">IF((H235=1),M235-D235,0)</f>
        <v>#N/A</v>
      </c>
      <c r="O235" s="29" t="n">
        <v>218</v>
      </c>
      <c r="P235" s="49" t="e">
        <f aca="false">IF((Arterial=0),P234+1,P234)</f>
        <v>#N/A</v>
      </c>
      <c r="Q235" s="49" t="e">
        <f aca="false">IF((Arterial=1),Q234+1,Q234)</f>
        <v>#N/A</v>
      </c>
      <c r="R235" s="50" t="n">
        <f aca="false">IF((RESET=1),0,R235+K235)</f>
        <v>0</v>
      </c>
      <c r="S235" s="19" t="n">
        <f aca="false">IF(RESET=1,0,S235+N235)</f>
        <v>0</v>
      </c>
      <c r="T235" s="0" t="n">
        <f aca="false">IF(RESET=1,0,T235+IF(H235=0,1,0))</f>
        <v>0</v>
      </c>
      <c r="U235" s="0" t="n">
        <f aca="false">IF(RESET=1,0,U235+H235)</f>
        <v>0</v>
      </c>
      <c r="V235" s="19" t="n">
        <f aca="false">R235/(T235+0.00001)</f>
        <v>0</v>
      </c>
      <c r="W235" s="19" t="n">
        <f aca="false">S235/(U235+0.0001)</f>
        <v>0</v>
      </c>
      <c r="X235" s="47" t="e">
        <f aca="false">IF(Informed=1,K235,0)</f>
        <v>#N/A</v>
      </c>
      <c r="Y235" s="47" t="n">
        <f aca="false">IF(Informed=0,K235,0)</f>
        <v>0</v>
      </c>
      <c r="Z235" s="47" t="e">
        <f aca="false">IF(Informed=1,N235,0)</f>
        <v>#N/A</v>
      </c>
      <c r="AA235" s="47" t="n">
        <f aca="false">IF(Informed=0,N235,0)</f>
        <v>0</v>
      </c>
      <c r="AB235" s="51" t="e">
        <f aca="false">IF(Arterial=0,IF(Informed=1,1,0),0)</f>
        <v>#N/A</v>
      </c>
      <c r="AC235" s="51" t="e">
        <f aca="false">IF(Arterial=0,IF(Informed=0,1,0),0)</f>
        <v>#N/A</v>
      </c>
      <c r="AD235" s="51" t="e">
        <f aca="false">IF(Arterial=1,IF(Informed=1,1,0),0)</f>
        <v>#N/A</v>
      </c>
      <c r="AE235" s="51" t="e">
        <f aca="false">IF(Arterial=1,IF(Informed=0,1,0),0)</f>
        <v>#N/A</v>
      </c>
      <c r="AF235" s="44" t="e">
        <f aca="false">IF(AB235=1,(X235-G$1030)^2,0)</f>
        <v>#N/A</v>
      </c>
      <c r="AG235" s="44" t="e">
        <f aca="false">IF(AC235=1,(Y235-H$1030)^2,0)</f>
        <v>#N/A</v>
      </c>
      <c r="AH235" s="44" t="e">
        <f aca="false">IF(AD235=1,(Z235-I$1030)^2,0)</f>
        <v>#N/A</v>
      </c>
      <c r="AI235" s="44" t="e">
        <f aca="false">IF(AE235=1,(AA235-J$1030)^2,0)</f>
        <v>#N/A</v>
      </c>
    </row>
    <row r="236" customFormat="false" ht="12" hidden="false" customHeight="false" outlineLevel="0" collapsed="false">
      <c r="A236" s="29" t="n">
        <v>219</v>
      </c>
      <c r="B236" s="45" t="n">
        <f aca="true">IF(RAND()&lt;$D$8,1,0)</f>
        <v>1</v>
      </c>
      <c r="C236" s="34" t="n">
        <f aca="true">-LN(RAND())/$D$2</f>
        <v>0.298888773091696</v>
      </c>
      <c r="D236" s="46" t="n">
        <f aca="false">D235+C236</f>
        <v>340.143281232051</v>
      </c>
      <c r="E236" s="47" t="e">
        <f aca="false">MAX($D$3,(1+P235-VLOOKUP(VALUE(D236),$J$18:$Q235,7,TRUE()))*$D$3)</f>
        <v>#N/A</v>
      </c>
      <c r="F236" s="47" t="e">
        <f aca="false">MAX($D$4,(1+Q235-VLOOKUP(VALUE(D236),$M$18:$Q235,5,TRUE()))*$D$4)</f>
        <v>#N/A</v>
      </c>
      <c r="G236" s="48" t="n">
        <v>0.5</v>
      </c>
      <c r="H236" s="46" t="e">
        <f aca="true">IF((B236=1),(IF((F236&lt;E236),1,(IF((F236=E236),(IF(RAND()&lt;G236,1,0)),0)))),(IF((RAND()&lt;G236),1,0)))</f>
        <v>#N/A</v>
      </c>
      <c r="I236" s="46" t="e">
        <f aca="true">IF((H236=1),0,$D$3+$D$5*(RAND()-0.5))</f>
        <v>#N/A</v>
      </c>
      <c r="J236" s="46" t="e">
        <f aca="false">I236+MAX(D236,J235)</f>
        <v>#N/A</v>
      </c>
      <c r="K236" s="46" t="e">
        <f aca="false">IF((H236=0),J236-D236,0)</f>
        <v>#N/A</v>
      </c>
      <c r="L236" s="46" t="e">
        <f aca="true">IF(($H236=0),0,$D$4+$D$5*(RAND()-0.5))</f>
        <v>#N/A</v>
      </c>
      <c r="M236" s="46" t="e">
        <f aca="false">L236+MAX(D236,M235)</f>
        <v>#N/A</v>
      </c>
      <c r="N236" s="46" t="e">
        <f aca="false">IF((H236=1),M236-D236,0)</f>
        <v>#N/A</v>
      </c>
      <c r="O236" s="29" t="n">
        <v>219</v>
      </c>
      <c r="P236" s="49" t="e">
        <f aca="false">IF((Arterial=0),P235+1,P235)</f>
        <v>#N/A</v>
      </c>
      <c r="Q236" s="49" t="e">
        <f aca="false">IF((Arterial=1),Q235+1,Q235)</f>
        <v>#N/A</v>
      </c>
      <c r="R236" s="50" t="n">
        <f aca="false">IF((RESET=1),0,R236+K236)</f>
        <v>0</v>
      </c>
      <c r="S236" s="19" t="n">
        <f aca="false">IF(RESET=1,0,S236+N236)</f>
        <v>0</v>
      </c>
      <c r="T236" s="0" t="n">
        <f aca="false">IF(RESET=1,0,T236+IF(H236=0,1,0))</f>
        <v>0</v>
      </c>
      <c r="U236" s="0" t="n">
        <f aca="false">IF(RESET=1,0,U236+H236)</f>
        <v>0</v>
      </c>
      <c r="V236" s="19" t="n">
        <f aca="false">R236/(T236+0.00001)</f>
        <v>0</v>
      </c>
      <c r="W236" s="19" t="n">
        <f aca="false">S236/(U236+0.0001)</f>
        <v>0</v>
      </c>
      <c r="X236" s="47" t="e">
        <f aca="false">IF(Informed=1,K236,0)</f>
        <v>#N/A</v>
      </c>
      <c r="Y236" s="47" t="n">
        <f aca="false">IF(Informed=0,K236,0)</f>
        <v>0</v>
      </c>
      <c r="Z236" s="47" t="e">
        <f aca="false">IF(Informed=1,N236,0)</f>
        <v>#N/A</v>
      </c>
      <c r="AA236" s="47" t="n">
        <f aca="false">IF(Informed=0,N236,0)</f>
        <v>0</v>
      </c>
      <c r="AB236" s="51" t="e">
        <f aca="false">IF(Arterial=0,IF(Informed=1,1,0),0)</f>
        <v>#N/A</v>
      </c>
      <c r="AC236" s="51" t="e">
        <f aca="false">IF(Arterial=0,IF(Informed=0,1,0),0)</f>
        <v>#N/A</v>
      </c>
      <c r="AD236" s="51" t="e">
        <f aca="false">IF(Arterial=1,IF(Informed=1,1,0),0)</f>
        <v>#N/A</v>
      </c>
      <c r="AE236" s="51" t="e">
        <f aca="false">IF(Arterial=1,IF(Informed=0,1,0),0)</f>
        <v>#N/A</v>
      </c>
      <c r="AF236" s="44" t="e">
        <f aca="false">IF(AB236=1,(X236-G$1030)^2,0)</f>
        <v>#N/A</v>
      </c>
      <c r="AG236" s="44" t="e">
        <f aca="false">IF(AC236=1,(Y236-H$1030)^2,0)</f>
        <v>#N/A</v>
      </c>
      <c r="AH236" s="44" t="e">
        <f aca="false">IF(AD236=1,(Z236-I$1030)^2,0)</f>
        <v>#N/A</v>
      </c>
      <c r="AI236" s="44" t="e">
        <f aca="false">IF(AE236=1,(AA236-J$1030)^2,0)</f>
        <v>#N/A</v>
      </c>
    </row>
    <row r="237" customFormat="false" ht="12" hidden="false" customHeight="false" outlineLevel="0" collapsed="false">
      <c r="A237" s="29" t="n">
        <v>220</v>
      </c>
      <c r="B237" s="45" t="n">
        <f aca="true">IF(RAND()&lt;$D$8,1,0)</f>
        <v>1</v>
      </c>
      <c r="C237" s="34" t="n">
        <f aca="true">-LN(RAND())/$D$2</f>
        <v>0.11787197440622</v>
      </c>
      <c r="D237" s="46" t="n">
        <f aca="false">D236+C237</f>
        <v>340.261153206457</v>
      </c>
      <c r="E237" s="47" t="e">
        <f aca="false">MAX($D$3,(1+P236-VLOOKUP(VALUE(D237),$J$18:$Q236,7,TRUE()))*$D$3)</f>
        <v>#N/A</v>
      </c>
      <c r="F237" s="47" t="e">
        <f aca="false">MAX($D$4,(1+Q236-VLOOKUP(VALUE(D237),$M$18:$Q236,5,TRUE()))*$D$4)</f>
        <v>#N/A</v>
      </c>
      <c r="G237" s="48" t="n">
        <v>0.5</v>
      </c>
      <c r="H237" s="46" t="e">
        <f aca="true">IF((B237=1),(IF((F237&lt;E237),1,(IF((F237=E237),(IF(RAND()&lt;G237,1,0)),0)))),(IF((RAND()&lt;G237),1,0)))</f>
        <v>#N/A</v>
      </c>
      <c r="I237" s="46" t="e">
        <f aca="true">IF((H237=1),0,$D$3+$D$5*(RAND()-0.5))</f>
        <v>#N/A</v>
      </c>
      <c r="J237" s="46" t="e">
        <f aca="false">I237+MAX(D237,J236)</f>
        <v>#N/A</v>
      </c>
      <c r="K237" s="46" t="e">
        <f aca="false">IF((H237=0),J237-D237,0)</f>
        <v>#N/A</v>
      </c>
      <c r="L237" s="46" t="e">
        <f aca="true">IF(($H237=0),0,$D$4+$D$5*(RAND()-0.5))</f>
        <v>#N/A</v>
      </c>
      <c r="M237" s="46" t="e">
        <f aca="false">L237+MAX(D237,M236)</f>
        <v>#N/A</v>
      </c>
      <c r="N237" s="46" t="e">
        <f aca="false">IF((H237=1),M237-D237,0)</f>
        <v>#N/A</v>
      </c>
      <c r="O237" s="29" t="n">
        <v>220</v>
      </c>
      <c r="P237" s="49" t="e">
        <f aca="false">IF((Arterial=0),P236+1,P236)</f>
        <v>#N/A</v>
      </c>
      <c r="Q237" s="49" t="e">
        <f aca="false">IF((Arterial=1),Q236+1,Q236)</f>
        <v>#N/A</v>
      </c>
      <c r="R237" s="50" t="n">
        <f aca="false">IF((RESET=1),0,R237+K237)</f>
        <v>0</v>
      </c>
      <c r="S237" s="19" t="n">
        <f aca="false">IF(RESET=1,0,S237+N237)</f>
        <v>0</v>
      </c>
      <c r="T237" s="0" t="n">
        <f aca="false">IF(RESET=1,0,T237+IF(H237=0,1,0))</f>
        <v>0</v>
      </c>
      <c r="U237" s="0" t="n">
        <f aca="false">IF(RESET=1,0,U237+H237)</f>
        <v>0</v>
      </c>
      <c r="V237" s="19" t="n">
        <f aca="false">R237/(T237+0.00001)</f>
        <v>0</v>
      </c>
      <c r="W237" s="19" t="n">
        <f aca="false">S237/(U237+0.0001)</f>
        <v>0</v>
      </c>
      <c r="X237" s="47" t="e">
        <f aca="false">IF(Informed=1,K237,0)</f>
        <v>#N/A</v>
      </c>
      <c r="Y237" s="47" t="n">
        <f aca="false">IF(Informed=0,K237,0)</f>
        <v>0</v>
      </c>
      <c r="Z237" s="47" t="e">
        <f aca="false">IF(Informed=1,N237,0)</f>
        <v>#N/A</v>
      </c>
      <c r="AA237" s="47" t="n">
        <f aca="false">IF(Informed=0,N237,0)</f>
        <v>0</v>
      </c>
      <c r="AB237" s="51" t="e">
        <f aca="false">IF(Arterial=0,IF(Informed=1,1,0),0)</f>
        <v>#N/A</v>
      </c>
      <c r="AC237" s="51" t="e">
        <f aca="false">IF(Arterial=0,IF(Informed=0,1,0),0)</f>
        <v>#N/A</v>
      </c>
      <c r="AD237" s="51" t="e">
        <f aca="false">IF(Arterial=1,IF(Informed=1,1,0),0)</f>
        <v>#N/A</v>
      </c>
      <c r="AE237" s="51" t="e">
        <f aca="false">IF(Arterial=1,IF(Informed=0,1,0),0)</f>
        <v>#N/A</v>
      </c>
      <c r="AF237" s="44" t="e">
        <f aca="false">IF(AB237=1,(X237-G$1030)^2,0)</f>
        <v>#N/A</v>
      </c>
      <c r="AG237" s="44" t="e">
        <f aca="false">IF(AC237=1,(Y237-H$1030)^2,0)</f>
        <v>#N/A</v>
      </c>
      <c r="AH237" s="44" t="e">
        <f aca="false">IF(AD237=1,(Z237-I$1030)^2,0)</f>
        <v>#N/A</v>
      </c>
      <c r="AI237" s="44" t="e">
        <f aca="false">IF(AE237=1,(AA237-J$1030)^2,0)</f>
        <v>#N/A</v>
      </c>
    </row>
    <row r="238" customFormat="false" ht="12" hidden="false" customHeight="false" outlineLevel="0" collapsed="false">
      <c r="A238" s="29" t="n">
        <v>221</v>
      </c>
      <c r="B238" s="45" t="n">
        <f aca="true">IF(RAND()&lt;$D$8,1,0)</f>
        <v>1</v>
      </c>
      <c r="C238" s="34" t="n">
        <f aca="true">-LN(RAND())/$D$2</f>
        <v>0.740201259740671</v>
      </c>
      <c r="D238" s="46" t="n">
        <f aca="false">D237+C238</f>
        <v>341.001354466198</v>
      </c>
      <c r="E238" s="47" t="e">
        <f aca="false">MAX($D$3,(1+P237-VLOOKUP(VALUE(D238),$J$18:$Q237,7,TRUE()))*$D$3)</f>
        <v>#N/A</v>
      </c>
      <c r="F238" s="47" t="e">
        <f aca="false">MAX($D$4,(1+Q237-VLOOKUP(VALUE(D238),$M$18:$Q237,5,TRUE()))*$D$4)</f>
        <v>#N/A</v>
      </c>
      <c r="G238" s="48" t="n">
        <v>0.5</v>
      </c>
      <c r="H238" s="46" t="e">
        <f aca="true">IF((B238=1),(IF((F238&lt;E238),1,(IF((F238=E238),(IF(RAND()&lt;G238,1,0)),0)))),(IF((RAND()&lt;G238),1,0)))</f>
        <v>#N/A</v>
      </c>
      <c r="I238" s="46" t="e">
        <f aca="true">IF((H238=1),0,$D$3+$D$5*(RAND()-0.5))</f>
        <v>#N/A</v>
      </c>
      <c r="J238" s="46" t="e">
        <f aca="false">I238+MAX(D238,J237)</f>
        <v>#N/A</v>
      </c>
      <c r="K238" s="46" t="e">
        <f aca="false">IF((H238=0),J238-D238,0)</f>
        <v>#N/A</v>
      </c>
      <c r="L238" s="46" t="e">
        <f aca="true">IF(($H238=0),0,$D$4+$D$5*(RAND()-0.5))</f>
        <v>#N/A</v>
      </c>
      <c r="M238" s="46" t="e">
        <f aca="false">L238+MAX(D238,M237)</f>
        <v>#N/A</v>
      </c>
      <c r="N238" s="46" t="e">
        <f aca="false">IF((H238=1),M238-D238,0)</f>
        <v>#N/A</v>
      </c>
      <c r="O238" s="29" t="n">
        <v>221</v>
      </c>
      <c r="P238" s="49" t="e">
        <f aca="false">IF((Arterial=0),P237+1,P237)</f>
        <v>#N/A</v>
      </c>
      <c r="Q238" s="49" t="e">
        <f aca="false">IF((Arterial=1),Q237+1,Q237)</f>
        <v>#N/A</v>
      </c>
      <c r="R238" s="50" t="n">
        <f aca="false">IF((RESET=1),0,R238+K238)</f>
        <v>0</v>
      </c>
      <c r="S238" s="19" t="n">
        <f aca="false">IF(RESET=1,0,S238+N238)</f>
        <v>0</v>
      </c>
      <c r="T238" s="0" t="n">
        <f aca="false">IF(RESET=1,0,T238+IF(H238=0,1,0))</f>
        <v>0</v>
      </c>
      <c r="U238" s="0" t="n">
        <f aca="false">IF(RESET=1,0,U238+H238)</f>
        <v>0</v>
      </c>
      <c r="V238" s="19" t="n">
        <f aca="false">R238/(T238+0.00001)</f>
        <v>0</v>
      </c>
      <c r="W238" s="19" t="n">
        <f aca="false">S238/(U238+0.0001)</f>
        <v>0</v>
      </c>
      <c r="X238" s="47" t="e">
        <f aca="false">IF(Informed=1,K238,0)</f>
        <v>#N/A</v>
      </c>
      <c r="Y238" s="47" t="n">
        <f aca="false">IF(Informed=0,K238,0)</f>
        <v>0</v>
      </c>
      <c r="Z238" s="47" t="e">
        <f aca="false">IF(Informed=1,N238,0)</f>
        <v>#N/A</v>
      </c>
      <c r="AA238" s="47" t="n">
        <f aca="false">IF(Informed=0,N238,0)</f>
        <v>0</v>
      </c>
      <c r="AB238" s="51" t="e">
        <f aca="false">IF(Arterial=0,IF(Informed=1,1,0),0)</f>
        <v>#N/A</v>
      </c>
      <c r="AC238" s="51" t="e">
        <f aca="false">IF(Arterial=0,IF(Informed=0,1,0),0)</f>
        <v>#N/A</v>
      </c>
      <c r="AD238" s="51" t="e">
        <f aca="false">IF(Arterial=1,IF(Informed=1,1,0),0)</f>
        <v>#N/A</v>
      </c>
      <c r="AE238" s="51" t="e">
        <f aca="false">IF(Arterial=1,IF(Informed=0,1,0),0)</f>
        <v>#N/A</v>
      </c>
      <c r="AF238" s="44" t="e">
        <f aca="false">IF(AB238=1,(X238-G$1030)^2,0)</f>
        <v>#N/A</v>
      </c>
      <c r="AG238" s="44" t="e">
        <f aca="false">IF(AC238=1,(Y238-H$1030)^2,0)</f>
        <v>#N/A</v>
      </c>
      <c r="AH238" s="44" t="e">
        <f aca="false">IF(AD238=1,(Z238-I$1030)^2,0)</f>
        <v>#N/A</v>
      </c>
      <c r="AI238" s="44" t="e">
        <f aca="false">IF(AE238=1,(AA238-J$1030)^2,0)</f>
        <v>#N/A</v>
      </c>
    </row>
    <row r="239" customFormat="false" ht="12" hidden="false" customHeight="false" outlineLevel="0" collapsed="false">
      <c r="A239" s="29" t="n">
        <v>222</v>
      </c>
      <c r="B239" s="45" t="n">
        <f aca="true">IF(RAND()&lt;$D$8,1,0)</f>
        <v>1</v>
      </c>
      <c r="C239" s="34" t="n">
        <f aca="true">-LN(RAND())/$D$2</f>
        <v>4.67979630059101</v>
      </c>
      <c r="D239" s="46" t="n">
        <f aca="false">D238+C239</f>
        <v>345.681150766789</v>
      </c>
      <c r="E239" s="47" t="e">
        <f aca="false">MAX($D$3,(1+P238-VLOOKUP(VALUE(D239),$J$18:$Q238,7,TRUE()))*$D$3)</f>
        <v>#N/A</v>
      </c>
      <c r="F239" s="47" t="e">
        <f aca="false">MAX($D$4,(1+Q238-VLOOKUP(VALUE(D239),$M$18:$Q238,5,TRUE()))*$D$4)</f>
        <v>#N/A</v>
      </c>
      <c r="G239" s="48" t="n">
        <v>0.5</v>
      </c>
      <c r="H239" s="46" t="e">
        <f aca="true">IF((B239=1),(IF((F239&lt;E239),1,(IF((F239=E239),(IF(RAND()&lt;G239,1,0)),0)))),(IF((RAND()&lt;G239),1,0)))</f>
        <v>#N/A</v>
      </c>
      <c r="I239" s="46" t="e">
        <f aca="true">IF((H239=1),0,$D$3+$D$5*(RAND()-0.5))</f>
        <v>#N/A</v>
      </c>
      <c r="J239" s="46" t="e">
        <f aca="false">I239+MAX(D239,J238)</f>
        <v>#N/A</v>
      </c>
      <c r="K239" s="46" t="e">
        <f aca="false">IF((H239=0),J239-D239,0)</f>
        <v>#N/A</v>
      </c>
      <c r="L239" s="46" t="e">
        <f aca="true">IF(($H239=0),0,$D$4+$D$5*(RAND()-0.5))</f>
        <v>#N/A</v>
      </c>
      <c r="M239" s="46" t="e">
        <f aca="false">L239+MAX(D239,M238)</f>
        <v>#N/A</v>
      </c>
      <c r="N239" s="46" t="e">
        <f aca="false">IF((H239=1),M239-D239,0)</f>
        <v>#N/A</v>
      </c>
      <c r="O239" s="29" t="n">
        <v>222</v>
      </c>
      <c r="P239" s="49" t="e">
        <f aca="false">IF((Arterial=0),P238+1,P238)</f>
        <v>#N/A</v>
      </c>
      <c r="Q239" s="49" t="e">
        <f aca="false">IF((Arterial=1),Q238+1,Q238)</f>
        <v>#N/A</v>
      </c>
      <c r="R239" s="50" t="n">
        <f aca="false">IF((RESET=1),0,R239+K239)</f>
        <v>0</v>
      </c>
      <c r="S239" s="19" t="n">
        <f aca="false">IF(RESET=1,0,S239+N239)</f>
        <v>0</v>
      </c>
      <c r="T239" s="0" t="n">
        <f aca="false">IF(RESET=1,0,T239+IF(H239=0,1,0))</f>
        <v>0</v>
      </c>
      <c r="U239" s="0" t="n">
        <f aca="false">IF(RESET=1,0,U239+H239)</f>
        <v>0</v>
      </c>
      <c r="V239" s="19" t="n">
        <f aca="false">R239/(T239+0.00001)</f>
        <v>0</v>
      </c>
      <c r="W239" s="19" t="n">
        <f aca="false">S239/(U239+0.0001)</f>
        <v>0</v>
      </c>
      <c r="X239" s="47" t="e">
        <f aca="false">IF(Informed=1,K239,0)</f>
        <v>#N/A</v>
      </c>
      <c r="Y239" s="47" t="n">
        <f aca="false">IF(Informed=0,K239,0)</f>
        <v>0</v>
      </c>
      <c r="Z239" s="47" t="e">
        <f aca="false">IF(Informed=1,N239,0)</f>
        <v>#N/A</v>
      </c>
      <c r="AA239" s="47" t="n">
        <f aca="false">IF(Informed=0,N239,0)</f>
        <v>0</v>
      </c>
      <c r="AB239" s="51" t="e">
        <f aca="false">IF(Arterial=0,IF(Informed=1,1,0),0)</f>
        <v>#N/A</v>
      </c>
      <c r="AC239" s="51" t="e">
        <f aca="false">IF(Arterial=0,IF(Informed=0,1,0),0)</f>
        <v>#N/A</v>
      </c>
      <c r="AD239" s="51" t="e">
        <f aca="false">IF(Arterial=1,IF(Informed=1,1,0),0)</f>
        <v>#N/A</v>
      </c>
      <c r="AE239" s="51" t="e">
        <f aca="false">IF(Arterial=1,IF(Informed=0,1,0),0)</f>
        <v>#N/A</v>
      </c>
      <c r="AF239" s="44" t="e">
        <f aca="false">IF(AB239=1,(X239-G$1030)^2,0)</f>
        <v>#N/A</v>
      </c>
      <c r="AG239" s="44" t="e">
        <f aca="false">IF(AC239=1,(Y239-H$1030)^2,0)</f>
        <v>#N/A</v>
      </c>
      <c r="AH239" s="44" t="e">
        <f aca="false">IF(AD239=1,(Z239-I$1030)^2,0)</f>
        <v>#N/A</v>
      </c>
      <c r="AI239" s="44" t="e">
        <f aca="false">IF(AE239=1,(AA239-J$1030)^2,0)</f>
        <v>#N/A</v>
      </c>
    </row>
    <row r="240" customFormat="false" ht="12" hidden="false" customHeight="false" outlineLevel="0" collapsed="false">
      <c r="A240" s="29" t="n">
        <v>223</v>
      </c>
      <c r="B240" s="45" t="n">
        <f aca="true">IF(RAND()&lt;$D$8,1,0)</f>
        <v>1</v>
      </c>
      <c r="C240" s="34" t="n">
        <f aca="true">-LN(RAND())/$D$2</f>
        <v>0.958207617610043</v>
      </c>
      <c r="D240" s="46" t="n">
        <f aca="false">D239+C240</f>
        <v>346.639358384399</v>
      </c>
      <c r="E240" s="47" t="e">
        <f aca="false">MAX($D$3,(1+P239-VLOOKUP(VALUE(D240),$J$18:$Q239,7,TRUE()))*$D$3)</f>
        <v>#N/A</v>
      </c>
      <c r="F240" s="47" t="e">
        <f aca="false">MAX($D$4,(1+Q239-VLOOKUP(VALUE(D240),$M$18:$Q239,5,TRUE()))*$D$4)</f>
        <v>#N/A</v>
      </c>
      <c r="G240" s="48" t="n">
        <v>0.5</v>
      </c>
      <c r="H240" s="46" t="e">
        <f aca="true">IF((B240=1),(IF((F240&lt;E240),1,(IF((F240=E240),(IF(RAND()&lt;G240,1,0)),0)))),(IF((RAND()&lt;G240),1,0)))</f>
        <v>#N/A</v>
      </c>
      <c r="I240" s="46" t="e">
        <f aca="true">IF((H240=1),0,$D$3+$D$5*(RAND()-0.5))</f>
        <v>#N/A</v>
      </c>
      <c r="J240" s="46" t="e">
        <f aca="false">I240+MAX(D240,J239)</f>
        <v>#N/A</v>
      </c>
      <c r="K240" s="46" t="e">
        <f aca="false">IF((H240=0),J240-D240,0)</f>
        <v>#N/A</v>
      </c>
      <c r="L240" s="46" t="e">
        <f aca="true">IF(($H240=0),0,$D$4+$D$5*(RAND()-0.5))</f>
        <v>#N/A</v>
      </c>
      <c r="M240" s="46" t="e">
        <f aca="false">L240+MAX(D240,M239)</f>
        <v>#N/A</v>
      </c>
      <c r="N240" s="46" t="e">
        <f aca="false">IF((H240=1),M240-D240,0)</f>
        <v>#N/A</v>
      </c>
      <c r="O240" s="29" t="n">
        <v>223</v>
      </c>
      <c r="P240" s="49" t="e">
        <f aca="false">IF((Arterial=0),P239+1,P239)</f>
        <v>#N/A</v>
      </c>
      <c r="Q240" s="49" t="e">
        <f aca="false">IF((Arterial=1),Q239+1,Q239)</f>
        <v>#N/A</v>
      </c>
      <c r="R240" s="50" t="n">
        <f aca="false">IF((RESET=1),0,R240+K240)</f>
        <v>0</v>
      </c>
      <c r="S240" s="19" t="n">
        <f aca="false">IF(RESET=1,0,S240+N240)</f>
        <v>0</v>
      </c>
      <c r="T240" s="0" t="n">
        <f aca="false">IF(RESET=1,0,T240+IF(H240=0,1,0))</f>
        <v>0</v>
      </c>
      <c r="U240" s="0" t="n">
        <f aca="false">IF(RESET=1,0,U240+H240)</f>
        <v>0</v>
      </c>
      <c r="V240" s="19" t="n">
        <f aca="false">R240/(T240+0.00001)</f>
        <v>0</v>
      </c>
      <c r="W240" s="19" t="n">
        <f aca="false">S240/(U240+0.0001)</f>
        <v>0</v>
      </c>
      <c r="X240" s="47" t="e">
        <f aca="false">IF(Informed=1,K240,0)</f>
        <v>#N/A</v>
      </c>
      <c r="Y240" s="47" t="n">
        <f aca="false">IF(Informed=0,K240,0)</f>
        <v>0</v>
      </c>
      <c r="Z240" s="47" t="e">
        <f aca="false">IF(Informed=1,N240,0)</f>
        <v>#N/A</v>
      </c>
      <c r="AA240" s="47" t="n">
        <f aca="false">IF(Informed=0,N240,0)</f>
        <v>0</v>
      </c>
      <c r="AB240" s="51" t="e">
        <f aca="false">IF(Arterial=0,IF(Informed=1,1,0),0)</f>
        <v>#N/A</v>
      </c>
      <c r="AC240" s="51" t="e">
        <f aca="false">IF(Arterial=0,IF(Informed=0,1,0),0)</f>
        <v>#N/A</v>
      </c>
      <c r="AD240" s="51" t="e">
        <f aca="false">IF(Arterial=1,IF(Informed=1,1,0),0)</f>
        <v>#N/A</v>
      </c>
      <c r="AE240" s="51" t="e">
        <f aca="false">IF(Arterial=1,IF(Informed=0,1,0),0)</f>
        <v>#N/A</v>
      </c>
      <c r="AF240" s="44" t="e">
        <f aca="false">IF(AB240=1,(X240-G$1030)^2,0)</f>
        <v>#N/A</v>
      </c>
      <c r="AG240" s="44" t="e">
        <f aca="false">IF(AC240=1,(Y240-H$1030)^2,0)</f>
        <v>#N/A</v>
      </c>
      <c r="AH240" s="44" t="e">
        <f aca="false">IF(AD240=1,(Z240-I$1030)^2,0)</f>
        <v>#N/A</v>
      </c>
      <c r="AI240" s="44" t="e">
        <f aca="false">IF(AE240=1,(AA240-J$1030)^2,0)</f>
        <v>#N/A</v>
      </c>
    </row>
    <row r="241" customFormat="false" ht="12" hidden="false" customHeight="false" outlineLevel="0" collapsed="false">
      <c r="A241" s="29" t="n">
        <v>224</v>
      </c>
      <c r="B241" s="45" t="n">
        <f aca="true">IF(RAND()&lt;$D$8,1,0)</f>
        <v>1</v>
      </c>
      <c r="C241" s="34" t="n">
        <f aca="true">-LN(RAND())/$D$2</f>
        <v>2.01701075973793</v>
      </c>
      <c r="D241" s="46" t="n">
        <f aca="false">D240+C241</f>
        <v>348.656369144137</v>
      </c>
      <c r="E241" s="47" t="e">
        <f aca="false">MAX($D$3,(1+P240-VLOOKUP(VALUE(D241),$J$18:$Q240,7,TRUE()))*$D$3)</f>
        <v>#N/A</v>
      </c>
      <c r="F241" s="47" t="e">
        <f aca="false">MAX($D$4,(1+Q240-VLOOKUP(VALUE(D241),$M$18:$Q240,5,TRUE()))*$D$4)</f>
        <v>#N/A</v>
      </c>
      <c r="G241" s="48" t="n">
        <v>0.5</v>
      </c>
      <c r="H241" s="46" t="e">
        <f aca="true">IF((B241=1),(IF((F241&lt;E241),1,(IF((F241=E241),(IF(RAND()&lt;G241,1,0)),0)))),(IF((RAND()&lt;G241),1,0)))</f>
        <v>#N/A</v>
      </c>
      <c r="I241" s="46" t="e">
        <f aca="true">IF((H241=1),0,$D$3+$D$5*(RAND()-0.5))</f>
        <v>#N/A</v>
      </c>
      <c r="J241" s="46" t="e">
        <f aca="false">I241+MAX(D241,J240)</f>
        <v>#N/A</v>
      </c>
      <c r="K241" s="46" t="e">
        <f aca="false">IF((H241=0),J241-D241,0)</f>
        <v>#N/A</v>
      </c>
      <c r="L241" s="46" t="e">
        <f aca="true">IF(($H241=0),0,$D$4+$D$5*(RAND()-0.5))</f>
        <v>#N/A</v>
      </c>
      <c r="M241" s="46" t="e">
        <f aca="false">L241+MAX(D241,M240)</f>
        <v>#N/A</v>
      </c>
      <c r="N241" s="46" t="e">
        <f aca="false">IF((H241=1),M241-D241,0)</f>
        <v>#N/A</v>
      </c>
      <c r="O241" s="29" t="n">
        <v>224</v>
      </c>
      <c r="P241" s="49" t="e">
        <f aca="false">IF((Arterial=0),P240+1,P240)</f>
        <v>#N/A</v>
      </c>
      <c r="Q241" s="49" t="e">
        <f aca="false">IF((Arterial=1),Q240+1,Q240)</f>
        <v>#N/A</v>
      </c>
      <c r="R241" s="50" t="n">
        <f aca="false">IF((RESET=1),0,R241+K241)</f>
        <v>0</v>
      </c>
      <c r="S241" s="19" t="n">
        <f aca="false">IF(RESET=1,0,S241+N241)</f>
        <v>0</v>
      </c>
      <c r="T241" s="0" t="n">
        <f aca="false">IF(RESET=1,0,T241+IF(H241=0,1,0))</f>
        <v>0</v>
      </c>
      <c r="U241" s="0" t="n">
        <f aca="false">IF(RESET=1,0,U241+H241)</f>
        <v>0</v>
      </c>
      <c r="V241" s="19" t="n">
        <f aca="false">R241/(T241+0.00001)</f>
        <v>0</v>
      </c>
      <c r="W241" s="19" t="n">
        <f aca="false">S241/(U241+0.0001)</f>
        <v>0</v>
      </c>
      <c r="X241" s="47" t="e">
        <f aca="false">IF(Informed=1,K241,0)</f>
        <v>#N/A</v>
      </c>
      <c r="Y241" s="47" t="n">
        <f aca="false">IF(Informed=0,K241,0)</f>
        <v>0</v>
      </c>
      <c r="Z241" s="47" t="e">
        <f aca="false">IF(Informed=1,N241,0)</f>
        <v>#N/A</v>
      </c>
      <c r="AA241" s="47" t="n">
        <f aca="false">IF(Informed=0,N241,0)</f>
        <v>0</v>
      </c>
      <c r="AB241" s="51" t="e">
        <f aca="false">IF(Arterial=0,IF(Informed=1,1,0),0)</f>
        <v>#N/A</v>
      </c>
      <c r="AC241" s="51" t="e">
        <f aca="false">IF(Arterial=0,IF(Informed=0,1,0),0)</f>
        <v>#N/A</v>
      </c>
      <c r="AD241" s="51" t="e">
        <f aca="false">IF(Arterial=1,IF(Informed=1,1,0),0)</f>
        <v>#N/A</v>
      </c>
      <c r="AE241" s="51" t="e">
        <f aca="false">IF(Arterial=1,IF(Informed=0,1,0),0)</f>
        <v>#N/A</v>
      </c>
      <c r="AF241" s="44" t="e">
        <f aca="false">IF(AB241=1,(X241-G$1030)^2,0)</f>
        <v>#N/A</v>
      </c>
      <c r="AG241" s="44" t="e">
        <f aca="false">IF(AC241=1,(Y241-H$1030)^2,0)</f>
        <v>#N/A</v>
      </c>
      <c r="AH241" s="44" t="e">
        <f aca="false">IF(AD241=1,(Z241-I$1030)^2,0)</f>
        <v>#N/A</v>
      </c>
      <c r="AI241" s="44" t="e">
        <f aca="false">IF(AE241=1,(AA241-J$1030)^2,0)</f>
        <v>#N/A</v>
      </c>
    </row>
    <row r="242" customFormat="false" ht="12" hidden="false" customHeight="false" outlineLevel="0" collapsed="false">
      <c r="A242" s="29" t="n">
        <v>225</v>
      </c>
      <c r="B242" s="45" t="n">
        <f aca="true">IF(RAND()&lt;$D$8,1,0)</f>
        <v>1</v>
      </c>
      <c r="C242" s="34" t="n">
        <f aca="true">-LN(RAND())/$D$2</f>
        <v>1.14210626373272</v>
      </c>
      <c r="D242" s="46" t="n">
        <f aca="false">D241+C242</f>
        <v>349.79847540787</v>
      </c>
      <c r="E242" s="47" t="e">
        <f aca="false">MAX($D$3,(1+P241-VLOOKUP(VALUE(D242),$J$18:$Q241,7,TRUE()))*$D$3)</f>
        <v>#N/A</v>
      </c>
      <c r="F242" s="47" t="e">
        <f aca="false">MAX($D$4,(1+Q241-VLOOKUP(VALUE(D242),$M$18:$Q241,5,TRUE()))*$D$4)</f>
        <v>#N/A</v>
      </c>
      <c r="G242" s="48" t="n">
        <v>0.5</v>
      </c>
      <c r="H242" s="46" t="e">
        <f aca="true">IF((B242=1),(IF((F242&lt;E242),1,(IF((F242=E242),(IF(RAND()&lt;G242,1,0)),0)))),(IF((RAND()&lt;G242),1,0)))</f>
        <v>#N/A</v>
      </c>
      <c r="I242" s="46" t="e">
        <f aca="true">IF((H242=1),0,$D$3+$D$5*(RAND()-0.5))</f>
        <v>#N/A</v>
      </c>
      <c r="J242" s="46" t="e">
        <f aca="false">I242+MAX(D242,J241)</f>
        <v>#N/A</v>
      </c>
      <c r="K242" s="46" t="e">
        <f aca="false">IF((H242=0),J242-D242,0)</f>
        <v>#N/A</v>
      </c>
      <c r="L242" s="46" t="e">
        <f aca="true">IF(($H242=0),0,$D$4+$D$5*(RAND()-0.5))</f>
        <v>#N/A</v>
      </c>
      <c r="M242" s="46" t="e">
        <f aca="false">L242+MAX(D242,M241)</f>
        <v>#N/A</v>
      </c>
      <c r="N242" s="46" t="e">
        <f aca="false">IF((H242=1),M242-D242,0)</f>
        <v>#N/A</v>
      </c>
      <c r="O242" s="29" t="n">
        <v>225</v>
      </c>
      <c r="P242" s="49" t="e">
        <f aca="false">IF((Arterial=0),P241+1,P241)</f>
        <v>#N/A</v>
      </c>
      <c r="Q242" s="49" t="e">
        <f aca="false">IF((Arterial=1),Q241+1,Q241)</f>
        <v>#N/A</v>
      </c>
      <c r="R242" s="50" t="n">
        <f aca="false">IF((RESET=1),0,R242+K242)</f>
        <v>0</v>
      </c>
      <c r="S242" s="19" t="n">
        <f aca="false">IF(RESET=1,0,S242+N242)</f>
        <v>0</v>
      </c>
      <c r="T242" s="0" t="n">
        <f aca="false">IF(RESET=1,0,T242+IF(H242=0,1,0))</f>
        <v>0</v>
      </c>
      <c r="U242" s="0" t="n">
        <f aca="false">IF(RESET=1,0,U242+H242)</f>
        <v>0</v>
      </c>
      <c r="V242" s="19" t="n">
        <f aca="false">R242/(T242+0.00001)</f>
        <v>0</v>
      </c>
      <c r="W242" s="19" t="n">
        <f aca="false">S242/(U242+0.0001)</f>
        <v>0</v>
      </c>
      <c r="X242" s="47" t="e">
        <f aca="false">IF(Informed=1,K242,0)</f>
        <v>#N/A</v>
      </c>
      <c r="Y242" s="47" t="n">
        <f aca="false">IF(Informed=0,K242,0)</f>
        <v>0</v>
      </c>
      <c r="Z242" s="47" t="e">
        <f aca="false">IF(Informed=1,N242,0)</f>
        <v>#N/A</v>
      </c>
      <c r="AA242" s="47" t="n">
        <f aca="false">IF(Informed=0,N242,0)</f>
        <v>0</v>
      </c>
      <c r="AB242" s="51" t="e">
        <f aca="false">IF(Arterial=0,IF(Informed=1,1,0),0)</f>
        <v>#N/A</v>
      </c>
      <c r="AC242" s="51" t="e">
        <f aca="false">IF(Arterial=0,IF(Informed=0,1,0),0)</f>
        <v>#N/A</v>
      </c>
      <c r="AD242" s="51" t="e">
        <f aca="false">IF(Arterial=1,IF(Informed=1,1,0),0)</f>
        <v>#N/A</v>
      </c>
      <c r="AE242" s="51" t="e">
        <f aca="false">IF(Arterial=1,IF(Informed=0,1,0),0)</f>
        <v>#N/A</v>
      </c>
      <c r="AF242" s="44" t="e">
        <f aca="false">IF(AB242=1,(X242-G$1030)^2,0)</f>
        <v>#N/A</v>
      </c>
      <c r="AG242" s="44" t="e">
        <f aca="false">IF(AC242=1,(Y242-H$1030)^2,0)</f>
        <v>#N/A</v>
      </c>
      <c r="AH242" s="44" t="e">
        <f aca="false">IF(AD242=1,(Z242-I$1030)^2,0)</f>
        <v>#N/A</v>
      </c>
      <c r="AI242" s="44" t="e">
        <f aca="false">IF(AE242=1,(AA242-J$1030)^2,0)</f>
        <v>#N/A</v>
      </c>
    </row>
    <row r="243" customFormat="false" ht="12" hidden="false" customHeight="false" outlineLevel="0" collapsed="false">
      <c r="A243" s="29" t="n">
        <v>226</v>
      </c>
      <c r="B243" s="45" t="n">
        <f aca="true">IF(RAND()&lt;$D$8,1,0)</f>
        <v>1</v>
      </c>
      <c r="C243" s="34" t="n">
        <f aca="true">-LN(RAND())/$D$2</f>
        <v>2.68855027457218</v>
      </c>
      <c r="D243" s="46" t="n">
        <f aca="false">D242+C243</f>
        <v>352.487025682442</v>
      </c>
      <c r="E243" s="47" t="e">
        <f aca="false">MAX($D$3,(1+P242-VLOOKUP(VALUE(D243),$J$18:$Q242,7,TRUE()))*$D$3)</f>
        <v>#N/A</v>
      </c>
      <c r="F243" s="47" t="e">
        <f aca="false">MAX($D$4,(1+Q242-VLOOKUP(VALUE(D243),$M$18:$Q242,5,TRUE()))*$D$4)</f>
        <v>#N/A</v>
      </c>
      <c r="G243" s="48" t="n">
        <v>0.5</v>
      </c>
      <c r="H243" s="46" t="e">
        <f aca="true">IF((B243=1),(IF((F243&lt;E243),1,(IF((F243=E243),(IF(RAND()&lt;G243,1,0)),0)))),(IF((RAND()&lt;G243),1,0)))</f>
        <v>#N/A</v>
      </c>
      <c r="I243" s="46" t="e">
        <f aca="true">IF((H243=1),0,$D$3+$D$5*(RAND()-0.5))</f>
        <v>#N/A</v>
      </c>
      <c r="J243" s="46" t="e">
        <f aca="false">I243+MAX(D243,J242)</f>
        <v>#N/A</v>
      </c>
      <c r="K243" s="46" t="e">
        <f aca="false">IF((H243=0),J243-D243,0)</f>
        <v>#N/A</v>
      </c>
      <c r="L243" s="46" t="e">
        <f aca="true">IF(($H243=0),0,$D$4+$D$5*(RAND()-0.5))</f>
        <v>#N/A</v>
      </c>
      <c r="M243" s="46" t="e">
        <f aca="false">L243+MAX(D243,M242)</f>
        <v>#N/A</v>
      </c>
      <c r="N243" s="46" t="e">
        <f aca="false">IF((H243=1),M243-D243,0)</f>
        <v>#N/A</v>
      </c>
      <c r="O243" s="29" t="n">
        <v>226</v>
      </c>
      <c r="P243" s="49" t="e">
        <f aca="false">IF((Arterial=0),P242+1,P242)</f>
        <v>#N/A</v>
      </c>
      <c r="Q243" s="49" t="e">
        <f aca="false">IF((Arterial=1),Q242+1,Q242)</f>
        <v>#N/A</v>
      </c>
      <c r="R243" s="50" t="n">
        <f aca="false">IF((RESET=1),0,R243+K243)</f>
        <v>0</v>
      </c>
      <c r="S243" s="19" t="n">
        <f aca="false">IF(RESET=1,0,S243+N243)</f>
        <v>0</v>
      </c>
      <c r="T243" s="0" t="n">
        <f aca="false">IF(RESET=1,0,T243+IF(H243=0,1,0))</f>
        <v>0</v>
      </c>
      <c r="U243" s="0" t="n">
        <f aca="false">IF(RESET=1,0,U243+H243)</f>
        <v>0</v>
      </c>
      <c r="V243" s="19" t="n">
        <f aca="false">R243/(T243+0.00001)</f>
        <v>0</v>
      </c>
      <c r="W243" s="19" t="n">
        <f aca="false">S243/(U243+0.0001)</f>
        <v>0</v>
      </c>
      <c r="X243" s="47" t="e">
        <f aca="false">IF(Informed=1,K243,0)</f>
        <v>#N/A</v>
      </c>
      <c r="Y243" s="47" t="n">
        <f aca="false">IF(Informed=0,K243,0)</f>
        <v>0</v>
      </c>
      <c r="Z243" s="47" t="e">
        <f aca="false">IF(Informed=1,N243,0)</f>
        <v>#N/A</v>
      </c>
      <c r="AA243" s="47" t="n">
        <f aca="false">IF(Informed=0,N243,0)</f>
        <v>0</v>
      </c>
      <c r="AB243" s="51" t="e">
        <f aca="false">IF(Arterial=0,IF(Informed=1,1,0),0)</f>
        <v>#N/A</v>
      </c>
      <c r="AC243" s="51" t="e">
        <f aca="false">IF(Arterial=0,IF(Informed=0,1,0),0)</f>
        <v>#N/A</v>
      </c>
      <c r="AD243" s="51" t="e">
        <f aca="false">IF(Arterial=1,IF(Informed=1,1,0),0)</f>
        <v>#N/A</v>
      </c>
      <c r="AE243" s="51" t="e">
        <f aca="false">IF(Arterial=1,IF(Informed=0,1,0),0)</f>
        <v>#N/A</v>
      </c>
      <c r="AF243" s="44" t="e">
        <f aca="false">IF(AB243=1,(X243-G$1030)^2,0)</f>
        <v>#N/A</v>
      </c>
      <c r="AG243" s="44" t="e">
        <f aca="false">IF(AC243=1,(Y243-H$1030)^2,0)</f>
        <v>#N/A</v>
      </c>
      <c r="AH243" s="44" t="e">
        <f aca="false">IF(AD243=1,(Z243-I$1030)^2,0)</f>
        <v>#N/A</v>
      </c>
      <c r="AI243" s="44" t="e">
        <f aca="false">IF(AE243=1,(AA243-J$1030)^2,0)</f>
        <v>#N/A</v>
      </c>
    </row>
    <row r="244" customFormat="false" ht="12" hidden="false" customHeight="false" outlineLevel="0" collapsed="false">
      <c r="A244" s="29" t="n">
        <v>227</v>
      </c>
      <c r="B244" s="45" t="n">
        <f aca="true">IF(RAND()&lt;$D$8,1,0)</f>
        <v>1</v>
      </c>
      <c r="C244" s="34" t="n">
        <f aca="true">-LN(RAND())/$D$2</f>
        <v>2.07951751283635</v>
      </c>
      <c r="D244" s="46" t="n">
        <f aca="false">D243+C244</f>
        <v>354.566543195278</v>
      </c>
      <c r="E244" s="47" t="e">
        <f aca="false">MAX($D$3,(1+P243-VLOOKUP(VALUE(D244),$J$18:$Q243,7,TRUE()))*$D$3)</f>
        <v>#N/A</v>
      </c>
      <c r="F244" s="47" t="e">
        <f aca="false">MAX($D$4,(1+Q243-VLOOKUP(VALUE(D244),$M$18:$Q243,5,TRUE()))*$D$4)</f>
        <v>#N/A</v>
      </c>
      <c r="G244" s="48" t="n">
        <v>0.5</v>
      </c>
      <c r="H244" s="46" t="e">
        <f aca="true">IF((B244=1),(IF((F244&lt;E244),1,(IF((F244=E244),(IF(RAND()&lt;G244,1,0)),0)))),(IF((RAND()&lt;G244),1,0)))</f>
        <v>#N/A</v>
      </c>
      <c r="I244" s="46" t="e">
        <f aca="true">IF((H244=1),0,$D$3+$D$5*(RAND()-0.5))</f>
        <v>#N/A</v>
      </c>
      <c r="J244" s="46" t="e">
        <f aca="false">I244+MAX(D244,J243)</f>
        <v>#N/A</v>
      </c>
      <c r="K244" s="46" t="e">
        <f aca="false">IF((H244=0),J244-D244,0)</f>
        <v>#N/A</v>
      </c>
      <c r="L244" s="46" t="e">
        <f aca="true">IF(($H244=0),0,$D$4+$D$5*(RAND()-0.5))</f>
        <v>#N/A</v>
      </c>
      <c r="M244" s="46" t="e">
        <f aca="false">L244+MAX(D244,M243)</f>
        <v>#N/A</v>
      </c>
      <c r="N244" s="46" t="e">
        <f aca="false">IF((H244=1),M244-D244,0)</f>
        <v>#N/A</v>
      </c>
      <c r="O244" s="29" t="n">
        <v>227</v>
      </c>
      <c r="P244" s="49" t="e">
        <f aca="false">IF((Arterial=0),P243+1,P243)</f>
        <v>#N/A</v>
      </c>
      <c r="Q244" s="49" t="e">
        <f aca="false">IF((Arterial=1),Q243+1,Q243)</f>
        <v>#N/A</v>
      </c>
      <c r="R244" s="50" t="n">
        <f aca="false">IF((RESET=1),0,R244+K244)</f>
        <v>0</v>
      </c>
      <c r="S244" s="19" t="n">
        <f aca="false">IF(RESET=1,0,S244+N244)</f>
        <v>0</v>
      </c>
      <c r="T244" s="0" t="n">
        <f aca="false">IF(RESET=1,0,T244+IF(H244=0,1,0))</f>
        <v>0</v>
      </c>
      <c r="U244" s="0" t="n">
        <f aca="false">IF(RESET=1,0,U244+H244)</f>
        <v>0</v>
      </c>
      <c r="V244" s="19" t="n">
        <f aca="false">R244/(T244+0.00001)</f>
        <v>0</v>
      </c>
      <c r="W244" s="19" t="n">
        <f aca="false">S244/(U244+0.0001)</f>
        <v>0</v>
      </c>
      <c r="X244" s="47" t="e">
        <f aca="false">IF(Informed=1,K244,0)</f>
        <v>#N/A</v>
      </c>
      <c r="Y244" s="47" t="n">
        <f aca="false">IF(Informed=0,K244,0)</f>
        <v>0</v>
      </c>
      <c r="Z244" s="47" t="e">
        <f aca="false">IF(Informed=1,N244,0)</f>
        <v>#N/A</v>
      </c>
      <c r="AA244" s="47" t="n">
        <f aca="false">IF(Informed=0,N244,0)</f>
        <v>0</v>
      </c>
      <c r="AB244" s="51" t="e">
        <f aca="false">IF(Arterial=0,IF(Informed=1,1,0),0)</f>
        <v>#N/A</v>
      </c>
      <c r="AC244" s="51" t="e">
        <f aca="false">IF(Arterial=0,IF(Informed=0,1,0),0)</f>
        <v>#N/A</v>
      </c>
      <c r="AD244" s="51" t="e">
        <f aca="false">IF(Arterial=1,IF(Informed=1,1,0),0)</f>
        <v>#N/A</v>
      </c>
      <c r="AE244" s="51" t="e">
        <f aca="false">IF(Arterial=1,IF(Informed=0,1,0),0)</f>
        <v>#N/A</v>
      </c>
      <c r="AF244" s="44" t="e">
        <f aca="false">IF(AB244=1,(X244-G$1030)^2,0)</f>
        <v>#N/A</v>
      </c>
      <c r="AG244" s="44" t="e">
        <f aca="false">IF(AC244=1,(Y244-H$1030)^2,0)</f>
        <v>#N/A</v>
      </c>
      <c r="AH244" s="44" t="e">
        <f aca="false">IF(AD244=1,(Z244-I$1030)^2,0)</f>
        <v>#N/A</v>
      </c>
      <c r="AI244" s="44" t="e">
        <f aca="false">IF(AE244=1,(AA244-J$1030)^2,0)</f>
        <v>#N/A</v>
      </c>
    </row>
    <row r="245" customFormat="false" ht="12" hidden="false" customHeight="false" outlineLevel="0" collapsed="false">
      <c r="A245" s="29" t="n">
        <v>228</v>
      </c>
      <c r="B245" s="45" t="n">
        <f aca="true">IF(RAND()&lt;$D$8,1,0)</f>
        <v>1</v>
      </c>
      <c r="C245" s="34" t="n">
        <f aca="true">-LN(RAND())/$D$2</f>
        <v>1.47010734889189</v>
      </c>
      <c r="D245" s="46" t="n">
        <f aca="false">D244+C245</f>
        <v>356.03665054417</v>
      </c>
      <c r="E245" s="47" t="e">
        <f aca="false">MAX($D$3,(1+P244-VLOOKUP(VALUE(D245),$J$18:$Q244,7,TRUE()))*$D$3)</f>
        <v>#N/A</v>
      </c>
      <c r="F245" s="47" t="e">
        <f aca="false">MAX($D$4,(1+Q244-VLOOKUP(VALUE(D245),$M$18:$Q244,5,TRUE()))*$D$4)</f>
        <v>#N/A</v>
      </c>
      <c r="G245" s="48" t="n">
        <v>0.5</v>
      </c>
      <c r="H245" s="46" t="e">
        <f aca="true">IF((B245=1),(IF((F245&lt;E245),1,(IF((F245=E245),(IF(RAND()&lt;G245,1,0)),0)))),(IF((RAND()&lt;G245),1,0)))</f>
        <v>#N/A</v>
      </c>
      <c r="I245" s="46" t="e">
        <f aca="true">IF((H245=1),0,$D$3+$D$5*(RAND()-0.5))</f>
        <v>#N/A</v>
      </c>
      <c r="J245" s="46" t="e">
        <f aca="false">I245+MAX(D245,J244)</f>
        <v>#N/A</v>
      </c>
      <c r="K245" s="46" t="e">
        <f aca="false">IF((H245=0),J245-D245,0)</f>
        <v>#N/A</v>
      </c>
      <c r="L245" s="46" t="e">
        <f aca="true">IF(($H245=0),0,$D$4+$D$5*(RAND()-0.5))</f>
        <v>#N/A</v>
      </c>
      <c r="M245" s="46" t="e">
        <f aca="false">L245+MAX(D245,M244)</f>
        <v>#N/A</v>
      </c>
      <c r="N245" s="46" t="e">
        <f aca="false">IF((H245=1),M245-D245,0)</f>
        <v>#N/A</v>
      </c>
      <c r="O245" s="29" t="n">
        <v>228</v>
      </c>
      <c r="P245" s="49" t="e">
        <f aca="false">IF((Arterial=0),P244+1,P244)</f>
        <v>#N/A</v>
      </c>
      <c r="Q245" s="49" t="e">
        <f aca="false">IF((Arterial=1),Q244+1,Q244)</f>
        <v>#N/A</v>
      </c>
      <c r="R245" s="50" t="n">
        <f aca="false">IF((RESET=1),0,R245+K245)</f>
        <v>0</v>
      </c>
      <c r="S245" s="19" t="n">
        <f aca="false">IF(RESET=1,0,S245+N245)</f>
        <v>0</v>
      </c>
      <c r="T245" s="0" t="n">
        <f aca="false">IF(RESET=1,0,T245+IF(H245=0,1,0))</f>
        <v>0</v>
      </c>
      <c r="U245" s="0" t="n">
        <f aca="false">IF(RESET=1,0,U245+H245)</f>
        <v>0</v>
      </c>
      <c r="V245" s="19" t="n">
        <f aca="false">R245/(T245+0.00001)</f>
        <v>0</v>
      </c>
      <c r="W245" s="19" t="n">
        <f aca="false">S245/(U245+0.0001)</f>
        <v>0</v>
      </c>
      <c r="X245" s="47" t="e">
        <f aca="false">IF(Informed=1,K245,0)</f>
        <v>#N/A</v>
      </c>
      <c r="Y245" s="47" t="n">
        <f aca="false">IF(Informed=0,K245,0)</f>
        <v>0</v>
      </c>
      <c r="Z245" s="47" t="e">
        <f aca="false">IF(Informed=1,N245,0)</f>
        <v>#N/A</v>
      </c>
      <c r="AA245" s="47" t="n">
        <f aca="false">IF(Informed=0,N245,0)</f>
        <v>0</v>
      </c>
      <c r="AB245" s="51" t="e">
        <f aca="false">IF(Arterial=0,IF(Informed=1,1,0),0)</f>
        <v>#N/A</v>
      </c>
      <c r="AC245" s="51" t="e">
        <f aca="false">IF(Arterial=0,IF(Informed=0,1,0),0)</f>
        <v>#N/A</v>
      </c>
      <c r="AD245" s="51" t="e">
        <f aca="false">IF(Arterial=1,IF(Informed=1,1,0),0)</f>
        <v>#N/A</v>
      </c>
      <c r="AE245" s="51" t="e">
        <f aca="false">IF(Arterial=1,IF(Informed=0,1,0),0)</f>
        <v>#N/A</v>
      </c>
      <c r="AF245" s="44" t="e">
        <f aca="false">IF(AB245=1,(X245-G$1030)^2,0)</f>
        <v>#N/A</v>
      </c>
      <c r="AG245" s="44" t="e">
        <f aca="false">IF(AC245=1,(Y245-H$1030)^2,0)</f>
        <v>#N/A</v>
      </c>
      <c r="AH245" s="44" t="e">
        <f aca="false">IF(AD245=1,(Z245-I$1030)^2,0)</f>
        <v>#N/A</v>
      </c>
      <c r="AI245" s="44" t="e">
        <f aca="false">IF(AE245=1,(AA245-J$1030)^2,0)</f>
        <v>#N/A</v>
      </c>
    </row>
    <row r="246" customFormat="false" ht="12" hidden="false" customHeight="false" outlineLevel="0" collapsed="false">
      <c r="A246" s="29" t="n">
        <v>229</v>
      </c>
      <c r="B246" s="45" t="n">
        <f aca="true">IF(RAND()&lt;$D$8,1,0)</f>
        <v>1</v>
      </c>
      <c r="C246" s="34" t="n">
        <f aca="true">-LN(RAND())/$D$2</f>
        <v>0.984474636182905</v>
      </c>
      <c r="D246" s="46" t="n">
        <f aca="false">D245+C246</f>
        <v>357.021125180353</v>
      </c>
      <c r="E246" s="47" t="e">
        <f aca="false">MAX($D$3,(1+P245-VLOOKUP(VALUE(D246),$J$18:$Q245,7,TRUE()))*$D$3)</f>
        <v>#N/A</v>
      </c>
      <c r="F246" s="47" t="e">
        <f aca="false">MAX($D$4,(1+Q245-VLOOKUP(VALUE(D246),$M$18:$Q245,5,TRUE()))*$D$4)</f>
        <v>#N/A</v>
      </c>
      <c r="G246" s="48" t="n">
        <v>0.5</v>
      </c>
      <c r="H246" s="46" t="e">
        <f aca="true">IF((B246=1),(IF((F246&lt;E246),1,(IF((F246=E246),(IF(RAND()&lt;G246,1,0)),0)))),(IF((RAND()&lt;G246),1,0)))</f>
        <v>#N/A</v>
      </c>
      <c r="I246" s="46" t="e">
        <f aca="true">IF((H246=1),0,$D$3+$D$5*(RAND()-0.5))</f>
        <v>#N/A</v>
      </c>
      <c r="J246" s="46" t="e">
        <f aca="false">I246+MAX(D246,J245)</f>
        <v>#N/A</v>
      </c>
      <c r="K246" s="46" t="e">
        <f aca="false">IF((H246=0),J246-D246,0)</f>
        <v>#N/A</v>
      </c>
      <c r="L246" s="46" t="e">
        <f aca="true">IF(($H246=0),0,$D$4+$D$5*(RAND()-0.5))</f>
        <v>#N/A</v>
      </c>
      <c r="M246" s="46" t="e">
        <f aca="false">L246+MAX(D246,M245)</f>
        <v>#N/A</v>
      </c>
      <c r="N246" s="46" t="e">
        <f aca="false">IF((H246=1),M246-D246,0)</f>
        <v>#N/A</v>
      </c>
      <c r="O246" s="29" t="n">
        <v>229</v>
      </c>
      <c r="P246" s="49" t="e">
        <f aca="false">IF((Arterial=0),P245+1,P245)</f>
        <v>#N/A</v>
      </c>
      <c r="Q246" s="49" t="e">
        <f aca="false">IF((Arterial=1),Q245+1,Q245)</f>
        <v>#N/A</v>
      </c>
      <c r="R246" s="50" t="n">
        <f aca="false">IF((RESET=1),0,R246+K246)</f>
        <v>0</v>
      </c>
      <c r="S246" s="19" t="n">
        <f aca="false">IF(RESET=1,0,S246+N246)</f>
        <v>0</v>
      </c>
      <c r="T246" s="0" t="n">
        <f aca="false">IF(RESET=1,0,T246+IF(H246=0,1,0))</f>
        <v>0</v>
      </c>
      <c r="U246" s="0" t="n">
        <f aca="false">IF(RESET=1,0,U246+H246)</f>
        <v>0</v>
      </c>
      <c r="V246" s="19" t="n">
        <f aca="false">R246/(T246+0.00001)</f>
        <v>0</v>
      </c>
      <c r="W246" s="19" t="n">
        <f aca="false">S246/(U246+0.0001)</f>
        <v>0</v>
      </c>
      <c r="X246" s="47" t="e">
        <f aca="false">IF(Informed=1,K246,0)</f>
        <v>#N/A</v>
      </c>
      <c r="Y246" s="47" t="n">
        <f aca="false">IF(Informed=0,K246,0)</f>
        <v>0</v>
      </c>
      <c r="Z246" s="47" t="e">
        <f aca="false">IF(Informed=1,N246,0)</f>
        <v>#N/A</v>
      </c>
      <c r="AA246" s="47" t="n">
        <f aca="false">IF(Informed=0,N246,0)</f>
        <v>0</v>
      </c>
      <c r="AB246" s="51" t="e">
        <f aca="false">IF(Arterial=0,IF(Informed=1,1,0),0)</f>
        <v>#N/A</v>
      </c>
      <c r="AC246" s="51" t="e">
        <f aca="false">IF(Arterial=0,IF(Informed=0,1,0),0)</f>
        <v>#N/A</v>
      </c>
      <c r="AD246" s="51" t="e">
        <f aca="false">IF(Arterial=1,IF(Informed=1,1,0),0)</f>
        <v>#N/A</v>
      </c>
      <c r="AE246" s="51" t="e">
        <f aca="false">IF(Arterial=1,IF(Informed=0,1,0),0)</f>
        <v>#N/A</v>
      </c>
      <c r="AF246" s="44" t="e">
        <f aca="false">IF(AB246=1,(X246-G$1030)^2,0)</f>
        <v>#N/A</v>
      </c>
      <c r="AG246" s="44" t="e">
        <f aca="false">IF(AC246=1,(Y246-H$1030)^2,0)</f>
        <v>#N/A</v>
      </c>
      <c r="AH246" s="44" t="e">
        <f aca="false">IF(AD246=1,(Z246-I$1030)^2,0)</f>
        <v>#N/A</v>
      </c>
      <c r="AI246" s="44" t="e">
        <f aca="false">IF(AE246=1,(AA246-J$1030)^2,0)</f>
        <v>#N/A</v>
      </c>
    </row>
    <row r="247" customFormat="false" ht="12" hidden="false" customHeight="false" outlineLevel="0" collapsed="false">
      <c r="A247" s="29" t="n">
        <v>230</v>
      </c>
      <c r="B247" s="45" t="n">
        <f aca="true">IF(RAND()&lt;$D$8,1,0)</f>
        <v>1</v>
      </c>
      <c r="C247" s="34" t="n">
        <f aca="true">-LN(RAND())/$D$2</f>
        <v>0.869073845519107</v>
      </c>
      <c r="D247" s="46" t="n">
        <f aca="false">D246+C247</f>
        <v>357.890199025872</v>
      </c>
      <c r="E247" s="47" t="e">
        <f aca="false">MAX($D$3,(1+P246-VLOOKUP(VALUE(D247),$J$18:$Q246,7,TRUE()))*$D$3)</f>
        <v>#N/A</v>
      </c>
      <c r="F247" s="47" t="e">
        <f aca="false">MAX($D$4,(1+Q246-VLOOKUP(VALUE(D247),$M$18:$Q246,5,TRUE()))*$D$4)</f>
        <v>#N/A</v>
      </c>
      <c r="G247" s="48" t="n">
        <v>0.5</v>
      </c>
      <c r="H247" s="46" t="e">
        <f aca="true">IF((B247=1),(IF((F247&lt;E247),1,(IF((F247=E247),(IF(RAND()&lt;G247,1,0)),0)))),(IF((RAND()&lt;G247),1,0)))</f>
        <v>#N/A</v>
      </c>
      <c r="I247" s="46" t="e">
        <f aca="true">IF((H247=1),0,$D$3+$D$5*(RAND()-0.5))</f>
        <v>#N/A</v>
      </c>
      <c r="J247" s="46" t="e">
        <f aca="false">I247+MAX(D247,J246)</f>
        <v>#N/A</v>
      </c>
      <c r="K247" s="46" t="e">
        <f aca="false">IF((H247=0),J247-D247,0)</f>
        <v>#N/A</v>
      </c>
      <c r="L247" s="46" t="e">
        <f aca="true">IF(($H247=0),0,$D$4+$D$5*(RAND()-0.5))</f>
        <v>#N/A</v>
      </c>
      <c r="M247" s="46" t="e">
        <f aca="false">L247+MAX(D247,M246)</f>
        <v>#N/A</v>
      </c>
      <c r="N247" s="46" t="e">
        <f aca="false">IF((H247=1),M247-D247,0)</f>
        <v>#N/A</v>
      </c>
      <c r="O247" s="29" t="n">
        <v>230</v>
      </c>
      <c r="P247" s="49" t="e">
        <f aca="false">IF((Arterial=0),P246+1,P246)</f>
        <v>#N/A</v>
      </c>
      <c r="Q247" s="49" t="e">
        <f aca="false">IF((Arterial=1),Q246+1,Q246)</f>
        <v>#N/A</v>
      </c>
      <c r="R247" s="50" t="n">
        <f aca="false">IF((RESET=1),0,R247+K247)</f>
        <v>0</v>
      </c>
      <c r="S247" s="19" t="n">
        <f aca="false">IF(RESET=1,0,S247+N247)</f>
        <v>0</v>
      </c>
      <c r="T247" s="0" t="n">
        <f aca="false">IF(RESET=1,0,T247+IF(H247=0,1,0))</f>
        <v>0</v>
      </c>
      <c r="U247" s="0" t="n">
        <f aca="false">IF(RESET=1,0,U247+H247)</f>
        <v>0</v>
      </c>
      <c r="V247" s="19" t="n">
        <f aca="false">R247/(T247+0.00001)</f>
        <v>0</v>
      </c>
      <c r="W247" s="19" t="n">
        <f aca="false">S247/(U247+0.0001)</f>
        <v>0</v>
      </c>
      <c r="X247" s="47" t="e">
        <f aca="false">IF(Informed=1,K247,0)</f>
        <v>#N/A</v>
      </c>
      <c r="Y247" s="47" t="n">
        <f aca="false">IF(Informed=0,K247,0)</f>
        <v>0</v>
      </c>
      <c r="Z247" s="47" t="e">
        <f aca="false">IF(Informed=1,N247,0)</f>
        <v>#N/A</v>
      </c>
      <c r="AA247" s="47" t="n">
        <f aca="false">IF(Informed=0,N247,0)</f>
        <v>0</v>
      </c>
      <c r="AB247" s="51" t="e">
        <f aca="false">IF(Arterial=0,IF(Informed=1,1,0),0)</f>
        <v>#N/A</v>
      </c>
      <c r="AC247" s="51" t="e">
        <f aca="false">IF(Arterial=0,IF(Informed=0,1,0),0)</f>
        <v>#N/A</v>
      </c>
      <c r="AD247" s="51" t="e">
        <f aca="false">IF(Arterial=1,IF(Informed=1,1,0),0)</f>
        <v>#N/A</v>
      </c>
      <c r="AE247" s="51" t="e">
        <f aca="false">IF(Arterial=1,IF(Informed=0,1,0),0)</f>
        <v>#N/A</v>
      </c>
      <c r="AF247" s="44" t="e">
        <f aca="false">IF(AB247=1,(X247-G$1030)^2,0)</f>
        <v>#N/A</v>
      </c>
      <c r="AG247" s="44" t="e">
        <f aca="false">IF(AC247=1,(Y247-H$1030)^2,0)</f>
        <v>#N/A</v>
      </c>
      <c r="AH247" s="44" t="e">
        <f aca="false">IF(AD247=1,(Z247-I$1030)^2,0)</f>
        <v>#N/A</v>
      </c>
      <c r="AI247" s="44" t="e">
        <f aca="false">IF(AE247=1,(AA247-J$1030)^2,0)</f>
        <v>#N/A</v>
      </c>
    </row>
    <row r="248" customFormat="false" ht="12" hidden="false" customHeight="false" outlineLevel="0" collapsed="false">
      <c r="A248" s="29" t="n">
        <v>231</v>
      </c>
      <c r="B248" s="45" t="n">
        <f aca="true">IF(RAND()&lt;$D$8,1,0)</f>
        <v>1</v>
      </c>
      <c r="C248" s="34" t="n">
        <f aca="true">-LN(RAND())/$D$2</f>
        <v>2.43396137349375</v>
      </c>
      <c r="D248" s="46" t="n">
        <f aca="false">D247+C248</f>
        <v>360.324160399366</v>
      </c>
      <c r="E248" s="47" t="e">
        <f aca="false">MAX($D$3,(1+P247-VLOOKUP(VALUE(D248),$J$18:$Q247,7,TRUE()))*$D$3)</f>
        <v>#N/A</v>
      </c>
      <c r="F248" s="47" t="e">
        <f aca="false">MAX($D$4,(1+Q247-VLOOKUP(VALUE(D248),$M$18:$Q247,5,TRUE()))*$D$4)</f>
        <v>#N/A</v>
      </c>
      <c r="G248" s="48" t="n">
        <v>0.5</v>
      </c>
      <c r="H248" s="46" t="e">
        <f aca="true">IF((B248=1),(IF((F248&lt;E248),1,(IF((F248=E248),(IF(RAND()&lt;G248,1,0)),0)))),(IF((RAND()&lt;G248),1,0)))</f>
        <v>#N/A</v>
      </c>
      <c r="I248" s="46" t="e">
        <f aca="true">IF((H248=1),0,$D$3+$D$5*(RAND()-0.5))</f>
        <v>#N/A</v>
      </c>
      <c r="J248" s="46" t="e">
        <f aca="false">I248+MAX(D248,J247)</f>
        <v>#N/A</v>
      </c>
      <c r="K248" s="46" t="e">
        <f aca="false">IF((H248=0),J248-D248,0)</f>
        <v>#N/A</v>
      </c>
      <c r="L248" s="46" t="e">
        <f aca="true">IF(($H248=0),0,$D$4+$D$5*(RAND()-0.5))</f>
        <v>#N/A</v>
      </c>
      <c r="M248" s="46" t="e">
        <f aca="false">L248+MAX(D248,M247)</f>
        <v>#N/A</v>
      </c>
      <c r="N248" s="46" t="e">
        <f aca="false">IF((H248=1),M248-D248,0)</f>
        <v>#N/A</v>
      </c>
      <c r="O248" s="29" t="n">
        <v>231</v>
      </c>
      <c r="P248" s="49" t="e">
        <f aca="false">IF((Arterial=0),P247+1,P247)</f>
        <v>#N/A</v>
      </c>
      <c r="Q248" s="49" t="e">
        <f aca="false">IF((Arterial=1),Q247+1,Q247)</f>
        <v>#N/A</v>
      </c>
      <c r="R248" s="50" t="n">
        <f aca="false">IF((RESET=1),0,R248+K248)</f>
        <v>0</v>
      </c>
      <c r="S248" s="19" t="n">
        <f aca="false">IF(RESET=1,0,S248+N248)</f>
        <v>0</v>
      </c>
      <c r="T248" s="0" t="n">
        <f aca="false">IF(RESET=1,0,T248+IF(H248=0,1,0))</f>
        <v>0</v>
      </c>
      <c r="U248" s="0" t="n">
        <f aca="false">IF(RESET=1,0,U248+H248)</f>
        <v>0</v>
      </c>
      <c r="V248" s="19" t="n">
        <f aca="false">R248/(T248+0.00001)</f>
        <v>0</v>
      </c>
      <c r="W248" s="19" t="n">
        <f aca="false">S248/(U248+0.0001)</f>
        <v>0</v>
      </c>
      <c r="X248" s="47" t="e">
        <f aca="false">IF(Informed=1,K248,0)</f>
        <v>#N/A</v>
      </c>
      <c r="Y248" s="47" t="n">
        <f aca="false">IF(Informed=0,K248,0)</f>
        <v>0</v>
      </c>
      <c r="Z248" s="47" t="e">
        <f aca="false">IF(Informed=1,N248,0)</f>
        <v>#N/A</v>
      </c>
      <c r="AA248" s="47" t="n">
        <f aca="false">IF(Informed=0,N248,0)</f>
        <v>0</v>
      </c>
      <c r="AB248" s="51" t="e">
        <f aca="false">IF(Arterial=0,IF(Informed=1,1,0),0)</f>
        <v>#N/A</v>
      </c>
      <c r="AC248" s="51" t="e">
        <f aca="false">IF(Arterial=0,IF(Informed=0,1,0),0)</f>
        <v>#N/A</v>
      </c>
      <c r="AD248" s="51" t="e">
        <f aca="false">IF(Arterial=1,IF(Informed=1,1,0),0)</f>
        <v>#N/A</v>
      </c>
      <c r="AE248" s="51" t="e">
        <f aca="false">IF(Arterial=1,IF(Informed=0,1,0),0)</f>
        <v>#N/A</v>
      </c>
      <c r="AF248" s="44" t="e">
        <f aca="false">IF(AB248=1,(X248-G$1030)^2,0)</f>
        <v>#N/A</v>
      </c>
      <c r="AG248" s="44" t="e">
        <f aca="false">IF(AC248=1,(Y248-H$1030)^2,0)</f>
        <v>#N/A</v>
      </c>
      <c r="AH248" s="44" t="e">
        <f aca="false">IF(AD248=1,(Z248-I$1030)^2,0)</f>
        <v>#N/A</v>
      </c>
      <c r="AI248" s="44" t="e">
        <f aca="false">IF(AE248=1,(AA248-J$1030)^2,0)</f>
        <v>#N/A</v>
      </c>
    </row>
    <row r="249" customFormat="false" ht="12" hidden="false" customHeight="false" outlineLevel="0" collapsed="false">
      <c r="A249" s="29" t="n">
        <v>232</v>
      </c>
      <c r="B249" s="45" t="n">
        <f aca="true">IF(RAND()&lt;$D$8,1,0)</f>
        <v>1</v>
      </c>
      <c r="C249" s="34" t="n">
        <f aca="true">-LN(RAND())/$D$2</f>
        <v>1.89294694502035</v>
      </c>
      <c r="D249" s="46" t="n">
        <f aca="false">D248+C249</f>
        <v>362.217107344386</v>
      </c>
      <c r="E249" s="47" t="e">
        <f aca="false">MAX($D$3,(1+P248-VLOOKUP(VALUE(D249),$J$18:$Q248,7,TRUE()))*$D$3)</f>
        <v>#N/A</v>
      </c>
      <c r="F249" s="47" t="e">
        <f aca="false">MAX($D$4,(1+Q248-VLOOKUP(VALUE(D249),$M$18:$Q248,5,TRUE()))*$D$4)</f>
        <v>#N/A</v>
      </c>
      <c r="G249" s="48" t="n">
        <v>0.5</v>
      </c>
      <c r="H249" s="46" t="e">
        <f aca="true">IF((B249=1),(IF((F249&lt;E249),1,(IF((F249=E249),(IF(RAND()&lt;G249,1,0)),0)))),(IF((RAND()&lt;G249),1,0)))</f>
        <v>#N/A</v>
      </c>
      <c r="I249" s="46" t="e">
        <f aca="true">IF((H249=1),0,$D$3+$D$5*(RAND()-0.5))</f>
        <v>#N/A</v>
      </c>
      <c r="J249" s="46" t="e">
        <f aca="false">I249+MAX(D249,J248)</f>
        <v>#N/A</v>
      </c>
      <c r="K249" s="46" t="e">
        <f aca="false">IF((H249=0),J249-D249,0)</f>
        <v>#N/A</v>
      </c>
      <c r="L249" s="46" t="e">
        <f aca="true">IF(($H249=0),0,$D$4+$D$5*(RAND()-0.5))</f>
        <v>#N/A</v>
      </c>
      <c r="M249" s="46" t="e">
        <f aca="false">L249+MAX(D249,M248)</f>
        <v>#N/A</v>
      </c>
      <c r="N249" s="46" t="e">
        <f aca="false">IF((H249=1),M249-D249,0)</f>
        <v>#N/A</v>
      </c>
      <c r="O249" s="29" t="n">
        <v>232</v>
      </c>
      <c r="P249" s="49" t="e">
        <f aca="false">IF((Arterial=0),P248+1,P248)</f>
        <v>#N/A</v>
      </c>
      <c r="Q249" s="49" t="e">
        <f aca="false">IF((Arterial=1),Q248+1,Q248)</f>
        <v>#N/A</v>
      </c>
      <c r="R249" s="50" t="n">
        <f aca="false">IF((RESET=1),0,R249+K249)</f>
        <v>0</v>
      </c>
      <c r="S249" s="19" t="n">
        <f aca="false">IF(RESET=1,0,S249+N249)</f>
        <v>0</v>
      </c>
      <c r="T249" s="0" t="n">
        <f aca="false">IF(RESET=1,0,T249+IF(H249=0,1,0))</f>
        <v>0</v>
      </c>
      <c r="U249" s="0" t="n">
        <f aca="false">IF(RESET=1,0,U249+H249)</f>
        <v>0</v>
      </c>
      <c r="V249" s="19" t="n">
        <f aca="false">R249/(T249+0.00001)</f>
        <v>0</v>
      </c>
      <c r="W249" s="19" t="n">
        <f aca="false">S249/(U249+0.0001)</f>
        <v>0</v>
      </c>
      <c r="X249" s="47" t="e">
        <f aca="false">IF(Informed=1,K249,0)</f>
        <v>#N/A</v>
      </c>
      <c r="Y249" s="47" t="n">
        <f aca="false">IF(Informed=0,K249,0)</f>
        <v>0</v>
      </c>
      <c r="Z249" s="47" t="e">
        <f aca="false">IF(Informed=1,N249,0)</f>
        <v>#N/A</v>
      </c>
      <c r="AA249" s="47" t="n">
        <f aca="false">IF(Informed=0,N249,0)</f>
        <v>0</v>
      </c>
      <c r="AB249" s="51" t="e">
        <f aca="false">IF(Arterial=0,IF(Informed=1,1,0),0)</f>
        <v>#N/A</v>
      </c>
      <c r="AC249" s="51" t="e">
        <f aca="false">IF(Arterial=0,IF(Informed=0,1,0),0)</f>
        <v>#N/A</v>
      </c>
      <c r="AD249" s="51" t="e">
        <f aca="false">IF(Arterial=1,IF(Informed=1,1,0),0)</f>
        <v>#N/A</v>
      </c>
      <c r="AE249" s="51" t="e">
        <f aca="false">IF(Arterial=1,IF(Informed=0,1,0),0)</f>
        <v>#N/A</v>
      </c>
      <c r="AF249" s="44" t="e">
        <f aca="false">IF(AB249=1,(X249-G$1030)^2,0)</f>
        <v>#N/A</v>
      </c>
      <c r="AG249" s="44" t="e">
        <f aca="false">IF(AC249=1,(Y249-H$1030)^2,0)</f>
        <v>#N/A</v>
      </c>
      <c r="AH249" s="44" t="e">
        <f aca="false">IF(AD249=1,(Z249-I$1030)^2,0)</f>
        <v>#N/A</v>
      </c>
      <c r="AI249" s="44" t="e">
        <f aca="false">IF(AE249=1,(AA249-J$1030)^2,0)</f>
        <v>#N/A</v>
      </c>
    </row>
    <row r="250" customFormat="false" ht="12" hidden="false" customHeight="false" outlineLevel="0" collapsed="false">
      <c r="A250" s="29" t="n">
        <v>233</v>
      </c>
      <c r="B250" s="45" t="n">
        <f aca="true">IF(RAND()&lt;$D$8,1,0)</f>
        <v>1</v>
      </c>
      <c r="C250" s="34" t="n">
        <f aca="true">-LN(RAND())/$D$2</f>
        <v>0.423559385841021</v>
      </c>
      <c r="D250" s="46" t="n">
        <f aca="false">D249+C250</f>
        <v>362.640666730227</v>
      </c>
      <c r="E250" s="47" t="e">
        <f aca="false">MAX($D$3,(1+P249-VLOOKUP(VALUE(D250),$J$18:$Q249,7,TRUE()))*$D$3)</f>
        <v>#N/A</v>
      </c>
      <c r="F250" s="47" t="e">
        <f aca="false">MAX($D$4,(1+Q249-VLOOKUP(VALUE(D250),$M$18:$Q249,5,TRUE()))*$D$4)</f>
        <v>#N/A</v>
      </c>
      <c r="G250" s="48" t="n">
        <v>0.5</v>
      </c>
      <c r="H250" s="46" t="e">
        <f aca="true">IF((B250=1),(IF((F250&lt;E250),1,(IF((F250=E250),(IF(RAND()&lt;G250,1,0)),0)))),(IF((RAND()&lt;G250),1,0)))</f>
        <v>#N/A</v>
      </c>
      <c r="I250" s="46" t="e">
        <f aca="true">IF((H250=1),0,$D$3+$D$5*(RAND()-0.5))</f>
        <v>#N/A</v>
      </c>
      <c r="J250" s="46" t="e">
        <f aca="false">I250+MAX(D250,J249)</f>
        <v>#N/A</v>
      </c>
      <c r="K250" s="46" t="e">
        <f aca="false">IF((H250=0),J250-D250,0)</f>
        <v>#N/A</v>
      </c>
      <c r="L250" s="46" t="e">
        <f aca="true">IF(($H250=0),0,$D$4+$D$5*(RAND()-0.5))</f>
        <v>#N/A</v>
      </c>
      <c r="M250" s="46" t="e">
        <f aca="false">L250+MAX(D250,M249)</f>
        <v>#N/A</v>
      </c>
      <c r="N250" s="46" t="e">
        <f aca="false">IF((H250=1),M250-D250,0)</f>
        <v>#N/A</v>
      </c>
      <c r="O250" s="29" t="n">
        <v>233</v>
      </c>
      <c r="P250" s="49" t="e">
        <f aca="false">IF((Arterial=0),P249+1,P249)</f>
        <v>#N/A</v>
      </c>
      <c r="Q250" s="49" t="e">
        <f aca="false">IF((Arterial=1),Q249+1,Q249)</f>
        <v>#N/A</v>
      </c>
      <c r="R250" s="50" t="n">
        <f aca="false">IF((RESET=1),0,R250+K250)</f>
        <v>0</v>
      </c>
      <c r="S250" s="19" t="n">
        <f aca="false">IF(RESET=1,0,S250+N250)</f>
        <v>0</v>
      </c>
      <c r="T250" s="0" t="n">
        <f aca="false">IF(RESET=1,0,T250+IF(H250=0,1,0))</f>
        <v>0</v>
      </c>
      <c r="U250" s="0" t="n">
        <f aca="false">IF(RESET=1,0,U250+H250)</f>
        <v>0</v>
      </c>
      <c r="V250" s="19" t="n">
        <f aca="false">R250/(T250+0.00001)</f>
        <v>0</v>
      </c>
      <c r="W250" s="19" t="n">
        <f aca="false">S250/(U250+0.0001)</f>
        <v>0</v>
      </c>
      <c r="X250" s="47" t="e">
        <f aca="false">IF(Informed=1,K250,0)</f>
        <v>#N/A</v>
      </c>
      <c r="Y250" s="47" t="n">
        <f aca="false">IF(Informed=0,K250,0)</f>
        <v>0</v>
      </c>
      <c r="Z250" s="47" t="e">
        <f aca="false">IF(Informed=1,N250,0)</f>
        <v>#N/A</v>
      </c>
      <c r="AA250" s="47" t="n">
        <f aca="false">IF(Informed=0,N250,0)</f>
        <v>0</v>
      </c>
      <c r="AB250" s="51" t="e">
        <f aca="false">IF(Arterial=0,IF(Informed=1,1,0),0)</f>
        <v>#N/A</v>
      </c>
      <c r="AC250" s="51" t="e">
        <f aca="false">IF(Arterial=0,IF(Informed=0,1,0),0)</f>
        <v>#N/A</v>
      </c>
      <c r="AD250" s="51" t="e">
        <f aca="false">IF(Arterial=1,IF(Informed=1,1,0),0)</f>
        <v>#N/A</v>
      </c>
      <c r="AE250" s="51" t="e">
        <f aca="false">IF(Arterial=1,IF(Informed=0,1,0),0)</f>
        <v>#N/A</v>
      </c>
      <c r="AF250" s="44" t="e">
        <f aca="false">IF(AB250=1,(X250-G$1030)^2,0)</f>
        <v>#N/A</v>
      </c>
      <c r="AG250" s="44" t="e">
        <f aca="false">IF(AC250=1,(Y250-H$1030)^2,0)</f>
        <v>#N/A</v>
      </c>
      <c r="AH250" s="44" t="e">
        <f aca="false">IF(AD250=1,(Z250-I$1030)^2,0)</f>
        <v>#N/A</v>
      </c>
      <c r="AI250" s="44" t="e">
        <f aca="false">IF(AE250=1,(AA250-J$1030)^2,0)</f>
        <v>#N/A</v>
      </c>
    </row>
    <row r="251" customFormat="false" ht="12" hidden="false" customHeight="false" outlineLevel="0" collapsed="false">
      <c r="A251" s="29" t="n">
        <v>234</v>
      </c>
      <c r="B251" s="45" t="n">
        <f aca="true">IF(RAND()&lt;$D$8,1,0)</f>
        <v>1</v>
      </c>
      <c r="C251" s="34" t="n">
        <f aca="true">-LN(RAND())/$D$2</f>
        <v>3.24459125071345</v>
      </c>
      <c r="D251" s="46" t="n">
        <f aca="false">D250+C251</f>
        <v>365.885257980941</v>
      </c>
      <c r="E251" s="47" t="e">
        <f aca="false">MAX($D$3,(1+P250-VLOOKUP(VALUE(D251),$J$18:$Q250,7,TRUE()))*$D$3)</f>
        <v>#N/A</v>
      </c>
      <c r="F251" s="47" t="e">
        <f aca="false">MAX($D$4,(1+Q250-VLOOKUP(VALUE(D251),$M$18:$Q250,5,TRUE()))*$D$4)</f>
        <v>#N/A</v>
      </c>
      <c r="G251" s="48" t="n">
        <v>0.5</v>
      </c>
      <c r="H251" s="46" t="e">
        <f aca="true">IF((B251=1),(IF((F251&lt;E251),1,(IF((F251=E251),(IF(RAND()&lt;G251,1,0)),0)))),(IF((RAND()&lt;G251),1,0)))</f>
        <v>#N/A</v>
      </c>
      <c r="I251" s="46" t="e">
        <f aca="true">IF((H251=1),0,$D$3+$D$5*(RAND()-0.5))</f>
        <v>#N/A</v>
      </c>
      <c r="J251" s="46" t="e">
        <f aca="false">I251+MAX(D251,J250)</f>
        <v>#N/A</v>
      </c>
      <c r="K251" s="46" t="e">
        <f aca="false">IF((H251=0),J251-D251,0)</f>
        <v>#N/A</v>
      </c>
      <c r="L251" s="46" t="e">
        <f aca="true">IF(($H251=0),0,$D$4+$D$5*(RAND()-0.5))</f>
        <v>#N/A</v>
      </c>
      <c r="M251" s="46" t="e">
        <f aca="false">L251+MAX(D251,M250)</f>
        <v>#N/A</v>
      </c>
      <c r="N251" s="46" t="e">
        <f aca="false">IF((H251=1),M251-D251,0)</f>
        <v>#N/A</v>
      </c>
      <c r="O251" s="29" t="n">
        <v>234</v>
      </c>
      <c r="P251" s="49" t="e">
        <f aca="false">IF((Arterial=0),P250+1,P250)</f>
        <v>#N/A</v>
      </c>
      <c r="Q251" s="49" t="e">
        <f aca="false">IF((Arterial=1),Q250+1,Q250)</f>
        <v>#N/A</v>
      </c>
      <c r="R251" s="50" t="n">
        <f aca="false">IF((RESET=1),0,R251+K251)</f>
        <v>0</v>
      </c>
      <c r="S251" s="19" t="n">
        <f aca="false">IF(RESET=1,0,S251+N251)</f>
        <v>0</v>
      </c>
      <c r="T251" s="0" t="n">
        <f aca="false">IF(RESET=1,0,T251+IF(H251=0,1,0))</f>
        <v>0</v>
      </c>
      <c r="U251" s="0" t="n">
        <f aca="false">IF(RESET=1,0,U251+H251)</f>
        <v>0</v>
      </c>
      <c r="V251" s="19" t="n">
        <f aca="false">R251/(T251+0.00001)</f>
        <v>0</v>
      </c>
      <c r="W251" s="19" t="n">
        <f aca="false">S251/(U251+0.0001)</f>
        <v>0</v>
      </c>
      <c r="X251" s="47" t="e">
        <f aca="false">IF(Informed=1,K251,0)</f>
        <v>#N/A</v>
      </c>
      <c r="Y251" s="47" t="n">
        <f aca="false">IF(Informed=0,K251,0)</f>
        <v>0</v>
      </c>
      <c r="Z251" s="47" t="e">
        <f aca="false">IF(Informed=1,N251,0)</f>
        <v>#N/A</v>
      </c>
      <c r="AA251" s="47" t="n">
        <f aca="false">IF(Informed=0,N251,0)</f>
        <v>0</v>
      </c>
      <c r="AB251" s="51" t="e">
        <f aca="false">IF(Arterial=0,IF(Informed=1,1,0),0)</f>
        <v>#N/A</v>
      </c>
      <c r="AC251" s="51" t="e">
        <f aca="false">IF(Arterial=0,IF(Informed=0,1,0),0)</f>
        <v>#N/A</v>
      </c>
      <c r="AD251" s="51" t="e">
        <f aca="false">IF(Arterial=1,IF(Informed=1,1,0),0)</f>
        <v>#N/A</v>
      </c>
      <c r="AE251" s="51" t="e">
        <f aca="false">IF(Arterial=1,IF(Informed=0,1,0),0)</f>
        <v>#N/A</v>
      </c>
      <c r="AF251" s="44" t="e">
        <f aca="false">IF(AB251=1,(X251-G$1030)^2,0)</f>
        <v>#N/A</v>
      </c>
      <c r="AG251" s="44" t="e">
        <f aca="false">IF(AC251=1,(Y251-H$1030)^2,0)</f>
        <v>#N/A</v>
      </c>
      <c r="AH251" s="44" t="e">
        <f aca="false">IF(AD251=1,(Z251-I$1030)^2,0)</f>
        <v>#N/A</v>
      </c>
      <c r="AI251" s="44" t="e">
        <f aca="false">IF(AE251=1,(AA251-J$1030)^2,0)</f>
        <v>#N/A</v>
      </c>
    </row>
    <row r="252" customFormat="false" ht="12" hidden="false" customHeight="false" outlineLevel="0" collapsed="false">
      <c r="A252" s="29" t="n">
        <v>235</v>
      </c>
      <c r="B252" s="45" t="n">
        <f aca="true">IF(RAND()&lt;$D$8,1,0)</f>
        <v>1</v>
      </c>
      <c r="C252" s="34" t="n">
        <f aca="true">-LN(RAND())/$D$2</f>
        <v>0.110627858287018</v>
      </c>
      <c r="D252" s="46" t="n">
        <f aca="false">D251+C252</f>
        <v>365.995885839228</v>
      </c>
      <c r="E252" s="47" t="e">
        <f aca="false">MAX($D$3,(1+P251-VLOOKUP(VALUE(D252),$J$18:$Q251,7,TRUE()))*$D$3)</f>
        <v>#N/A</v>
      </c>
      <c r="F252" s="47" t="e">
        <f aca="false">MAX($D$4,(1+Q251-VLOOKUP(VALUE(D252),$M$18:$Q251,5,TRUE()))*$D$4)</f>
        <v>#N/A</v>
      </c>
      <c r="G252" s="48" t="n">
        <v>0.5</v>
      </c>
      <c r="H252" s="46" t="e">
        <f aca="true">IF((B252=1),(IF((F252&lt;E252),1,(IF((F252=E252),(IF(RAND()&lt;G252,1,0)),0)))),(IF((RAND()&lt;G252),1,0)))</f>
        <v>#N/A</v>
      </c>
      <c r="I252" s="46" t="e">
        <f aca="true">IF((H252=1),0,$D$3+$D$5*(RAND()-0.5))</f>
        <v>#N/A</v>
      </c>
      <c r="J252" s="46" t="e">
        <f aca="false">I252+MAX(D252,J251)</f>
        <v>#N/A</v>
      </c>
      <c r="K252" s="46" t="e">
        <f aca="false">IF((H252=0),J252-D252,0)</f>
        <v>#N/A</v>
      </c>
      <c r="L252" s="46" t="e">
        <f aca="true">IF(($H252=0),0,$D$4+$D$5*(RAND()-0.5))</f>
        <v>#N/A</v>
      </c>
      <c r="M252" s="46" t="e">
        <f aca="false">L252+MAX(D252,M251)</f>
        <v>#N/A</v>
      </c>
      <c r="N252" s="46" t="e">
        <f aca="false">IF((H252=1),M252-D252,0)</f>
        <v>#N/A</v>
      </c>
      <c r="O252" s="29" t="n">
        <v>235</v>
      </c>
      <c r="P252" s="49" t="e">
        <f aca="false">IF((Arterial=0),P251+1,P251)</f>
        <v>#N/A</v>
      </c>
      <c r="Q252" s="49" t="e">
        <f aca="false">IF((Arterial=1),Q251+1,Q251)</f>
        <v>#N/A</v>
      </c>
      <c r="R252" s="50" t="n">
        <f aca="false">IF((RESET=1),0,R252+K252)</f>
        <v>0</v>
      </c>
      <c r="S252" s="19" t="n">
        <f aca="false">IF(RESET=1,0,S252+N252)</f>
        <v>0</v>
      </c>
      <c r="T252" s="0" t="n">
        <f aca="false">IF(RESET=1,0,T252+IF(H252=0,1,0))</f>
        <v>0</v>
      </c>
      <c r="U252" s="0" t="n">
        <f aca="false">IF(RESET=1,0,U252+H252)</f>
        <v>0</v>
      </c>
      <c r="V252" s="19" t="n">
        <f aca="false">R252/(T252+0.00001)</f>
        <v>0</v>
      </c>
      <c r="W252" s="19" t="n">
        <f aca="false">S252/(U252+0.0001)</f>
        <v>0</v>
      </c>
      <c r="X252" s="47" t="e">
        <f aca="false">IF(Informed=1,K252,0)</f>
        <v>#N/A</v>
      </c>
      <c r="Y252" s="47" t="n">
        <f aca="false">IF(Informed=0,K252,0)</f>
        <v>0</v>
      </c>
      <c r="Z252" s="47" t="e">
        <f aca="false">IF(Informed=1,N252,0)</f>
        <v>#N/A</v>
      </c>
      <c r="AA252" s="47" t="n">
        <f aca="false">IF(Informed=0,N252,0)</f>
        <v>0</v>
      </c>
      <c r="AB252" s="51" t="e">
        <f aca="false">IF(Arterial=0,IF(Informed=1,1,0),0)</f>
        <v>#N/A</v>
      </c>
      <c r="AC252" s="51" t="e">
        <f aca="false">IF(Arterial=0,IF(Informed=0,1,0),0)</f>
        <v>#N/A</v>
      </c>
      <c r="AD252" s="51" t="e">
        <f aca="false">IF(Arterial=1,IF(Informed=1,1,0),0)</f>
        <v>#N/A</v>
      </c>
      <c r="AE252" s="51" t="e">
        <f aca="false">IF(Arterial=1,IF(Informed=0,1,0),0)</f>
        <v>#N/A</v>
      </c>
      <c r="AF252" s="44" t="e">
        <f aca="false">IF(AB252=1,(X252-G$1030)^2,0)</f>
        <v>#N/A</v>
      </c>
      <c r="AG252" s="44" t="e">
        <f aca="false">IF(AC252=1,(Y252-H$1030)^2,0)</f>
        <v>#N/A</v>
      </c>
      <c r="AH252" s="44" t="e">
        <f aca="false">IF(AD252=1,(Z252-I$1030)^2,0)</f>
        <v>#N/A</v>
      </c>
      <c r="AI252" s="44" t="e">
        <f aca="false">IF(AE252=1,(AA252-J$1030)^2,0)</f>
        <v>#N/A</v>
      </c>
    </row>
    <row r="253" customFormat="false" ht="12" hidden="false" customHeight="false" outlineLevel="0" collapsed="false">
      <c r="A253" s="29" t="n">
        <v>236</v>
      </c>
      <c r="B253" s="45" t="n">
        <f aca="true">IF(RAND()&lt;$D$8,1,0)</f>
        <v>1</v>
      </c>
      <c r="C253" s="34" t="n">
        <f aca="true">-LN(RAND())/$D$2</f>
        <v>1.14342309999759</v>
      </c>
      <c r="D253" s="46" t="n">
        <f aca="false">D252+C253</f>
        <v>367.139308939225</v>
      </c>
      <c r="E253" s="47" t="e">
        <f aca="false">MAX($D$3,(1+P252-VLOOKUP(VALUE(D253),$J$18:$Q252,7,TRUE()))*$D$3)</f>
        <v>#N/A</v>
      </c>
      <c r="F253" s="47" t="e">
        <f aca="false">MAX($D$4,(1+Q252-VLOOKUP(VALUE(D253),$M$18:$Q252,5,TRUE()))*$D$4)</f>
        <v>#N/A</v>
      </c>
      <c r="G253" s="48" t="n">
        <v>0.5</v>
      </c>
      <c r="H253" s="46" t="e">
        <f aca="true">IF((B253=1),(IF((F253&lt;E253),1,(IF((F253=E253),(IF(RAND()&lt;G253,1,0)),0)))),(IF((RAND()&lt;G253),1,0)))</f>
        <v>#N/A</v>
      </c>
      <c r="I253" s="46" t="e">
        <f aca="true">IF((H253=1),0,$D$3+$D$5*(RAND()-0.5))</f>
        <v>#N/A</v>
      </c>
      <c r="J253" s="46" t="e">
        <f aca="false">I253+MAX(D253,J252)</f>
        <v>#N/A</v>
      </c>
      <c r="K253" s="46" t="e">
        <f aca="false">IF((H253=0),J253-D253,0)</f>
        <v>#N/A</v>
      </c>
      <c r="L253" s="46" t="e">
        <f aca="true">IF(($H253=0),0,$D$4+$D$5*(RAND()-0.5))</f>
        <v>#N/A</v>
      </c>
      <c r="M253" s="46" t="e">
        <f aca="false">L253+MAX(D253,M252)</f>
        <v>#N/A</v>
      </c>
      <c r="N253" s="46" t="e">
        <f aca="false">IF((H253=1),M253-D253,0)</f>
        <v>#N/A</v>
      </c>
      <c r="O253" s="29" t="n">
        <v>236</v>
      </c>
      <c r="P253" s="49" t="e">
        <f aca="false">IF((Arterial=0),P252+1,P252)</f>
        <v>#N/A</v>
      </c>
      <c r="Q253" s="49" t="e">
        <f aca="false">IF((Arterial=1),Q252+1,Q252)</f>
        <v>#N/A</v>
      </c>
      <c r="R253" s="50" t="n">
        <f aca="false">IF((RESET=1),0,R253+K253)</f>
        <v>0</v>
      </c>
      <c r="S253" s="19" t="n">
        <f aca="false">IF(RESET=1,0,S253+N253)</f>
        <v>0</v>
      </c>
      <c r="T253" s="0" t="n">
        <f aca="false">IF(RESET=1,0,T253+IF(H253=0,1,0))</f>
        <v>0</v>
      </c>
      <c r="U253" s="0" t="n">
        <f aca="false">IF(RESET=1,0,U253+H253)</f>
        <v>0</v>
      </c>
      <c r="V253" s="19" t="n">
        <f aca="false">R253/(T253+0.00001)</f>
        <v>0</v>
      </c>
      <c r="W253" s="19" t="n">
        <f aca="false">S253/(U253+0.0001)</f>
        <v>0</v>
      </c>
      <c r="X253" s="47" t="e">
        <f aca="false">IF(Informed=1,K253,0)</f>
        <v>#N/A</v>
      </c>
      <c r="Y253" s="47" t="n">
        <f aca="false">IF(Informed=0,K253,0)</f>
        <v>0</v>
      </c>
      <c r="Z253" s="47" t="e">
        <f aca="false">IF(Informed=1,N253,0)</f>
        <v>#N/A</v>
      </c>
      <c r="AA253" s="47" t="n">
        <f aca="false">IF(Informed=0,N253,0)</f>
        <v>0</v>
      </c>
      <c r="AB253" s="51" t="e">
        <f aca="false">IF(Arterial=0,IF(Informed=1,1,0),0)</f>
        <v>#N/A</v>
      </c>
      <c r="AC253" s="51" t="e">
        <f aca="false">IF(Arterial=0,IF(Informed=0,1,0),0)</f>
        <v>#N/A</v>
      </c>
      <c r="AD253" s="51" t="e">
        <f aca="false">IF(Arterial=1,IF(Informed=1,1,0),0)</f>
        <v>#N/A</v>
      </c>
      <c r="AE253" s="51" t="e">
        <f aca="false">IF(Arterial=1,IF(Informed=0,1,0),0)</f>
        <v>#N/A</v>
      </c>
      <c r="AF253" s="44" t="e">
        <f aca="false">IF(AB253=1,(X253-G$1030)^2,0)</f>
        <v>#N/A</v>
      </c>
      <c r="AG253" s="44" t="e">
        <f aca="false">IF(AC253=1,(Y253-H$1030)^2,0)</f>
        <v>#N/A</v>
      </c>
      <c r="AH253" s="44" t="e">
        <f aca="false">IF(AD253=1,(Z253-I$1030)^2,0)</f>
        <v>#N/A</v>
      </c>
      <c r="AI253" s="44" t="e">
        <f aca="false">IF(AE253=1,(AA253-J$1030)^2,0)</f>
        <v>#N/A</v>
      </c>
    </row>
    <row r="254" customFormat="false" ht="12" hidden="false" customHeight="false" outlineLevel="0" collapsed="false">
      <c r="A254" s="29" t="n">
        <v>237</v>
      </c>
      <c r="B254" s="45" t="n">
        <f aca="true">IF(RAND()&lt;$D$8,1,0)</f>
        <v>1</v>
      </c>
      <c r="C254" s="34" t="n">
        <f aca="true">-LN(RAND())/$D$2</f>
        <v>2.07572690466286</v>
      </c>
      <c r="D254" s="46" t="n">
        <f aca="false">D253+C254</f>
        <v>369.215035843888</v>
      </c>
      <c r="E254" s="47" t="e">
        <f aca="false">MAX($D$3,(1+P253-VLOOKUP(VALUE(D254),$J$18:$Q253,7,TRUE()))*$D$3)</f>
        <v>#N/A</v>
      </c>
      <c r="F254" s="47" t="e">
        <f aca="false">MAX($D$4,(1+Q253-VLOOKUP(VALUE(D254),$M$18:$Q253,5,TRUE()))*$D$4)</f>
        <v>#N/A</v>
      </c>
      <c r="G254" s="48" t="n">
        <v>0.5</v>
      </c>
      <c r="H254" s="46" t="e">
        <f aca="true">IF((B254=1),(IF((F254&lt;E254),1,(IF((F254=E254),(IF(RAND()&lt;G254,1,0)),0)))),(IF((RAND()&lt;G254),1,0)))</f>
        <v>#N/A</v>
      </c>
      <c r="I254" s="46" t="e">
        <f aca="true">IF((H254=1),0,$D$3+$D$5*(RAND()-0.5))</f>
        <v>#N/A</v>
      </c>
      <c r="J254" s="46" t="e">
        <f aca="false">I254+MAX(D254,J253)</f>
        <v>#N/A</v>
      </c>
      <c r="K254" s="46" t="e">
        <f aca="false">IF((H254=0),J254-D254,0)</f>
        <v>#N/A</v>
      </c>
      <c r="L254" s="46" t="e">
        <f aca="true">IF(($H254=0),0,$D$4+$D$5*(RAND()-0.5))</f>
        <v>#N/A</v>
      </c>
      <c r="M254" s="46" t="e">
        <f aca="false">L254+MAX(D254,M253)</f>
        <v>#N/A</v>
      </c>
      <c r="N254" s="46" t="e">
        <f aca="false">IF((H254=1),M254-D254,0)</f>
        <v>#N/A</v>
      </c>
      <c r="O254" s="29" t="n">
        <v>237</v>
      </c>
      <c r="P254" s="49" t="e">
        <f aca="false">IF((Arterial=0),P253+1,P253)</f>
        <v>#N/A</v>
      </c>
      <c r="Q254" s="49" t="e">
        <f aca="false">IF((Arterial=1),Q253+1,Q253)</f>
        <v>#N/A</v>
      </c>
      <c r="R254" s="50" t="n">
        <f aca="false">IF((RESET=1),0,R254+K254)</f>
        <v>0</v>
      </c>
      <c r="S254" s="19" t="n">
        <f aca="false">IF(RESET=1,0,S254+N254)</f>
        <v>0</v>
      </c>
      <c r="T254" s="0" t="n">
        <f aca="false">IF(RESET=1,0,T254+IF(H254=0,1,0))</f>
        <v>0</v>
      </c>
      <c r="U254" s="0" t="n">
        <f aca="false">IF(RESET=1,0,U254+H254)</f>
        <v>0</v>
      </c>
      <c r="V254" s="19" t="n">
        <f aca="false">R254/(T254+0.00001)</f>
        <v>0</v>
      </c>
      <c r="W254" s="19" t="n">
        <f aca="false">S254/(U254+0.0001)</f>
        <v>0</v>
      </c>
      <c r="X254" s="47" t="e">
        <f aca="false">IF(Informed=1,K254,0)</f>
        <v>#N/A</v>
      </c>
      <c r="Y254" s="47" t="n">
        <f aca="false">IF(Informed=0,K254,0)</f>
        <v>0</v>
      </c>
      <c r="Z254" s="47" t="e">
        <f aca="false">IF(Informed=1,N254,0)</f>
        <v>#N/A</v>
      </c>
      <c r="AA254" s="47" t="n">
        <f aca="false">IF(Informed=0,N254,0)</f>
        <v>0</v>
      </c>
      <c r="AB254" s="51" t="e">
        <f aca="false">IF(Arterial=0,IF(Informed=1,1,0),0)</f>
        <v>#N/A</v>
      </c>
      <c r="AC254" s="51" t="e">
        <f aca="false">IF(Arterial=0,IF(Informed=0,1,0),0)</f>
        <v>#N/A</v>
      </c>
      <c r="AD254" s="51" t="e">
        <f aca="false">IF(Arterial=1,IF(Informed=1,1,0),0)</f>
        <v>#N/A</v>
      </c>
      <c r="AE254" s="51" t="e">
        <f aca="false">IF(Arterial=1,IF(Informed=0,1,0),0)</f>
        <v>#N/A</v>
      </c>
      <c r="AF254" s="44" t="e">
        <f aca="false">IF(AB254=1,(X254-G$1030)^2,0)</f>
        <v>#N/A</v>
      </c>
      <c r="AG254" s="44" t="e">
        <f aca="false">IF(AC254=1,(Y254-H$1030)^2,0)</f>
        <v>#N/A</v>
      </c>
      <c r="AH254" s="44" t="e">
        <f aca="false">IF(AD254=1,(Z254-I$1030)^2,0)</f>
        <v>#N/A</v>
      </c>
      <c r="AI254" s="44" t="e">
        <f aca="false">IF(AE254=1,(AA254-J$1030)^2,0)</f>
        <v>#N/A</v>
      </c>
    </row>
    <row r="255" customFormat="false" ht="12" hidden="false" customHeight="false" outlineLevel="0" collapsed="false">
      <c r="A255" s="29" t="n">
        <v>238</v>
      </c>
      <c r="B255" s="45" t="n">
        <f aca="true">IF(RAND()&lt;$D$8,1,0)</f>
        <v>1</v>
      </c>
      <c r="C255" s="34" t="n">
        <f aca="true">-LN(RAND())/$D$2</f>
        <v>0.774680666699754</v>
      </c>
      <c r="D255" s="46" t="n">
        <f aca="false">D254+C255</f>
        <v>369.989716510588</v>
      </c>
      <c r="E255" s="47" t="e">
        <f aca="false">MAX($D$3,(1+P254-VLOOKUP(VALUE(D255),$J$18:$Q254,7,TRUE()))*$D$3)</f>
        <v>#N/A</v>
      </c>
      <c r="F255" s="47" t="e">
        <f aca="false">MAX($D$4,(1+Q254-VLOOKUP(VALUE(D255),$M$18:$Q254,5,TRUE()))*$D$4)</f>
        <v>#N/A</v>
      </c>
      <c r="G255" s="48" t="n">
        <v>0.5</v>
      </c>
      <c r="H255" s="46" t="e">
        <f aca="true">IF((B255=1),(IF((F255&lt;E255),1,(IF((F255=E255),(IF(RAND()&lt;G255,1,0)),0)))),(IF((RAND()&lt;G255),1,0)))</f>
        <v>#N/A</v>
      </c>
      <c r="I255" s="46" t="e">
        <f aca="true">IF((H255=1),0,$D$3+$D$5*(RAND()-0.5))</f>
        <v>#N/A</v>
      </c>
      <c r="J255" s="46" t="e">
        <f aca="false">I255+MAX(D255,J254)</f>
        <v>#N/A</v>
      </c>
      <c r="K255" s="46" t="e">
        <f aca="false">IF((H255=0),J255-D255,0)</f>
        <v>#N/A</v>
      </c>
      <c r="L255" s="46" t="e">
        <f aca="true">IF(($H255=0),0,$D$4+$D$5*(RAND()-0.5))</f>
        <v>#N/A</v>
      </c>
      <c r="M255" s="46" t="e">
        <f aca="false">L255+MAX(D255,M254)</f>
        <v>#N/A</v>
      </c>
      <c r="N255" s="46" t="e">
        <f aca="false">IF((H255=1),M255-D255,0)</f>
        <v>#N/A</v>
      </c>
      <c r="O255" s="29" t="n">
        <v>238</v>
      </c>
      <c r="P255" s="49" t="e">
        <f aca="false">IF((Arterial=0),P254+1,P254)</f>
        <v>#N/A</v>
      </c>
      <c r="Q255" s="49" t="e">
        <f aca="false">IF((Arterial=1),Q254+1,Q254)</f>
        <v>#N/A</v>
      </c>
      <c r="R255" s="50" t="n">
        <f aca="false">IF((RESET=1),0,R255+K255)</f>
        <v>0</v>
      </c>
      <c r="S255" s="19" t="n">
        <f aca="false">IF(RESET=1,0,S255+N255)</f>
        <v>0</v>
      </c>
      <c r="T255" s="0" t="n">
        <f aca="false">IF(RESET=1,0,T255+IF(H255=0,1,0))</f>
        <v>0</v>
      </c>
      <c r="U255" s="0" t="n">
        <f aca="false">IF(RESET=1,0,U255+H255)</f>
        <v>0</v>
      </c>
      <c r="V255" s="19" t="n">
        <f aca="false">R255/(T255+0.00001)</f>
        <v>0</v>
      </c>
      <c r="W255" s="19" t="n">
        <f aca="false">S255/(U255+0.0001)</f>
        <v>0</v>
      </c>
      <c r="X255" s="47" t="e">
        <f aca="false">IF(Informed=1,K255,0)</f>
        <v>#N/A</v>
      </c>
      <c r="Y255" s="47" t="n">
        <f aca="false">IF(Informed=0,K255,0)</f>
        <v>0</v>
      </c>
      <c r="Z255" s="47" t="e">
        <f aca="false">IF(Informed=1,N255,0)</f>
        <v>#N/A</v>
      </c>
      <c r="AA255" s="47" t="n">
        <f aca="false">IF(Informed=0,N255,0)</f>
        <v>0</v>
      </c>
      <c r="AB255" s="51" t="e">
        <f aca="false">IF(Arterial=0,IF(Informed=1,1,0),0)</f>
        <v>#N/A</v>
      </c>
      <c r="AC255" s="51" t="e">
        <f aca="false">IF(Arterial=0,IF(Informed=0,1,0),0)</f>
        <v>#N/A</v>
      </c>
      <c r="AD255" s="51" t="e">
        <f aca="false">IF(Arterial=1,IF(Informed=1,1,0),0)</f>
        <v>#N/A</v>
      </c>
      <c r="AE255" s="51" t="e">
        <f aca="false">IF(Arterial=1,IF(Informed=0,1,0),0)</f>
        <v>#N/A</v>
      </c>
      <c r="AF255" s="44" t="e">
        <f aca="false">IF(AB255=1,(X255-G$1030)^2,0)</f>
        <v>#N/A</v>
      </c>
      <c r="AG255" s="44" t="e">
        <f aca="false">IF(AC255=1,(Y255-H$1030)^2,0)</f>
        <v>#N/A</v>
      </c>
      <c r="AH255" s="44" t="e">
        <f aca="false">IF(AD255=1,(Z255-I$1030)^2,0)</f>
        <v>#N/A</v>
      </c>
      <c r="AI255" s="44" t="e">
        <f aca="false">IF(AE255=1,(AA255-J$1030)^2,0)</f>
        <v>#N/A</v>
      </c>
    </row>
    <row r="256" customFormat="false" ht="12" hidden="false" customHeight="false" outlineLevel="0" collapsed="false">
      <c r="A256" s="29" t="n">
        <v>239</v>
      </c>
      <c r="B256" s="45" t="n">
        <f aca="true">IF(RAND()&lt;$D$8,1,0)</f>
        <v>1</v>
      </c>
      <c r="C256" s="34" t="n">
        <f aca="true">-LN(RAND())/$D$2</f>
        <v>3.69237680199255</v>
      </c>
      <c r="D256" s="46" t="n">
        <f aca="false">D255+C256</f>
        <v>373.68209331258</v>
      </c>
      <c r="E256" s="47" t="e">
        <f aca="false">MAX($D$3,(1+P255-VLOOKUP(VALUE(D256),$J$18:$Q255,7,TRUE()))*$D$3)</f>
        <v>#N/A</v>
      </c>
      <c r="F256" s="47" t="e">
        <f aca="false">MAX($D$4,(1+Q255-VLOOKUP(VALUE(D256),$M$18:$Q255,5,TRUE()))*$D$4)</f>
        <v>#N/A</v>
      </c>
      <c r="G256" s="48" t="n">
        <v>0.5</v>
      </c>
      <c r="H256" s="46" t="e">
        <f aca="true">IF((B256=1),(IF((F256&lt;E256),1,(IF((F256=E256),(IF(RAND()&lt;G256,1,0)),0)))),(IF((RAND()&lt;G256),1,0)))</f>
        <v>#N/A</v>
      </c>
      <c r="I256" s="46" t="e">
        <f aca="true">IF((H256=1),0,$D$3+$D$5*(RAND()-0.5))</f>
        <v>#N/A</v>
      </c>
      <c r="J256" s="46" t="e">
        <f aca="false">I256+MAX(D256,J255)</f>
        <v>#N/A</v>
      </c>
      <c r="K256" s="46" t="e">
        <f aca="false">IF((H256=0),J256-D256,0)</f>
        <v>#N/A</v>
      </c>
      <c r="L256" s="46" t="e">
        <f aca="true">IF(($H256=0),0,$D$4+$D$5*(RAND()-0.5))</f>
        <v>#N/A</v>
      </c>
      <c r="M256" s="46" t="e">
        <f aca="false">L256+MAX(D256,M255)</f>
        <v>#N/A</v>
      </c>
      <c r="N256" s="46" t="e">
        <f aca="false">IF((H256=1),M256-D256,0)</f>
        <v>#N/A</v>
      </c>
      <c r="O256" s="29" t="n">
        <v>239</v>
      </c>
      <c r="P256" s="49" t="e">
        <f aca="false">IF((Arterial=0),P255+1,P255)</f>
        <v>#N/A</v>
      </c>
      <c r="Q256" s="49" t="e">
        <f aca="false">IF((Arterial=1),Q255+1,Q255)</f>
        <v>#N/A</v>
      </c>
      <c r="R256" s="50" t="n">
        <f aca="false">IF((RESET=1),0,R256+K256)</f>
        <v>0</v>
      </c>
      <c r="S256" s="19" t="n">
        <f aca="false">IF(RESET=1,0,S256+N256)</f>
        <v>0</v>
      </c>
      <c r="T256" s="0" t="n">
        <f aca="false">IF(RESET=1,0,T256+IF(H256=0,1,0))</f>
        <v>0</v>
      </c>
      <c r="U256" s="0" t="n">
        <f aca="false">IF(RESET=1,0,U256+H256)</f>
        <v>0</v>
      </c>
      <c r="V256" s="19" t="n">
        <f aca="false">R256/(T256+0.00001)</f>
        <v>0</v>
      </c>
      <c r="W256" s="19" t="n">
        <f aca="false">S256/(U256+0.0001)</f>
        <v>0</v>
      </c>
      <c r="X256" s="47" t="e">
        <f aca="false">IF(Informed=1,K256,0)</f>
        <v>#N/A</v>
      </c>
      <c r="Y256" s="47" t="n">
        <f aca="false">IF(Informed=0,K256,0)</f>
        <v>0</v>
      </c>
      <c r="Z256" s="47" t="e">
        <f aca="false">IF(Informed=1,N256,0)</f>
        <v>#N/A</v>
      </c>
      <c r="AA256" s="47" t="n">
        <f aca="false">IF(Informed=0,N256,0)</f>
        <v>0</v>
      </c>
      <c r="AB256" s="51" t="e">
        <f aca="false">IF(Arterial=0,IF(Informed=1,1,0),0)</f>
        <v>#N/A</v>
      </c>
      <c r="AC256" s="51" t="e">
        <f aca="false">IF(Arterial=0,IF(Informed=0,1,0),0)</f>
        <v>#N/A</v>
      </c>
      <c r="AD256" s="51" t="e">
        <f aca="false">IF(Arterial=1,IF(Informed=1,1,0),0)</f>
        <v>#N/A</v>
      </c>
      <c r="AE256" s="51" t="e">
        <f aca="false">IF(Arterial=1,IF(Informed=0,1,0),0)</f>
        <v>#N/A</v>
      </c>
      <c r="AF256" s="44" t="e">
        <f aca="false">IF(AB256=1,(X256-G$1030)^2,0)</f>
        <v>#N/A</v>
      </c>
      <c r="AG256" s="44" t="e">
        <f aca="false">IF(AC256=1,(Y256-H$1030)^2,0)</f>
        <v>#N/A</v>
      </c>
      <c r="AH256" s="44" t="e">
        <f aca="false">IF(AD256=1,(Z256-I$1030)^2,0)</f>
        <v>#N/A</v>
      </c>
      <c r="AI256" s="44" t="e">
        <f aca="false">IF(AE256=1,(AA256-J$1030)^2,0)</f>
        <v>#N/A</v>
      </c>
    </row>
    <row r="257" customFormat="false" ht="12" hidden="false" customHeight="false" outlineLevel="0" collapsed="false">
      <c r="A257" s="29" t="n">
        <v>240</v>
      </c>
      <c r="B257" s="45" t="n">
        <f aca="true">IF(RAND()&lt;$D$8,1,0)</f>
        <v>1</v>
      </c>
      <c r="C257" s="34" t="n">
        <f aca="true">-LN(RAND())/$D$2</f>
        <v>0.80413728057461</v>
      </c>
      <c r="D257" s="46" t="n">
        <f aca="false">D256+C257</f>
        <v>374.486230593155</v>
      </c>
      <c r="E257" s="47" t="e">
        <f aca="false">MAX($D$3,(1+P256-VLOOKUP(VALUE(D257),$J$18:$Q256,7,TRUE()))*$D$3)</f>
        <v>#N/A</v>
      </c>
      <c r="F257" s="47" t="e">
        <f aca="false">MAX($D$4,(1+Q256-VLOOKUP(VALUE(D257),$M$18:$Q256,5,TRUE()))*$D$4)</f>
        <v>#N/A</v>
      </c>
      <c r="G257" s="48" t="n">
        <v>0.5</v>
      </c>
      <c r="H257" s="46" t="e">
        <f aca="true">IF((B257=1),(IF((F257&lt;E257),1,(IF((F257=E257),(IF(RAND()&lt;G257,1,0)),0)))),(IF((RAND()&lt;G257),1,0)))</f>
        <v>#N/A</v>
      </c>
      <c r="I257" s="46" t="e">
        <f aca="true">IF((H257=1),0,$D$3+$D$5*(RAND()-0.5))</f>
        <v>#N/A</v>
      </c>
      <c r="J257" s="46" t="e">
        <f aca="false">I257+MAX(D257,J256)</f>
        <v>#N/A</v>
      </c>
      <c r="K257" s="46" t="e">
        <f aca="false">IF((H257=0),J257-D257,0)</f>
        <v>#N/A</v>
      </c>
      <c r="L257" s="46" t="e">
        <f aca="true">IF(($H257=0),0,$D$4+$D$5*(RAND()-0.5))</f>
        <v>#N/A</v>
      </c>
      <c r="M257" s="46" t="e">
        <f aca="false">L257+MAX(D257,M256)</f>
        <v>#N/A</v>
      </c>
      <c r="N257" s="46" t="e">
        <f aca="false">IF((H257=1),M257-D257,0)</f>
        <v>#N/A</v>
      </c>
      <c r="O257" s="29" t="n">
        <v>240</v>
      </c>
      <c r="P257" s="49" t="e">
        <f aca="false">IF((Arterial=0),P256+1,P256)</f>
        <v>#N/A</v>
      </c>
      <c r="Q257" s="49" t="e">
        <f aca="false">IF((Arterial=1),Q256+1,Q256)</f>
        <v>#N/A</v>
      </c>
      <c r="R257" s="50" t="n">
        <f aca="false">IF((RESET=1),0,R257+K257)</f>
        <v>0</v>
      </c>
      <c r="S257" s="19" t="n">
        <f aca="false">IF(RESET=1,0,S257+N257)</f>
        <v>0</v>
      </c>
      <c r="T257" s="0" t="n">
        <f aca="false">IF(RESET=1,0,T257+IF(H257=0,1,0))</f>
        <v>0</v>
      </c>
      <c r="U257" s="0" t="n">
        <f aca="false">IF(RESET=1,0,U257+H257)</f>
        <v>0</v>
      </c>
      <c r="V257" s="19" t="n">
        <f aca="false">R257/(T257+0.00001)</f>
        <v>0</v>
      </c>
      <c r="W257" s="19" t="n">
        <f aca="false">S257/(U257+0.0001)</f>
        <v>0</v>
      </c>
      <c r="X257" s="47" t="e">
        <f aca="false">IF(Informed=1,K257,0)</f>
        <v>#N/A</v>
      </c>
      <c r="Y257" s="47" t="n">
        <f aca="false">IF(Informed=0,K257,0)</f>
        <v>0</v>
      </c>
      <c r="Z257" s="47" t="e">
        <f aca="false">IF(Informed=1,N257,0)</f>
        <v>#N/A</v>
      </c>
      <c r="AA257" s="47" t="n">
        <f aca="false">IF(Informed=0,N257,0)</f>
        <v>0</v>
      </c>
      <c r="AB257" s="51" t="e">
        <f aca="false">IF(Arterial=0,IF(Informed=1,1,0),0)</f>
        <v>#N/A</v>
      </c>
      <c r="AC257" s="51" t="e">
        <f aca="false">IF(Arterial=0,IF(Informed=0,1,0),0)</f>
        <v>#N/A</v>
      </c>
      <c r="AD257" s="51" t="e">
        <f aca="false">IF(Arterial=1,IF(Informed=1,1,0),0)</f>
        <v>#N/A</v>
      </c>
      <c r="AE257" s="51" t="e">
        <f aca="false">IF(Arterial=1,IF(Informed=0,1,0),0)</f>
        <v>#N/A</v>
      </c>
      <c r="AF257" s="44" t="e">
        <f aca="false">IF(AB257=1,(X257-G$1030)^2,0)</f>
        <v>#N/A</v>
      </c>
      <c r="AG257" s="44" t="e">
        <f aca="false">IF(AC257=1,(Y257-H$1030)^2,0)</f>
        <v>#N/A</v>
      </c>
      <c r="AH257" s="44" t="e">
        <f aca="false">IF(AD257=1,(Z257-I$1030)^2,0)</f>
        <v>#N/A</v>
      </c>
      <c r="AI257" s="44" t="e">
        <f aca="false">IF(AE257=1,(AA257-J$1030)^2,0)</f>
        <v>#N/A</v>
      </c>
    </row>
    <row r="258" customFormat="false" ht="12" hidden="false" customHeight="false" outlineLevel="0" collapsed="false">
      <c r="A258" s="29" t="n">
        <v>241</v>
      </c>
      <c r="B258" s="45" t="n">
        <f aca="true">IF(RAND()&lt;$D$8,1,0)</f>
        <v>1</v>
      </c>
      <c r="C258" s="34" t="n">
        <f aca="true">-LN(RAND())/$D$2</f>
        <v>0.596302173205271</v>
      </c>
      <c r="D258" s="46" t="n">
        <f aca="false">D257+C258</f>
        <v>375.08253276636</v>
      </c>
      <c r="E258" s="47" t="e">
        <f aca="false">MAX($D$3,(1+P257-VLOOKUP(VALUE(D258),$J$18:$Q257,7,TRUE()))*$D$3)</f>
        <v>#N/A</v>
      </c>
      <c r="F258" s="47" t="e">
        <f aca="false">MAX($D$4,(1+Q257-VLOOKUP(VALUE(D258),$M$18:$Q257,5,TRUE()))*$D$4)</f>
        <v>#N/A</v>
      </c>
      <c r="G258" s="48" t="n">
        <v>0.5</v>
      </c>
      <c r="H258" s="46" t="e">
        <f aca="true">IF((B258=1),(IF((F258&lt;E258),1,(IF((F258=E258),(IF(RAND()&lt;G258,1,0)),0)))),(IF((RAND()&lt;G258),1,0)))</f>
        <v>#N/A</v>
      </c>
      <c r="I258" s="46" t="e">
        <f aca="true">IF((H258=1),0,$D$3+$D$5*(RAND()-0.5))</f>
        <v>#N/A</v>
      </c>
      <c r="J258" s="46" t="e">
        <f aca="false">I258+MAX(D258,J257)</f>
        <v>#N/A</v>
      </c>
      <c r="K258" s="46" t="e">
        <f aca="false">IF((H258=0),J258-D258,0)</f>
        <v>#N/A</v>
      </c>
      <c r="L258" s="46" t="e">
        <f aca="true">IF(($H258=0),0,$D$4+$D$5*(RAND()-0.5))</f>
        <v>#N/A</v>
      </c>
      <c r="M258" s="46" t="e">
        <f aca="false">L258+MAX(D258,M257)</f>
        <v>#N/A</v>
      </c>
      <c r="N258" s="46" t="e">
        <f aca="false">IF((H258=1),M258-D258,0)</f>
        <v>#N/A</v>
      </c>
      <c r="O258" s="29" t="n">
        <v>241</v>
      </c>
      <c r="P258" s="49" t="e">
        <f aca="false">IF((Arterial=0),P257+1,P257)</f>
        <v>#N/A</v>
      </c>
      <c r="Q258" s="49" t="e">
        <f aca="false">IF((Arterial=1),Q257+1,Q257)</f>
        <v>#N/A</v>
      </c>
      <c r="R258" s="50" t="n">
        <f aca="false">IF((RESET=1),0,R258+K258)</f>
        <v>0</v>
      </c>
      <c r="S258" s="19" t="n">
        <f aca="false">IF(RESET=1,0,S258+N258)</f>
        <v>0</v>
      </c>
      <c r="T258" s="0" t="n">
        <f aca="false">IF(RESET=1,0,T258+IF(H258=0,1,0))</f>
        <v>0</v>
      </c>
      <c r="U258" s="0" t="n">
        <f aca="false">IF(RESET=1,0,U258+H258)</f>
        <v>0</v>
      </c>
      <c r="V258" s="19" t="n">
        <f aca="false">R258/(T258+0.00001)</f>
        <v>0</v>
      </c>
      <c r="W258" s="19" t="n">
        <f aca="false">S258/(U258+0.0001)</f>
        <v>0</v>
      </c>
      <c r="X258" s="47" t="e">
        <f aca="false">IF(Informed=1,K258,0)</f>
        <v>#N/A</v>
      </c>
      <c r="Y258" s="47" t="n">
        <f aca="false">IF(Informed=0,K258,0)</f>
        <v>0</v>
      </c>
      <c r="Z258" s="47" t="e">
        <f aca="false">IF(Informed=1,N258,0)</f>
        <v>#N/A</v>
      </c>
      <c r="AA258" s="47" t="n">
        <f aca="false">IF(Informed=0,N258,0)</f>
        <v>0</v>
      </c>
      <c r="AB258" s="51" t="e">
        <f aca="false">IF(Arterial=0,IF(Informed=1,1,0),0)</f>
        <v>#N/A</v>
      </c>
      <c r="AC258" s="51" t="e">
        <f aca="false">IF(Arterial=0,IF(Informed=0,1,0),0)</f>
        <v>#N/A</v>
      </c>
      <c r="AD258" s="51" t="e">
        <f aca="false">IF(Arterial=1,IF(Informed=1,1,0),0)</f>
        <v>#N/A</v>
      </c>
      <c r="AE258" s="51" t="e">
        <f aca="false">IF(Arterial=1,IF(Informed=0,1,0),0)</f>
        <v>#N/A</v>
      </c>
      <c r="AF258" s="44" t="e">
        <f aca="false">IF(AB258=1,(X258-G$1030)^2,0)</f>
        <v>#N/A</v>
      </c>
      <c r="AG258" s="44" t="e">
        <f aca="false">IF(AC258=1,(Y258-H$1030)^2,0)</f>
        <v>#N/A</v>
      </c>
      <c r="AH258" s="44" t="e">
        <f aca="false">IF(AD258=1,(Z258-I$1030)^2,0)</f>
        <v>#N/A</v>
      </c>
      <c r="AI258" s="44" t="e">
        <f aca="false">IF(AE258=1,(AA258-J$1030)^2,0)</f>
        <v>#N/A</v>
      </c>
    </row>
    <row r="259" customFormat="false" ht="12" hidden="false" customHeight="false" outlineLevel="0" collapsed="false">
      <c r="A259" s="29" t="n">
        <v>242</v>
      </c>
      <c r="B259" s="45" t="n">
        <f aca="true">IF(RAND()&lt;$D$8,1,0)</f>
        <v>1</v>
      </c>
      <c r="C259" s="34" t="n">
        <f aca="true">-LN(RAND())/$D$2</f>
        <v>0.236102843455947</v>
      </c>
      <c r="D259" s="46" t="n">
        <f aca="false">D258+C259</f>
        <v>375.318635609816</v>
      </c>
      <c r="E259" s="47" t="e">
        <f aca="false">MAX($D$3,(1+P258-VLOOKUP(VALUE(D259),$J$18:$Q258,7,TRUE()))*$D$3)</f>
        <v>#N/A</v>
      </c>
      <c r="F259" s="47" t="e">
        <f aca="false">MAX($D$4,(1+Q258-VLOOKUP(VALUE(D259),$M$18:$Q258,5,TRUE()))*$D$4)</f>
        <v>#N/A</v>
      </c>
      <c r="G259" s="48" t="n">
        <v>0.5</v>
      </c>
      <c r="H259" s="46" t="e">
        <f aca="true">IF((B259=1),(IF((F259&lt;E259),1,(IF((F259=E259),(IF(RAND()&lt;G259,1,0)),0)))),(IF((RAND()&lt;G259),1,0)))</f>
        <v>#N/A</v>
      </c>
      <c r="I259" s="46" t="e">
        <f aca="true">IF((H259=1),0,$D$3+$D$5*(RAND()-0.5))</f>
        <v>#N/A</v>
      </c>
      <c r="J259" s="46" t="e">
        <f aca="false">I259+MAX(D259,J258)</f>
        <v>#N/A</v>
      </c>
      <c r="K259" s="46" t="e">
        <f aca="false">IF((H259=0),J259-D259,0)</f>
        <v>#N/A</v>
      </c>
      <c r="L259" s="46" t="e">
        <f aca="true">IF(($H259=0),0,$D$4+$D$5*(RAND()-0.5))</f>
        <v>#N/A</v>
      </c>
      <c r="M259" s="46" t="e">
        <f aca="false">L259+MAX(D259,M258)</f>
        <v>#N/A</v>
      </c>
      <c r="N259" s="46" t="e">
        <f aca="false">IF((H259=1),M259-D259,0)</f>
        <v>#N/A</v>
      </c>
      <c r="O259" s="29" t="n">
        <v>242</v>
      </c>
      <c r="P259" s="49" t="e">
        <f aca="false">IF((Arterial=0),P258+1,P258)</f>
        <v>#N/A</v>
      </c>
      <c r="Q259" s="49" t="e">
        <f aca="false">IF((Arterial=1),Q258+1,Q258)</f>
        <v>#N/A</v>
      </c>
      <c r="R259" s="50" t="n">
        <f aca="false">IF((RESET=1),0,R259+K259)</f>
        <v>0</v>
      </c>
      <c r="S259" s="19" t="n">
        <f aca="false">IF(RESET=1,0,S259+N259)</f>
        <v>0</v>
      </c>
      <c r="T259" s="0" t="n">
        <f aca="false">IF(RESET=1,0,T259+IF(H259=0,1,0))</f>
        <v>0</v>
      </c>
      <c r="U259" s="0" t="n">
        <f aca="false">IF(RESET=1,0,U259+H259)</f>
        <v>0</v>
      </c>
      <c r="V259" s="19" t="n">
        <f aca="false">R259/(T259+0.00001)</f>
        <v>0</v>
      </c>
      <c r="W259" s="19" t="n">
        <f aca="false">S259/(U259+0.0001)</f>
        <v>0</v>
      </c>
      <c r="X259" s="47" t="e">
        <f aca="false">IF(Informed=1,K259,0)</f>
        <v>#N/A</v>
      </c>
      <c r="Y259" s="47" t="n">
        <f aca="false">IF(Informed=0,K259,0)</f>
        <v>0</v>
      </c>
      <c r="Z259" s="47" t="e">
        <f aca="false">IF(Informed=1,N259,0)</f>
        <v>#N/A</v>
      </c>
      <c r="AA259" s="47" t="n">
        <f aca="false">IF(Informed=0,N259,0)</f>
        <v>0</v>
      </c>
      <c r="AB259" s="51" t="e">
        <f aca="false">IF(Arterial=0,IF(Informed=1,1,0),0)</f>
        <v>#N/A</v>
      </c>
      <c r="AC259" s="51" t="e">
        <f aca="false">IF(Arterial=0,IF(Informed=0,1,0),0)</f>
        <v>#N/A</v>
      </c>
      <c r="AD259" s="51" t="e">
        <f aca="false">IF(Arterial=1,IF(Informed=1,1,0),0)</f>
        <v>#N/A</v>
      </c>
      <c r="AE259" s="51" t="e">
        <f aca="false">IF(Arterial=1,IF(Informed=0,1,0),0)</f>
        <v>#N/A</v>
      </c>
      <c r="AF259" s="44" t="e">
        <f aca="false">IF(AB259=1,(X259-G$1030)^2,0)</f>
        <v>#N/A</v>
      </c>
      <c r="AG259" s="44" t="e">
        <f aca="false">IF(AC259=1,(Y259-H$1030)^2,0)</f>
        <v>#N/A</v>
      </c>
      <c r="AH259" s="44" t="e">
        <f aca="false">IF(AD259=1,(Z259-I$1030)^2,0)</f>
        <v>#N/A</v>
      </c>
      <c r="AI259" s="44" t="e">
        <f aca="false">IF(AE259=1,(AA259-J$1030)^2,0)</f>
        <v>#N/A</v>
      </c>
    </row>
    <row r="260" customFormat="false" ht="12" hidden="false" customHeight="false" outlineLevel="0" collapsed="false">
      <c r="A260" s="29" t="n">
        <v>243</v>
      </c>
      <c r="B260" s="45" t="n">
        <f aca="true">IF(RAND()&lt;$D$8,1,0)</f>
        <v>1</v>
      </c>
      <c r="C260" s="34" t="n">
        <f aca="true">-LN(RAND())/$D$2</f>
        <v>1.48277832581098</v>
      </c>
      <c r="D260" s="46" t="n">
        <f aca="false">D259+C260</f>
        <v>376.801413935627</v>
      </c>
      <c r="E260" s="47" t="e">
        <f aca="false">MAX($D$3,(1+P259-VLOOKUP(VALUE(D260),$J$18:$Q259,7,TRUE()))*$D$3)</f>
        <v>#N/A</v>
      </c>
      <c r="F260" s="47" t="e">
        <f aca="false">MAX($D$4,(1+Q259-VLOOKUP(VALUE(D260),$M$18:$Q259,5,TRUE()))*$D$4)</f>
        <v>#N/A</v>
      </c>
      <c r="G260" s="48" t="n">
        <v>0.5</v>
      </c>
      <c r="H260" s="46" t="e">
        <f aca="true">IF((B260=1),(IF((F260&lt;E260),1,(IF((F260=E260),(IF(RAND()&lt;G260,1,0)),0)))),(IF((RAND()&lt;G260),1,0)))</f>
        <v>#N/A</v>
      </c>
      <c r="I260" s="46" t="e">
        <f aca="true">IF((H260=1),0,$D$3+$D$5*(RAND()-0.5))</f>
        <v>#N/A</v>
      </c>
      <c r="J260" s="46" t="e">
        <f aca="false">I260+MAX(D260,J259)</f>
        <v>#N/A</v>
      </c>
      <c r="K260" s="46" t="e">
        <f aca="false">IF((H260=0),J260-D260,0)</f>
        <v>#N/A</v>
      </c>
      <c r="L260" s="46" t="e">
        <f aca="true">IF(($H260=0),0,$D$4+$D$5*(RAND()-0.5))</f>
        <v>#N/A</v>
      </c>
      <c r="M260" s="46" t="e">
        <f aca="false">L260+MAX(D260,M259)</f>
        <v>#N/A</v>
      </c>
      <c r="N260" s="46" t="e">
        <f aca="false">IF((H260=1),M260-D260,0)</f>
        <v>#N/A</v>
      </c>
      <c r="O260" s="29" t="n">
        <v>243</v>
      </c>
      <c r="P260" s="49" t="e">
        <f aca="false">IF((Arterial=0),P259+1,P259)</f>
        <v>#N/A</v>
      </c>
      <c r="Q260" s="49" t="e">
        <f aca="false">IF((Arterial=1),Q259+1,Q259)</f>
        <v>#N/A</v>
      </c>
      <c r="R260" s="50" t="n">
        <f aca="false">IF((RESET=1),0,R260+K260)</f>
        <v>0</v>
      </c>
      <c r="S260" s="19" t="n">
        <f aca="false">IF(RESET=1,0,S260+N260)</f>
        <v>0</v>
      </c>
      <c r="T260" s="0" t="n">
        <f aca="false">IF(RESET=1,0,T260+IF(H260=0,1,0))</f>
        <v>0</v>
      </c>
      <c r="U260" s="0" t="n">
        <f aca="false">IF(RESET=1,0,U260+H260)</f>
        <v>0</v>
      </c>
      <c r="V260" s="19" t="n">
        <f aca="false">R260/(T260+0.00001)</f>
        <v>0</v>
      </c>
      <c r="W260" s="19" t="n">
        <f aca="false">S260/(U260+0.0001)</f>
        <v>0</v>
      </c>
      <c r="X260" s="47" t="e">
        <f aca="false">IF(Informed=1,K260,0)</f>
        <v>#N/A</v>
      </c>
      <c r="Y260" s="47" t="n">
        <f aca="false">IF(Informed=0,K260,0)</f>
        <v>0</v>
      </c>
      <c r="Z260" s="47" t="e">
        <f aca="false">IF(Informed=1,N260,0)</f>
        <v>#N/A</v>
      </c>
      <c r="AA260" s="47" t="n">
        <f aca="false">IF(Informed=0,N260,0)</f>
        <v>0</v>
      </c>
      <c r="AB260" s="51" t="e">
        <f aca="false">IF(Arterial=0,IF(Informed=1,1,0),0)</f>
        <v>#N/A</v>
      </c>
      <c r="AC260" s="51" t="e">
        <f aca="false">IF(Arterial=0,IF(Informed=0,1,0),0)</f>
        <v>#N/A</v>
      </c>
      <c r="AD260" s="51" t="e">
        <f aca="false">IF(Arterial=1,IF(Informed=1,1,0),0)</f>
        <v>#N/A</v>
      </c>
      <c r="AE260" s="51" t="e">
        <f aca="false">IF(Arterial=1,IF(Informed=0,1,0),0)</f>
        <v>#N/A</v>
      </c>
      <c r="AF260" s="44" t="e">
        <f aca="false">IF(AB260=1,(X260-G$1030)^2,0)</f>
        <v>#N/A</v>
      </c>
      <c r="AG260" s="44" t="e">
        <f aca="false">IF(AC260=1,(Y260-H$1030)^2,0)</f>
        <v>#N/A</v>
      </c>
      <c r="AH260" s="44" t="e">
        <f aca="false">IF(AD260=1,(Z260-I$1030)^2,0)</f>
        <v>#N/A</v>
      </c>
      <c r="AI260" s="44" t="e">
        <f aca="false">IF(AE260=1,(AA260-J$1030)^2,0)</f>
        <v>#N/A</v>
      </c>
    </row>
    <row r="261" customFormat="false" ht="12" hidden="false" customHeight="false" outlineLevel="0" collapsed="false">
      <c r="A261" s="29" t="n">
        <v>244</v>
      </c>
      <c r="B261" s="45" t="n">
        <f aca="true">IF(RAND()&lt;$D$8,1,0)</f>
        <v>1</v>
      </c>
      <c r="C261" s="34" t="n">
        <f aca="true">-LN(RAND())/$D$2</f>
        <v>1.74673693241393</v>
      </c>
      <c r="D261" s="46" t="n">
        <f aca="false">D260+C261</f>
        <v>378.548150868041</v>
      </c>
      <c r="E261" s="47" t="e">
        <f aca="false">MAX($D$3,(1+P260-VLOOKUP(VALUE(D261),$J$18:$Q260,7,TRUE()))*$D$3)</f>
        <v>#N/A</v>
      </c>
      <c r="F261" s="47" t="e">
        <f aca="false">MAX($D$4,(1+Q260-VLOOKUP(VALUE(D261),$M$18:$Q260,5,TRUE()))*$D$4)</f>
        <v>#N/A</v>
      </c>
      <c r="G261" s="48" t="n">
        <v>0.5</v>
      </c>
      <c r="H261" s="46" t="e">
        <f aca="true">IF((B261=1),(IF((F261&lt;E261),1,(IF((F261=E261),(IF(RAND()&lt;G261,1,0)),0)))),(IF((RAND()&lt;G261),1,0)))</f>
        <v>#N/A</v>
      </c>
      <c r="I261" s="46" t="e">
        <f aca="true">IF((H261=1),0,$D$3+$D$5*(RAND()-0.5))</f>
        <v>#N/A</v>
      </c>
      <c r="J261" s="46" t="e">
        <f aca="false">I261+MAX(D261,J260)</f>
        <v>#N/A</v>
      </c>
      <c r="K261" s="46" t="e">
        <f aca="false">IF((H261=0),J261-D261,0)</f>
        <v>#N/A</v>
      </c>
      <c r="L261" s="46" t="e">
        <f aca="true">IF(($H261=0),0,$D$4+$D$5*(RAND()-0.5))</f>
        <v>#N/A</v>
      </c>
      <c r="M261" s="46" t="e">
        <f aca="false">L261+MAX(D261,M260)</f>
        <v>#N/A</v>
      </c>
      <c r="N261" s="46" t="e">
        <f aca="false">IF((H261=1),M261-D261,0)</f>
        <v>#N/A</v>
      </c>
      <c r="O261" s="29" t="n">
        <v>244</v>
      </c>
      <c r="P261" s="49" t="e">
        <f aca="false">IF((Arterial=0),P260+1,P260)</f>
        <v>#N/A</v>
      </c>
      <c r="Q261" s="49" t="e">
        <f aca="false">IF((Arterial=1),Q260+1,Q260)</f>
        <v>#N/A</v>
      </c>
      <c r="R261" s="50" t="n">
        <f aca="false">IF((RESET=1),0,R261+K261)</f>
        <v>0</v>
      </c>
      <c r="S261" s="19" t="n">
        <f aca="false">IF(RESET=1,0,S261+N261)</f>
        <v>0</v>
      </c>
      <c r="T261" s="0" t="n">
        <f aca="false">IF(RESET=1,0,T261+IF(H261=0,1,0))</f>
        <v>0</v>
      </c>
      <c r="U261" s="0" t="n">
        <f aca="false">IF(RESET=1,0,U261+H261)</f>
        <v>0</v>
      </c>
      <c r="V261" s="19" t="n">
        <f aca="false">R261/(T261+0.00001)</f>
        <v>0</v>
      </c>
      <c r="W261" s="19" t="n">
        <f aca="false">S261/(U261+0.0001)</f>
        <v>0</v>
      </c>
      <c r="X261" s="47" t="e">
        <f aca="false">IF(Informed=1,K261,0)</f>
        <v>#N/A</v>
      </c>
      <c r="Y261" s="47" t="n">
        <f aca="false">IF(Informed=0,K261,0)</f>
        <v>0</v>
      </c>
      <c r="Z261" s="47" t="e">
        <f aca="false">IF(Informed=1,N261,0)</f>
        <v>#N/A</v>
      </c>
      <c r="AA261" s="47" t="n">
        <f aca="false">IF(Informed=0,N261,0)</f>
        <v>0</v>
      </c>
      <c r="AB261" s="51" t="e">
        <f aca="false">IF(Arterial=0,IF(Informed=1,1,0),0)</f>
        <v>#N/A</v>
      </c>
      <c r="AC261" s="51" t="e">
        <f aca="false">IF(Arterial=0,IF(Informed=0,1,0),0)</f>
        <v>#N/A</v>
      </c>
      <c r="AD261" s="51" t="e">
        <f aca="false">IF(Arterial=1,IF(Informed=1,1,0),0)</f>
        <v>#N/A</v>
      </c>
      <c r="AE261" s="51" t="e">
        <f aca="false">IF(Arterial=1,IF(Informed=0,1,0),0)</f>
        <v>#N/A</v>
      </c>
      <c r="AF261" s="44" t="e">
        <f aca="false">IF(AB261=1,(X261-G$1030)^2,0)</f>
        <v>#N/A</v>
      </c>
      <c r="AG261" s="44" t="e">
        <f aca="false">IF(AC261=1,(Y261-H$1030)^2,0)</f>
        <v>#N/A</v>
      </c>
      <c r="AH261" s="44" t="e">
        <f aca="false">IF(AD261=1,(Z261-I$1030)^2,0)</f>
        <v>#N/A</v>
      </c>
      <c r="AI261" s="44" t="e">
        <f aca="false">IF(AE261=1,(AA261-J$1030)^2,0)</f>
        <v>#N/A</v>
      </c>
    </row>
    <row r="262" customFormat="false" ht="12" hidden="false" customHeight="false" outlineLevel="0" collapsed="false">
      <c r="A262" s="29" t="n">
        <v>245</v>
      </c>
      <c r="B262" s="45" t="n">
        <f aca="true">IF(RAND()&lt;$D$8,1,0)</f>
        <v>1</v>
      </c>
      <c r="C262" s="34" t="n">
        <f aca="true">-LN(RAND())/$D$2</f>
        <v>0.361510010008697</v>
      </c>
      <c r="D262" s="46" t="n">
        <f aca="false">D261+C262</f>
        <v>378.90966087805</v>
      </c>
      <c r="E262" s="47" t="e">
        <f aca="false">MAX($D$3,(1+P261-VLOOKUP(VALUE(D262),$J$18:$Q261,7,TRUE()))*$D$3)</f>
        <v>#N/A</v>
      </c>
      <c r="F262" s="47" t="e">
        <f aca="false">MAX($D$4,(1+Q261-VLOOKUP(VALUE(D262),$M$18:$Q261,5,TRUE()))*$D$4)</f>
        <v>#N/A</v>
      </c>
      <c r="G262" s="48" t="n">
        <v>0.5</v>
      </c>
      <c r="H262" s="46" t="e">
        <f aca="true">IF((B262=1),(IF((F262&lt;E262),1,(IF((F262=E262),(IF(RAND()&lt;G262,1,0)),0)))),(IF((RAND()&lt;G262),1,0)))</f>
        <v>#N/A</v>
      </c>
      <c r="I262" s="46" t="e">
        <f aca="true">IF((H262=1),0,$D$3+$D$5*(RAND()-0.5))</f>
        <v>#N/A</v>
      </c>
      <c r="J262" s="46" t="e">
        <f aca="false">I262+MAX(D262,J261)</f>
        <v>#N/A</v>
      </c>
      <c r="K262" s="46" t="e">
        <f aca="false">IF((H262=0),J262-D262,0)</f>
        <v>#N/A</v>
      </c>
      <c r="L262" s="46" t="e">
        <f aca="true">IF(($H262=0),0,$D$4+$D$5*(RAND()-0.5))</f>
        <v>#N/A</v>
      </c>
      <c r="M262" s="46" t="e">
        <f aca="false">L262+MAX(D262,M261)</f>
        <v>#N/A</v>
      </c>
      <c r="N262" s="46" t="e">
        <f aca="false">IF((H262=1),M262-D262,0)</f>
        <v>#N/A</v>
      </c>
      <c r="O262" s="29" t="n">
        <v>245</v>
      </c>
      <c r="P262" s="49" t="e">
        <f aca="false">IF((Arterial=0),P261+1,P261)</f>
        <v>#N/A</v>
      </c>
      <c r="Q262" s="49" t="e">
        <f aca="false">IF((Arterial=1),Q261+1,Q261)</f>
        <v>#N/A</v>
      </c>
      <c r="R262" s="50" t="n">
        <f aca="false">IF((RESET=1),0,R262+K262)</f>
        <v>0</v>
      </c>
      <c r="S262" s="19" t="n">
        <f aca="false">IF(RESET=1,0,S262+N262)</f>
        <v>0</v>
      </c>
      <c r="T262" s="0" t="n">
        <f aca="false">IF(RESET=1,0,T262+IF(H262=0,1,0))</f>
        <v>0</v>
      </c>
      <c r="U262" s="0" t="n">
        <f aca="false">IF(RESET=1,0,U262+H262)</f>
        <v>0</v>
      </c>
      <c r="V262" s="19" t="n">
        <f aca="false">R262/(T262+0.00001)</f>
        <v>0</v>
      </c>
      <c r="W262" s="19" t="n">
        <f aca="false">S262/(U262+0.0001)</f>
        <v>0</v>
      </c>
      <c r="X262" s="47" t="e">
        <f aca="false">IF(Informed=1,K262,0)</f>
        <v>#N/A</v>
      </c>
      <c r="Y262" s="47" t="n">
        <f aca="false">IF(Informed=0,K262,0)</f>
        <v>0</v>
      </c>
      <c r="Z262" s="47" t="e">
        <f aca="false">IF(Informed=1,N262,0)</f>
        <v>#N/A</v>
      </c>
      <c r="AA262" s="47" t="n">
        <f aca="false">IF(Informed=0,N262,0)</f>
        <v>0</v>
      </c>
      <c r="AB262" s="51" t="e">
        <f aca="false">IF(Arterial=0,IF(Informed=1,1,0),0)</f>
        <v>#N/A</v>
      </c>
      <c r="AC262" s="51" t="e">
        <f aca="false">IF(Arterial=0,IF(Informed=0,1,0),0)</f>
        <v>#N/A</v>
      </c>
      <c r="AD262" s="51" t="e">
        <f aca="false">IF(Arterial=1,IF(Informed=1,1,0),0)</f>
        <v>#N/A</v>
      </c>
      <c r="AE262" s="51" t="e">
        <f aca="false">IF(Arterial=1,IF(Informed=0,1,0),0)</f>
        <v>#N/A</v>
      </c>
      <c r="AF262" s="44" t="e">
        <f aca="false">IF(AB262=1,(X262-G$1030)^2,0)</f>
        <v>#N/A</v>
      </c>
      <c r="AG262" s="44" t="e">
        <f aca="false">IF(AC262=1,(Y262-H$1030)^2,0)</f>
        <v>#N/A</v>
      </c>
      <c r="AH262" s="44" t="e">
        <f aca="false">IF(AD262=1,(Z262-I$1030)^2,0)</f>
        <v>#N/A</v>
      </c>
      <c r="AI262" s="44" t="e">
        <f aca="false">IF(AE262=1,(AA262-J$1030)^2,0)</f>
        <v>#N/A</v>
      </c>
    </row>
    <row r="263" customFormat="false" ht="12" hidden="false" customHeight="false" outlineLevel="0" collapsed="false">
      <c r="A263" s="29" t="n">
        <v>246</v>
      </c>
      <c r="B263" s="45" t="n">
        <f aca="true">IF(RAND()&lt;$D$8,1,0)</f>
        <v>1</v>
      </c>
      <c r="C263" s="34" t="n">
        <f aca="true">-LN(RAND())/$D$2</f>
        <v>1.61085717718389</v>
      </c>
      <c r="D263" s="46" t="n">
        <f aca="false">D262+C263</f>
        <v>380.520518055234</v>
      </c>
      <c r="E263" s="47" t="e">
        <f aca="false">MAX($D$3,(1+P262-VLOOKUP(VALUE(D263),$J$18:$Q262,7,TRUE()))*$D$3)</f>
        <v>#N/A</v>
      </c>
      <c r="F263" s="47" t="e">
        <f aca="false">MAX($D$4,(1+Q262-VLOOKUP(VALUE(D263),$M$18:$Q262,5,TRUE()))*$D$4)</f>
        <v>#N/A</v>
      </c>
      <c r="G263" s="48" t="n">
        <v>0.5</v>
      </c>
      <c r="H263" s="46" t="e">
        <f aca="true">IF((B263=1),(IF((F263&lt;E263),1,(IF((F263=E263),(IF(RAND()&lt;G263,1,0)),0)))),(IF((RAND()&lt;G263),1,0)))</f>
        <v>#N/A</v>
      </c>
      <c r="I263" s="46" t="e">
        <f aca="true">IF((H263=1),0,$D$3+$D$5*(RAND()-0.5))</f>
        <v>#N/A</v>
      </c>
      <c r="J263" s="46" t="e">
        <f aca="false">I263+MAX(D263,J262)</f>
        <v>#N/A</v>
      </c>
      <c r="K263" s="46" t="e">
        <f aca="false">IF((H263=0),J263-D263,0)</f>
        <v>#N/A</v>
      </c>
      <c r="L263" s="46" t="e">
        <f aca="true">IF(($H263=0),0,$D$4+$D$5*(RAND()-0.5))</f>
        <v>#N/A</v>
      </c>
      <c r="M263" s="46" t="e">
        <f aca="false">L263+MAX(D263,M262)</f>
        <v>#N/A</v>
      </c>
      <c r="N263" s="46" t="e">
        <f aca="false">IF((H263=1),M263-D263,0)</f>
        <v>#N/A</v>
      </c>
      <c r="O263" s="29" t="n">
        <v>246</v>
      </c>
      <c r="P263" s="49" t="e">
        <f aca="false">IF((Arterial=0),P262+1,P262)</f>
        <v>#N/A</v>
      </c>
      <c r="Q263" s="49" t="e">
        <f aca="false">IF((Arterial=1),Q262+1,Q262)</f>
        <v>#N/A</v>
      </c>
      <c r="R263" s="50" t="n">
        <f aca="false">IF((RESET=1),0,R263+K263)</f>
        <v>0</v>
      </c>
      <c r="S263" s="19" t="n">
        <f aca="false">IF(RESET=1,0,S263+N263)</f>
        <v>0</v>
      </c>
      <c r="T263" s="0" t="n">
        <f aca="false">IF(RESET=1,0,T263+IF(H263=0,1,0))</f>
        <v>0</v>
      </c>
      <c r="U263" s="0" t="n">
        <f aca="false">IF(RESET=1,0,U263+H263)</f>
        <v>0</v>
      </c>
      <c r="V263" s="19" t="n">
        <f aca="false">R263/(T263+0.00001)</f>
        <v>0</v>
      </c>
      <c r="W263" s="19" t="n">
        <f aca="false">S263/(U263+0.0001)</f>
        <v>0</v>
      </c>
      <c r="X263" s="47" t="e">
        <f aca="false">IF(Informed=1,K263,0)</f>
        <v>#N/A</v>
      </c>
      <c r="Y263" s="47" t="n">
        <f aca="false">IF(Informed=0,K263,0)</f>
        <v>0</v>
      </c>
      <c r="Z263" s="47" t="e">
        <f aca="false">IF(Informed=1,N263,0)</f>
        <v>#N/A</v>
      </c>
      <c r="AA263" s="47" t="n">
        <f aca="false">IF(Informed=0,N263,0)</f>
        <v>0</v>
      </c>
      <c r="AB263" s="51" t="e">
        <f aca="false">IF(Arterial=0,IF(Informed=1,1,0),0)</f>
        <v>#N/A</v>
      </c>
      <c r="AC263" s="51" t="e">
        <f aca="false">IF(Arterial=0,IF(Informed=0,1,0),0)</f>
        <v>#N/A</v>
      </c>
      <c r="AD263" s="51" t="e">
        <f aca="false">IF(Arterial=1,IF(Informed=1,1,0),0)</f>
        <v>#N/A</v>
      </c>
      <c r="AE263" s="51" t="e">
        <f aca="false">IF(Arterial=1,IF(Informed=0,1,0),0)</f>
        <v>#N/A</v>
      </c>
      <c r="AF263" s="44" t="e">
        <f aca="false">IF(AB263=1,(X263-G$1030)^2,0)</f>
        <v>#N/A</v>
      </c>
      <c r="AG263" s="44" t="e">
        <f aca="false">IF(AC263=1,(Y263-H$1030)^2,0)</f>
        <v>#N/A</v>
      </c>
      <c r="AH263" s="44" t="e">
        <f aca="false">IF(AD263=1,(Z263-I$1030)^2,0)</f>
        <v>#N/A</v>
      </c>
      <c r="AI263" s="44" t="e">
        <f aca="false">IF(AE263=1,(AA263-J$1030)^2,0)</f>
        <v>#N/A</v>
      </c>
    </row>
    <row r="264" customFormat="false" ht="12" hidden="false" customHeight="false" outlineLevel="0" collapsed="false">
      <c r="A264" s="29" t="n">
        <v>247</v>
      </c>
      <c r="B264" s="45" t="n">
        <f aca="true">IF(RAND()&lt;$D$8,1,0)</f>
        <v>1</v>
      </c>
      <c r="C264" s="34" t="n">
        <f aca="true">-LN(RAND())/$D$2</f>
        <v>0.938743835329386</v>
      </c>
      <c r="D264" s="46" t="n">
        <f aca="false">D263+C264</f>
        <v>381.459261890563</v>
      </c>
      <c r="E264" s="47" t="e">
        <f aca="false">MAX($D$3,(1+P263-VLOOKUP(VALUE(D264),$J$18:$Q263,7,TRUE()))*$D$3)</f>
        <v>#N/A</v>
      </c>
      <c r="F264" s="47" t="e">
        <f aca="false">MAX($D$4,(1+Q263-VLOOKUP(VALUE(D264),$M$18:$Q263,5,TRUE()))*$D$4)</f>
        <v>#N/A</v>
      </c>
      <c r="G264" s="48" t="n">
        <v>0.5</v>
      </c>
      <c r="H264" s="46" t="e">
        <f aca="true">IF((B264=1),(IF((F264&lt;E264),1,(IF((F264=E264),(IF(RAND()&lt;G264,1,0)),0)))),(IF((RAND()&lt;G264),1,0)))</f>
        <v>#N/A</v>
      </c>
      <c r="I264" s="46" t="e">
        <f aca="true">IF((H264=1),0,$D$3+$D$5*(RAND()-0.5))</f>
        <v>#N/A</v>
      </c>
      <c r="J264" s="46" t="e">
        <f aca="false">I264+MAX(D264,J263)</f>
        <v>#N/A</v>
      </c>
      <c r="K264" s="46" t="e">
        <f aca="false">IF((H264=0),J264-D264,0)</f>
        <v>#N/A</v>
      </c>
      <c r="L264" s="46" t="e">
        <f aca="true">IF(($H264=0),0,$D$4+$D$5*(RAND()-0.5))</f>
        <v>#N/A</v>
      </c>
      <c r="M264" s="46" t="e">
        <f aca="false">L264+MAX(D264,M263)</f>
        <v>#N/A</v>
      </c>
      <c r="N264" s="46" t="e">
        <f aca="false">IF((H264=1),M264-D264,0)</f>
        <v>#N/A</v>
      </c>
      <c r="O264" s="29" t="n">
        <v>247</v>
      </c>
      <c r="P264" s="49" t="e">
        <f aca="false">IF((Arterial=0),P263+1,P263)</f>
        <v>#N/A</v>
      </c>
      <c r="Q264" s="49" t="e">
        <f aca="false">IF((Arterial=1),Q263+1,Q263)</f>
        <v>#N/A</v>
      </c>
      <c r="R264" s="50" t="n">
        <f aca="false">IF((RESET=1),0,R264+K264)</f>
        <v>0</v>
      </c>
      <c r="S264" s="19" t="n">
        <f aca="false">IF(RESET=1,0,S264+N264)</f>
        <v>0</v>
      </c>
      <c r="T264" s="0" t="n">
        <f aca="false">IF(RESET=1,0,T264+IF(H264=0,1,0))</f>
        <v>0</v>
      </c>
      <c r="U264" s="0" t="n">
        <f aca="false">IF(RESET=1,0,U264+H264)</f>
        <v>0</v>
      </c>
      <c r="V264" s="19" t="n">
        <f aca="false">R264/(T264+0.00001)</f>
        <v>0</v>
      </c>
      <c r="W264" s="19" t="n">
        <f aca="false">S264/(U264+0.0001)</f>
        <v>0</v>
      </c>
      <c r="X264" s="47" t="e">
        <f aca="false">IF(Informed=1,K264,0)</f>
        <v>#N/A</v>
      </c>
      <c r="Y264" s="47" t="n">
        <f aca="false">IF(Informed=0,K264,0)</f>
        <v>0</v>
      </c>
      <c r="Z264" s="47" t="e">
        <f aca="false">IF(Informed=1,N264,0)</f>
        <v>#N/A</v>
      </c>
      <c r="AA264" s="47" t="n">
        <f aca="false">IF(Informed=0,N264,0)</f>
        <v>0</v>
      </c>
      <c r="AB264" s="51" t="e">
        <f aca="false">IF(Arterial=0,IF(Informed=1,1,0),0)</f>
        <v>#N/A</v>
      </c>
      <c r="AC264" s="51" t="e">
        <f aca="false">IF(Arterial=0,IF(Informed=0,1,0),0)</f>
        <v>#N/A</v>
      </c>
      <c r="AD264" s="51" t="e">
        <f aca="false">IF(Arterial=1,IF(Informed=1,1,0),0)</f>
        <v>#N/A</v>
      </c>
      <c r="AE264" s="51" t="e">
        <f aca="false">IF(Arterial=1,IF(Informed=0,1,0),0)</f>
        <v>#N/A</v>
      </c>
      <c r="AF264" s="44" t="e">
        <f aca="false">IF(AB264=1,(X264-G$1030)^2,0)</f>
        <v>#N/A</v>
      </c>
      <c r="AG264" s="44" t="e">
        <f aca="false">IF(AC264=1,(Y264-H$1030)^2,0)</f>
        <v>#N/A</v>
      </c>
      <c r="AH264" s="44" t="e">
        <f aca="false">IF(AD264=1,(Z264-I$1030)^2,0)</f>
        <v>#N/A</v>
      </c>
      <c r="AI264" s="44" t="e">
        <f aca="false">IF(AE264=1,(AA264-J$1030)^2,0)</f>
        <v>#N/A</v>
      </c>
    </row>
    <row r="265" customFormat="false" ht="12" hidden="false" customHeight="false" outlineLevel="0" collapsed="false">
      <c r="A265" s="29" t="n">
        <v>248</v>
      </c>
      <c r="B265" s="45" t="n">
        <f aca="true">IF(RAND()&lt;$D$8,1,0)</f>
        <v>1</v>
      </c>
      <c r="C265" s="34" t="n">
        <f aca="true">-LN(RAND())/$D$2</f>
        <v>1.31104963634915</v>
      </c>
      <c r="D265" s="46" t="n">
        <f aca="false">D264+C265</f>
        <v>382.770311526912</v>
      </c>
      <c r="E265" s="47" t="e">
        <f aca="false">MAX($D$3,(1+P264-VLOOKUP(VALUE(D265),$J$18:$Q264,7,TRUE()))*$D$3)</f>
        <v>#N/A</v>
      </c>
      <c r="F265" s="47" t="e">
        <f aca="false">MAX($D$4,(1+Q264-VLOOKUP(VALUE(D265),$M$18:$Q264,5,TRUE()))*$D$4)</f>
        <v>#N/A</v>
      </c>
      <c r="G265" s="48" t="n">
        <v>0.5</v>
      </c>
      <c r="H265" s="46" t="e">
        <f aca="true">IF((B265=1),(IF((F265&lt;E265),1,(IF((F265=E265),(IF(RAND()&lt;G265,1,0)),0)))),(IF((RAND()&lt;G265),1,0)))</f>
        <v>#N/A</v>
      </c>
      <c r="I265" s="46" t="e">
        <f aca="true">IF((H265=1),0,$D$3+$D$5*(RAND()-0.5))</f>
        <v>#N/A</v>
      </c>
      <c r="J265" s="46" t="e">
        <f aca="false">I265+MAX(D265,J264)</f>
        <v>#N/A</v>
      </c>
      <c r="K265" s="46" t="e">
        <f aca="false">IF((H265=0),J265-D265,0)</f>
        <v>#N/A</v>
      </c>
      <c r="L265" s="46" t="e">
        <f aca="true">IF(($H265=0),0,$D$4+$D$5*(RAND()-0.5))</f>
        <v>#N/A</v>
      </c>
      <c r="M265" s="46" t="e">
        <f aca="false">L265+MAX(D265,M264)</f>
        <v>#N/A</v>
      </c>
      <c r="N265" s="46" t="e">
        <f aca="false">IF((H265=1),M265-D265,0)</f>
        <v>#N/A</v>
      </c>
      <c r="O265" s="29" t="n">
        <v>248</v>
      </c>
      <c r="P265" s="49" t="e">
        <f aca="false">IF((Arterial=0),P264+1,P264)</f>
        <v>#N/A</v>
      </c>
      <c r="Q265" s="49" t="e">
        <f aca="false">IF((Arterial=1),Q264+1,Q264)</f>
        <v>#N/A</v>
      </c>
      <c r="R265" s="50" t="n">
        <f aca="false">IF((RESET=1),0,R265+K265)</f>
        <v>0</v>
      </c>
      <c r="S265" s="19" t="n">
        <f aca="false">IF(RESET=1,0,S265+N265)</f>
        <v>0</v>
      </c>
      <c r="T265" s="0" t="n">
        <f aca="false">IF(RESET=1,0,T265+IF(H265=0,1,0))</f>
        <v>0</v>
      </c>
      <c r="U265" s="0" t="n">
        <f aca="false">IF(RESET=1,0,U265+H265)</f>
        <v>0</v>
      </c>
      <c r="V265" s="19" t="n">
        <f aca="false">R265/(T265+0.00001)</f>
        <v>0</v>
      </c>
      <c r="W265" s="19" t="n">
        <f aca="false">S265/(U265+0.0001)</f>
        <v>0</v>
      </c>
      <c r="X265" s="47" t="e">
        <f aca="false">IF(Informed=1,K265,0)</f>
        <v>#N/A</v>
      </c>
      <c r="Y265" s="47" t="n">
        <f aca="false">IF(Informed=0,K265,0)</f>
        <v>0</v>
      </c>
      <c r="Z265" s="47" t="e">
        <f aca="false">IF(Informed=1,N265,0)</f>
        <v>#N/A</v>
      </c>
      <c r="AA265" s="47" t="n">
        <f aca="false">IF(Informed=0,N265,0)</f>
        <v>0</v>
      </c>
      <c r="AB265" s="51" t="e">
        <f aca="false">IF(Arterial=0,IF(Informed=1,1,0),0)</f>
        <v>#N/A</v>
      </c>
      <c r="AC265" s="51" t="e">
        <f aca="false">IF(Arterial=0,IF(Informed=0,1,0),0)</f>
        <v>#N/A</v>
      </c>
      <c r="AD265" s="51" t="e">
        <f aca="false">IF(Arterial=1,IF(Informed=1,1,0),0)</f>
        <v>#N/A</v>
      </c>
      <c r="AE265" s="51" t="e">
        <f aca="false">IF(Arterial=1,IF(Informed=0,1,0),0)</f>
        <v>#N/A</v>
      </c>
      <c r="AF265" s="44" t="e">
        <f aca="false">IF(AB265=1,(X265-G$1030)^2,0)</f>
        <v>#N/A</v>
      </c>
      <c r="AG265" s="44" t="e">
        <f aca="false">IF(AC265=1,(Y265-H$1030)^2,0)</f>
        <v>#N/A</v>
      </c>
      <c r="AH265" s="44" t="e">
        <f aca="false">IF(AD265=1,(Z265-I$1030)^2,0)</f>
        <v>#N/A</v>
      </c>
      <c r="AI265" s="44" t="e">
        <f aca="false">IF(AE265=1,(AA265-J$1030)^2,0)</f>
        <v>#N/A</v>
      </c>
    </row>
    <row r="266" customFormat="false" ht="12" hidden="false" customHeight="false" outlineLevel="0" collapsed="false">
      <c r="A266" s="29" t="n">
        <v>249</v>
      </c>
      <c r="B266" s="45" t="n">
        <f aca="true">IF(RAND()&lt;$D$8,1,0)</f>
        <v>1</v>
      </c>
      <c r="C266" s="34" t="n">
        <f aca="true">-LN(RAND())/$D$2</f>
        <v>3.17178385608543</v>
      </c>
      <c r="D266" s="46" t="n">
        <f aca="false">D265+C266</f>
        <v>385.942095382998</v>
      </c>
      <c r="E266" s="47" t="e">
        <f aca="false">MAX($D$3,(1+P265-VLOOKUP(VALUE(D266),$J$18:$Q265,7,TRUE()))*$D$3)</f>
        <v>#N/A</v>
      </c>
      <c r="F266" s="47" t="e">
        <f aca="false">MAX($D$4,(1+Q265-VLOOKUP(VALUE(D266),$M$18:$Q265,5,TRUE()))*$D$4)</f>
        <v>#N/A</v>
      </c>
      <c r="G266" s="48" t="n">
        <v>0.5</v>
      </c>
      <c r="H266" s="46" t="e">
        <f aca="true">IF((B266=1),(IF((F266&lt;E266),1,(IF((F266=E266),(IF(RAND()&lt;G266,1,0)),0)))),(IF((RAND()&lt;G266),1,0)))</f>
        <v>#N/A</v>
      </c>
      <c r="I266" s="46" t="e">
        <f aca="true">IF((H266=1),0,$D$3+$D$5*(RAND()-0.5))</f>
        <v>#N/A</v>
      </c>
      <c r="J266" s="46" t="e">
        <f aca="false">I266+MAX(D266,J265)</f>
        <v>#N/A</v>
      </c>
      <c r="K266" s="46" t="e">
        <f aca="false">IF((H266=0),J266-D266,0)</f>
        <v>#N/A</v>
      </c>
      <c r="L266" s="46" t="e">
        <f aca="true">IF(($H266=0),0,$D$4+$D$5*(RAND()-0.5))</f>
        <v>#N/A</v>
      </c>
      <c r="M266" s="46" t="e">
        <f aca="false">L266+MAX(D266,M265)</f>
        <v>#N/A</v>
      </c>
      <c r="N266" s="46" t="e">
        <f aca="false">IF((H266=1),M266-D266,0)</f>
        <v>#N/A</v>
      </c>
      <c r="O266" s="29" t="n">
        <v>249</v>
      </c>
      <c r="P266" s="49" t="e">
        <f aca="false">IF((Arterial=0),P265+1,P265)</f>
        <v>#N/A</v>
      </c>
      <c r="Q266" s="49" t="e">
        <f aca="false">IF((Arterial=1),Q265+1,Q265)</f>
        <v>#N/A</v>
      </c>
      <c r="R266" s="50" t="n">
        <f aca="false">IF((RESET=1),0,R266+K266)</f>
        <v>0</v>
      </c>
      <c r="S266" s="19" t="n">
        <f aca="false">IF(RESET=1,0,S266+N266)</f>
        <v>0</v>
      </c>
      <c r="T266" s="0" t="n">
        <f aca="false">IF(RESET=1,0,T266+IF(H266=0,1,0))</f>
        <v>0</v>
      </c>
      <c r="U266" s="0" t="n">
        <f aca="false">IF(RESET=1,0,U266+H266)</f>
        <v>0</v>
      </c>
      <c r="V266" s="19" t="n">
        <f aca="false">R266/(T266+0.00001)</f>
        <v>0</v>
      </c>
      <c r="W266" s="19" t="n">
        <f aca="false">S266/(U266+0.0001)</f>
        <v>0</v>
      </c>
      <c r="X266" s="47" t="e">
        <f aca="false">IF(Informed=1,K266,0)</f>
        <v>#N/A</v>
      </c>
      <c r="Y266" s="47" t="n">
        <f aca="false">IF(Informed=0,K266,0)</f>
        <v>0</v>
      </c>
      <c r="Z266" s="47" t="e">
        <f aca="false">IF(Informed=1,N266,0)</f>
        <v>#N/A</v>
      </c>
      <c r="AA266" s="47" t="n">
        <f aca="false">IF(Informed=0,N266,0)</f>
        <v>0</v>
      </c>
      <c r="AB266" s="51" t="e">
        <f aca="false">IF(Arterial=0,IF(Informed=1,1,0),0)</f>
        <v>#N/A</v>
      </c>
      <c r="AC266" s="51" t="e">
        <f aca="false">IF(Arterial=0,IF(Informed=0,1,0),0)</f>
        <v>#N/A</v>
      </c>
      <c r="AD266" s="51" t="e">
        <f aca="false">IF(Arterial=1,IF(Informed=1,1,0),0)</f>
        <v>#N/A</v>
      </c>
      <c r="AE266" s="51" t="e">
        <f aca="false">IF(Arterial=1,IF(Informed=0,1,0),0)</f>
        <v>#N/A</v>
      </c>
      <c r="AF266" s="44" t="e">
        <f aca="false">IF(AB266=1,(X266-G$1030)^2,0)</f>
        <v>#N/A</v>
      </c>
      <c r="AG266" s="44" t="e">
        <f aca="false">IF(AC266=1,(Y266-H$1030)^2,0)</f>
        <v>#N/A</v>
      </c>
      <c r="AH266" s="44" t="e">
        <f aca="false">IF(AD266=1,(Z266-I$1030)^2,0)</f>
        <v>#N/A</v>
      </c>
      <c r="AI266" s="44" t="e">
        <f aca="false">IF(AE266=1,(AA266-J$1030)^2,0)</f>
        <v>#N/A</v>
      </c>
    </row>
    <row r="267" customFormat="false" ht="12" hidden="false" customHeight="false" outlineLevel="0" collapsed="false">
      <c r="A267" s="29" t="n">
        <v>250</v>
      </c>
      <c r="B267" s="45" t="n">
        <f aca="true">IF(RAND()&lt;$D$8,1,0)</f>
        <v>1</v>
      </c>
      <c r="C267" s="34" t="n">
        <f aca="true">-LN(RAND())/$D$2</f>
        <v>4.71173351872608</v>
      </c>
      <c r="D267" s="46" t="n">
        <f aca="false">D266+C267</f>
        <v>390.653828901724</v>
      </c>
      <c r="E267" s="47" t="e">
        <f aca="false">MAX($D$3,(1+P266-VLOOKUP(VALUE(D267),$J$18:$Q266,7,TRUE()))*$D$3)</f>
        <v>#N/A</v>
      </c>
      <c r="F267" s="47" t="e">
        <f aca="false">MAX($D$4,(1+Q266-VLOOKUP(VALUE(D267),$M$18:$Q266,5,TRUE()))*$D$4)</f>
        <v>#N/A</v>
      </c>
      <c r="G267" s="48" t="n">
        <v>0.5</v>
      </c>
      <c r="H267" s="46" t="e">
        <f aca="true">IF((B267=1),(IF((F267&lt;E267),1,(IF((F267=E267),(IF(RAND()&lt;G267,1,0)),0)))),(IF((RAND()&lt;G267),1,0)))</f>
        <v>#N/A</v>
      </c>
      <c r="I267" s="46" t="e">
        <f aca="true">IF((H267=1),0,$D$3+$D$5*(RAND()-0.5))</f>
        <v>#N/A</v>
      </c>
      <c r="J267" s="46" t="e">
        <f aca="false">I267+MAX(D267,J266)</f>
        <v>#N/A</v>
      </c>
      <c r="K267" s="46" t="e">
        <f aca="false">IF((H267=0),J267-D267,0)</f>
        <v>#N/A</v>
      </c>
      <c r="L267" s="46" t="e">
        <f aca="true">IF(($H267=0),0,$D$4+$D$5*(RAND()-0.5))</f>
        <v>#N/A</v>
      </c>
      <c r="M267" s="46" t="e">
        <f aca="false">L267+MAX(D267,M266)</f>
        <v>#N/A</v>
      </c>
      <c r="N267" s="46" t="e">
        <f aca="false">IF((H267=1),M267-D267,0)</f>
        <v>#N/A</v>
      </c>
      <c r="O267" s="29" t="n">
        <v>250</v>
      </c>
      <c r="P267" s="49" t="e">
        <f aca="false">IF((Arterial=0),P266+1,P266)</f>
        <v>#N/A</v>
      </c>
      <c r="Q267" s="49" t="e">
        <f aca="false">IF((Arterial=1),Q266+1,Q266)</f>
        <v>#N/A</v>
      </c>
      <c r="R267" s="50" t="n">
        <f aca="false">IF((RESET=1),0,R267+K267)</f>
        <v>0</v>
      </c>
      <c r="S267" s="19" t="n">
        <f aca="false">IF(RESET=1,0,S267+N267)</f>
        <v>0</v>
      </c>
      <c r="T267" s="0" t="n">
        <f aca="false">IF(RESET=1,0,T267+IF(H267=0,1,0))</f>
        <v>0</v>
      </c>
      <c r="U267" s="0" t="n">
        <f aca="false">IF(RESET=1,0,U267+H267)</f>
        <v>0</v>
      </c>
      <c r="V267" s="19" t="n">
        <f aca="false">R267/(T267+0.00001)</f>
        <v>0</v>
      </c>
      <c r="W267" s="19" t="n">
        <f aca="false">S267/(U267+0.0001)</f>
        <v>0</v>
      </c>
      <c r="X267" s="47" t="e">
        <f aca="false">IF(Informed=1,K267,0)</f>
        <v>#N/A</v>
      </c>
      <c r="Y267" s="47" t="n">
        <f aca="false">IF(Informed=0,K267,0)</f>
        <v>0</v>
      </c>
      <c r="Z267" s="47" t="e">
        <f aca="false">IF(Informed=1,N267,0)</f>
        <v>#N/A</v>
      </c>
      <c r="AA267" s="47" t="n">
        <f aca="false">IF(Informed=0,N267,0)</f>
        <v>0</v>
      </c>
      <c r="AB267" s="51" t="e">
        <f aca="false">IF(Arterial=0,IF(Informed=1,1,0),0)</f>
        <v>#N/A</v>
      </c>
      <c r="AC267" s="51" t="e">
        <f aca="false">IF(Arterial=0,IF(Informed=0,1,0),0)</f>
        <v>#N/A</v>
      </c>
      <c r="AD267" s="51" t="e">
        <f aca="false">IF(Arterial=1,IF(Informed=1,1,0),0)</f>
        <v>#N/A</v>
      </c>
      <c r="AE267" s="51" t="e">
        <f aca="false">IF(Arterial=1,IF(Informed=0,1,0),0)</f>
        <v>#N/A</v>
      </c>
      <c r="AF267" s="44" t="e">
        <f aca="false">IF(AB267=1,(X267-G$1030)^2,0)</f>
        <v>#N/A</v>
      </c>
      <c r="AG267" s="44" t="e">
        <f aca="false">IF(AC267=1,(Y267-H$1030)^2,0)</f>
        <v>#N/A</v>
      </c>
      <c r="AH267" s="44" t="e">
        <f aca="false">IF(AD267=1,(Z267-I$1030)^2,0)</f>
        <v>#N/A</v>
      </c>
      <c r="AI267" s="44" t="e">
        <f aca="false">IF(AE267=1,(AA267-J$1030)^2,0)</f>
        <v>#N/A</v>
      </c>
    </row>
    <row r="268" customFormat="false" ht="12" hidden="false" customHeight="false" outlineLevel="0" collapsed="false">
      <c r="A268" s="29" t="n">
        <v>251</v>
      </c>
      <c r="B268" s="45" t="n">
        <f aca="true">IF(RAND()&lt;$D$8,1,0)</f>
        <v>1</v>
      </c>
      <c r="C268" s="34" t="n">
        <f aca="true">-LN(RAND())/$D$2</f>
        <v>1.10381773731702</v>
      </c>
      <c r="D268" s="46" t="n">
        <f aca="false">D267+C268</f>
        <v>391.757646639041</v>
      </c>
      <c r="E268" s="47" t="e">
        <f aca="false">MAX($D$3,(1+P267-VLOOKUP(VALUE(D268),$J$18:$Q267,7,TRUE()))*$D$3)</f>
        <v>#N/A</v>
      </c>
      <c r="F268" s="47" t="e">
        <f aca="false">MAX($D$4,(1+Q267-VLOOKUP(VALUE(D268),$M$18:$Q267,5,TRUE()))*$D$4)</f>
        <v>#N/A</v>
      </c>
      <c r="G268" s="48" t="n">
        <v>0.5</v>
      </c>
      <c r="H268" s="46" t="e">
        <f aca="true">IF((B268=1),(IF((F268&lt;E268),1,(IF((F268=E268),(IF(RAND()&lt;G268,1,0)),0)))),(IF((RAND()&lt;G268),1,0)))</f>
        <v>#N/A</v>
      </c>
      <c r="I268" s="46" t="e">
        <f aca="true">IF((H268=1),0,$D$3+$D$5*(RAND()-0.5))</f>
        <v>#N/A</v>
      </c>
      <c r="J268" s="46" t="e">
        <f aca="false">I268+MAX(D268,J267)</f>
        <v>#N/A</v>
      </c>
      <c r="K268" s="46" t="e">
        <f aca="false">IF((H268=0),J268-D268,0)</f>
        <v>#N/A</v>
      </c>
      <c r="L268" s="46" t="e">
        <f aca="true">IF(($H268=0),0,$D$4+$D$5*(RAND()-0.5))</f>
        <v>#N/A</v>
      </c>
      <c r="M268" s="46" t="e">
        <f aca="false">L268+MAX(D268,M267)</f>
        <v>#N/A</v>
      </c>
      <c r="N268" s="46" t="e">
        <f aca="false">IF((H268=1),M268-D268,0)</f>
        <v>#N/A</v>
      </c>
      <c r="O268" s="29" t="n">
        <v>251</v>
      </c>
      <c r="P268" s="49" t="e">
        <f aca="false">IF((Arterial=0),P267+1,P267)</f>
        <v>#N/A</v>
      </c>
      <c r="Q268" s="49" t="e">
        <f aca="false">IF((Arterial=1),Q267+1,Q267)</f>
        <v>#N/A</v>
      </c>
      <c r="R268" s="50" t="n">
        <f aca="false">IF((RESET=1),0,R268+K268)</f>
        <v>0</v>
      </c>
      <c r="S268" s="19" t="n">
        <f aca="false">IF(RESET=1,0,S268+N268)</f>
        <v>0</v>
      </c>
      <c r="T268" s="0" t="n">
        <f aca="false">IF(RESET=1,0,T268+IF(H268=0,1,0))</f>
        <v>0</v>
      </c>
      <c r="U268" s="0" t="n">
        <f aca="false">IF(RESET=1,0,U268+H268)</f>
        <v>0</v>
      </c>
      <c r="V268" s="19" t="n">
        <f aca="false">R268/(T268+0.00001)</f>
        <v>0</v>
      </c>
      <c r="W268" s="19" t="n">
        <f aca="false">S268/(U268+0.0001)</f>
        <v>0</v>
      </c>
      <c r="X268" s="47" t="e">
        <f aca="false">IF(Informed=1,K268,0)</f>
        <v>#N/A</v>
      </c>
      <c r="Y268" s="47" t="n">
        <f aca="false">IF(Informed=0,K268,0)</f>
        <v>0</v>
      </c>
      <c r="Z268" s="47" t="e">
        <f aca="false">IF(Informed=1,N268,0)</f>
        <v>#N/A</v>
      </c>
      <c r="AA268" s="47" t="n">
        <f aca="false">IF(Informed=0,N268,0)</f>
        <v>0</v>
      </c>
      <c r="AB268" s="51" t="e">
        <f aca="false">IF(Arterial=0,IF(Informed=1,1,0),0)</f>
        <v>#N/A</v>
      </c>
      <c r="AC268" s="51" t="e">
        <f aca="false">IF(Arterial=0,IF(Informed=0,1,0),0)</f>
        <v>#N/A</v>
      </c>
      <c r="AD268" s="51" t="e">
        <f aca="false">IF(Arterial=1,IF(Informed=1,1,0),0)</f>
        <v>#N/A</v>
      </c>
      <c r="AE268" s="51" t="e">
        <f aca="false">IF(Arterial=1,IF(Informed=0,1,0),0)</f>
        <v>#N/A</v>
      </c>
      <c r="AF268" s="44" t="e">
        <f aca="false">IF(AB268=1,(X268-G$1030)^2,0)</f>
        <v>#N/A</v>
      </c>
      <c r="AG268" s="44" t="e">
        <f aca="false">IF(AC268=1,(Y268-H$1030)^2,0)</f>
        <v>#N/A</v>
      </c>
      <c r="AH268" s="44" t="e">
        <f aca="false">IF(AD268=1,(Z268-I$1030)^2,0)</f>
        <v>#N/A</v>
      </c>
      <c r="AI268" s="44" t="e">
        <f aca="false">IF(AE268=1,(AA268-J$1030)^2,0)</f>
        <v>#N/A</v>
      </c>
    </row>
    <row r="269" customFormat="false" ht="12" hidden="false" customHeight="false" outlineLevel="0" collapsed="false">
      <c r="A269" s="29" t="n">
        <v>252</v>
      </c>
      <c r="B269" s="45" t="n">
        <f aca="true">IF(RAND()&lt;$D$8,1,0)</f>
        <v>1</v>
      </c>
      <c r="C269" s="34" t="n">
        <f aca="true">-LN(RAND())/$D$2</f>
        <v>3.20218423138762</v>
      </c>
      <c r="D269" s="46" t="n">
        <f aca="false">D268+C269</f>
        <v>394.959830870428</v>
      </c>
      <c r="E269" s="47" t="e">
        <f aca="false">MAX($D$3,(1+P268-VLOOKUP(VALUE(D269),$J$18:$Q268,7,TRUE()))*$D$3)</f>
        <v>#N/A</v>
      </c>
      <c r="F269" s="47" t="e">
        <f aca="false">MAX($D$4,(1+Q268-VLOOKUP(VALUE(D269),$M$18:$Q268,5,TRUE()))*$D$4)</f>
        <v>#N/A</v>
      </c>
      <c r="G269" s="48" t="n">
        <v>0.5</v>
      </c>
      <c r="H269" s="46" t="e">
        <f aca="true">IF((B269=1),(IF((F269&lt;E269),1,(IF((F269=E269),(IF(RAND()&lt;G269,1,0)),0)))),(IF((RAND()&lt;G269),1,0)))</f>
        <v>#N/A</v>
      </c>
      <c r="I269" s="46" t="e">
        <f aca="true">IF((H269=1),0,$D$3+$D$5*(RAND()-0.5))</f>
        <v>#N/A</v>
      </c>
      <c r="J269" s="46" t="e">
        <f aca="false">I269+MAX(D269,J268)</f>
        <v>#N/A</v>
      </c>
      <c r="K269" s="46" t="e">
        <f aca="false">IF((H269=0),J269-D269,0)</f>
        <v>#N/A</v>
      </c>
      <c r="L269" s="46" t="e">
        <f aca="true">IF(($H269=0),0,$D$4+$D$5*(RAND()-0.5))</f>
        <v>#N/A</v>
      </c>
      <c r="M269" s="46" t="e">
        <f aca="false">L269+MAX(D269,M268)</f>
        <v>#N/A</v>
      </c>
      <c r="N269" s="46" t="e">
        <f aca="false">IF((H269=1),M269-D269,0)</f>
        <v>#N/A</v>
      </c>
      <c r="O269" s="29" t="n">
        <v>252</v>
      </c>
      <c r="P269" s="49" t="e">
        <f aca="false">IF((Arterial=0),P268+1,P268)</f>
        <v>#N/A</v>
      </c>
      <c r="Q269" s="49" t="e">
        <f aca="false">IF((Arterial=1),Q268+1,Q268)</f>
        <v>#N/A</v>
      </c>
      <c r="R269" s="50" t="n">
        <f aca="false">IF((RESET=1),0,R269+K269)</f>
        <v>0</v>
      </c>
      <c r="S269" s="19" t="n">
        <f aca="false">IF(RESET=1,0,S269+N269)</f>
        <v>0</v>
      </c>
      <c r="T269" s="0" t="n">
        <f aca="false">IF(RESET=1,0,T269+IF(H269=0,1,0))</f>
        <v>0</v>
      </c>
      <c r="U269" s="0" t="n">
        <f aca="false">IF(RESET=1,0,U269+H269)</f>
        <v>0</v>
      </c>
      <c r="V269" s="19" t="n">
        <f aca="false">R269/(T269+0.00001)</f>
        <v>0</v>
      </c>
      <c r="W269" s="19" t="n">
        <f aca="false">S269/(U269+0.0001)</f>
        <v>0</v>
      </c>
      <c r="X269" s="47" t="e">
        <f aca="false">IF(Informed=1,K269,0)</f>
        <v>#N/A</v>
      </c>
      <c r="Y269" s="47" t="n">
        <f aca="false">IF(Informed=0,K269,0)</f>
        <v>0</v>
      </c>
      <c r="Z269" s="47" t="e">
        <f aca="false">IF(Informed=1,N269,0)</f>
        <v>#N/A</v>
      </c>
      <c r="AA269" s="47" t="n">
        <f aca="false">IF(Informed=0,N269,0)</f>
        <v>0</v>
      </c>
      <c r="AB269" s="51" t="e">
        <f aca="false">IF(Arterial=0,IF(Informed=1,1,0),0)</f>
        <v>#N/A</v>
      </c>
      <c r="AC269" s="51" t="e">
        <f aca="false">IF(Arterial=0,IF(Informed=0,1,0),0)</f>
        <v>#N/A</v>
      </c>
      <c r="AD269" s="51" t="e">
        <f aca="false">IF(Arterial=1,IF(Informed=1,1,0),0)</f>
        <v>#N/A</v>
      </c>
      <c r="AE269" s="51" t="e">
        <f aca="false">IF(Arterial=1,IF(Informed=0,1,0),0)</f>
        <v>#N/A</v>
      </c>
      <c r="AF269" s="44" t="e">
        <f aca="false">IF(AB269=1,(X269-G$1030)^2,0)</f>
        <v>#N/A</v>
      </c>
      <c r="AG269" s="44" t="e">
        <f aca="false">IF(AC269=1,(Y269-H$1030)^2,0)</f>
        <v>#N/A</v>
      </c>
      <c r="AH269" s="44" t="e">
        <f aca="false">IF(AD269=1,(Z269-I$1030)^2,0)</f>
        <v>#N/A</v>
      </c>
      <c r="AI269" s="44" t="e">
        <f aca="false">IF(AE269=1,(AA269-J$1030)^2,0)</f>
        <v>#N/A</v>
      </c>
    </row>
    <row r="270" customFormat="false" ht="12" hidden="false" customHeight="false" outlineLevel="0" collapsed="false">
      <c r="A270" s="29" t="n">
        <v>253</v>
      </c>
      <c r="B270" s="45" t="n">
        <f aca="true">IF(RAND()&lt;$D$8,1,0)</f>
        <v>1</v>
      </c>
      <c r="C270" s="34" t="n">
        <f aca="true">-LN(RAND())/$D$2</f>
        <v>2.61907019328712</v>
      </c>
      <c r="D270" s="46" t="n">
        <f aca="false">D269+C270</f>
        <v>397.578901063715</v>
      </c>
      <c r="E270" s="47" t="e">
        <f aca="false">MAX($D$3,(1+P269-VLOOKUP(VALUE(D270),$J$18:$Q269,7,TRUE()))*$D$3)</f>
        <v>#N/A</v>
      </c>
      <c r="F270" s="47" t="e">
        <f aca="false">MAX($D$4,(1+Q269-VLOOKUP(VALUE(D270),$M$18:$Q269,5,TRUE()))*$D$4)</f>
        <v>#N/A</v>
      </c>
      <c r="G270" s="48" t="n">
        <v>0.5</v>
      </c>
      <c r="H270" s="46" t="e">
        <f aca="true">IF((B270=1),(IF((F270&lt;E270),1,(IF((F270=E270),(IF(RAND()&lt;G270,1,0)),0)))),(IF((RAND()&lt;G270),1,0)))</f>
        <v>#N/A</v>
      </c>
      <c r="I270" s="46" t="e">
        <f aca="true">IF((H270=1),0,$D$3+$D$5*(RAND()-0.5))</f>
        <v>#N/A</v>
      </c>
      <c r="J270" s="46" t="e">
        <f aca="false">I270+MAX(D270,J269)</f>
        <v>#N/A</v>
      </c>
      <c r="K270" s="46" t="e">
        <f aca="false">IF((H270=0),J270-D270,0)</f>
        <v>#N/A</v>
      </c>
      <c r="L270" s="46" t="e">
        <f aca="true">IF(($H270=0),0,$D$4+$D$5*(RAND()-0.5))</f>
        <v>#N/A</v>
      </c>
      <c r="M270" s="46" t="e">
        <f aca="false">L270+MAX(D270,M269)</f>
        <v>#N/A</v>
      </c>
      <c r="N270" s="46" t="e">
        <f aca="false">IF((H270=1),M270-D270,0)</f>
        <v>#N/A</v>
      </c>
      <c r="O270" s="29" t="n">
        <v>253</v>
      </c>
      <c r="P270" s="49" t="e">
        <f aca="false">IF((Arterial=0),P269+1,P269)</f>
        <v>#N/A</v>
      </c>
      <c r="Q270" s="49" t="e">
        <f aca="false">IF((Arterial=1),Q269+1,Q269)</f>
        <v>#N/A</v>
      </c>
      <c r="R270" s="50" t="n">
        <f aca="false">IF((RESET=1),0,R270+K270)</f>
        <v>0</v>
      </c>
      <c r="S270" s="19" t="n">
        <f aca="false">IF(RESET=1,0,S270+N270)</f>
        <v>0</v>
      </c>
      <c r="T270" s="0" t="n">
        <f aca="false">IF(RESET=1,0,T270+IF(H270=0,1,0))</f>
        <v>0</v>
      </c>
      <c r="U270" s="0" t="n">
        <f aca="false">IF(RESET=1,0,U270+H270)</f>
        <v>0</v>
      </c>
      <c r="V270" s="19" t="n">
        <f aca="false">R270/(T270+0.00001)</f>
        <v>0</v>
      </c>
      <c r="W270" s="19" t="n">
        <f aca="false">S270/(U270+0.0001)</f>
        <v>0</v>
      </c>
      <c r="X270" s="47" t="e">
        <f aca="false">IF(Informed=1,K270,0)</f>
        <v>#N/A</v>
      </c>
      <c r="Y270" s="47" t="n">
        <f aca="false">IF(Informed=0,K270,0)</f>
        <v>0</v>
      </c>
      <c r="Z270" s="47" t="e">
        <f aca="false">IF(Informed=1,N270,0)</f>
        <v>#N/A</v>
      </c>
      <c r="AA270" s="47" t="n">
        <f aca="false">IF(Informed=0,N270,0)</f>
        <v>0</v>
      </c>
      <c r="AB270" s="51" t="e">
        <f aca="false">IF(Arterial=0,IF(Informed=1,1,0),0)</f>
        <v>#N/A</v>
      </c>
      <c r="AC270" s="51" t="e">
        <f aca="false">IF(Arterial=0,IF(Informed=0,1,0),0)</f>
        <v>#N/A</v>
      </c>
      <c r="AD270" s="51" t="e">
        <f aca="false">IF(Arterial=1,IF(Informed=1,1,0),0)</f>
        <v>#N/A</v>
      </c>
      <c r="AE270" s="51" t="e">
        <f aca="false">IF(Arterial=1,IF(Informed=0,1,0),0)</f>
        <v>#N/A</v>
      </c>
      <c r="AF270" s="44" t="e">
        <f aca="false">IF(AB270=1,(X270-G$1030)^2,0)</f>
        <v>#N/A</v>
      </c>
      <c r="AG270" s="44" t="e">
        <f aca="false">IF(AC270=1,(Y270-H$1030)^2,0)</f>
        <v>#N/A</v>
      </c>
      <c r="AH270" s="44" t="e">
        <f aca="false">IF(AD270=1,(Z270-I$1030)^2,0)</f>
        <v>#N/A</v>
      </c>
      <c r="AI270" s="44" t="e">
        <f aca="false">IF(AE270=1,(AA270-J$1030)^2,0)</f>
        <v>#N/A</v>
      </c>
    </row>
    <row r="271" customFormat="false" ht="12" hidden="false" customHeight="false" outlineLevel="0" collapsed="false">
      <c r="A271" s="29" t="n">
        <v>254</v>
      </c>
      <c r="B271" s="45" t="n">
        <f aca="true">IF(RAND()&lt;$D$8,1,0)</f>
        <v>1</v>
      </c>
      <c r="C271" s="34" t="n">
        <f aca="true">-LN(RAND())/$D$2</f>
        <v>5.43436191761013</v>
      </c>
      <c r="D271" s="46" t="n">
        <f aca="false">D270+C271</f>
        <v>403.013262981326</v>
      </c>
      <c r="E271" s="47" t="e">
        <f aca="false">MAX($D$3,(1+P270-VLOOKUP(VALUE(D271),$J$18:$Q270,7,TRUE()))*$D$3)</f>
        <v>#N/A</v>
      </c>
      <c r="F271" s="47" t="e">
        <f aca="false">MAX($D$4,(1+Q270-VLOOKUP(VALUE(D271),$M$18:$Q270,5,TRUE()))*$D$4)</f>
        <v>#N/A</v>
      </c>
      <c r="G271" s="48" t="n">
        <v>0.5</v>
      </c>
      <c r="H271" s="46" t="e">
        <f aca="true">IF((B271=1),(IF((F271&lt;E271),1,(IF((F271=E271),(IF(RAND()&lt;G271,1,0)),0)))),(IF((RAND()&lt;G271),1,0)))</f>
        <v>#N/A</v>
      </c>
      <c r="I271" s="46" t="e">
        <f aca="true">IF((H271=1),0,$D$3+$D$5*(RAND()-0.5))</f>
        <v>#N/A</v>
      </c>
      <c r="J271" s="46" t="e">
        <f aca="false">I271+MAX(D271,J270)</f>
        <v>#N/A</v>
      </c>
      <c r="K271" s="46" t="e">
        <f aca="false">IF((H271=0),J271-D271,0)</f>
        <v>#N/A</v>
      </c>
      <c r="L271" s="46" t="e">
        <f aca="true">IF(($H271=0),0,$D$4+$D$5*(RAND()-0.5))</f>
        <v>#N/A</v>
      </c>
      <c r="M271" s="46" t="e">
        <f aca="false">L271+MAX(D271,M270)</f>
        <v>#N/A</v>
      </c>
      <c r="N271" s="46" t="e">
        <f aca="false">IF((H271=1),M271-D271,0)</f>
        <v>#N/A</v>
      </c>
      <c r="O271" s="29" t="n">
        <v>254</v>
      </c>
      <c r="P271" s="49" t="e">
        <f aca="false">IF((Arterial=0),P270+1,P270)</f>
        <v>#N/A</v>
      </c>
      <c r="Q271" s="49" t="e">
        <f aca="false">IF((Arterial=1),Q270+1,Q270)</f>
        <v>#N/A</v>
      </c>
      <c r="R271" s="50" t="n">
        <f aca="false">IF((RESET=1),0,R271+K271)</f>
        <v>0</v>
      </c>
      <c r="S271" s="19" t="n">
        <f aca="false">IF(RESET=1,0,S271+N271)</f>
        <v>0</v>
      </c>
      <c r="T271" s="0" t="n">
        <f aca="false">IF(RESET=1,0,T271+IF(H271=0,1,0))</f>
        <v>0</v>
      </c>
      <c r="U271" s="0" t="n">
        <f aca="false">IF(RESET=1,0,U271+H271)</f>
        <v>0</v>
      </c>
      <c r="V271" s="19" t="n">
        <f aca="false">R271/(T271+0.00001)</f>
        <v>0</v>
      </c>
      <c r="W271" s="19" t="n">
        <f aca="false">S271/(U271+0.0001)</f>
        <v>0</v>
      </c>
      <c r="X271" s="47" t="e">
        <f aca="false">IF(Informed=1,K271,0)</f>
        <v>#N/A</v>
      </c>
      <c r="Y271" s="47" t="n">
        <f aca="false">IF(Informed=0,K271,0)</f>
        <v>0</v>
      </c>
      <c r="Z271" s="47" t="e">
        <f aca="false">IF(Informed=1,N271,0)</f>
        <v>#N/A</v>
      </c>
      <c r="AA271" s="47" t="n">
        <f aca="false">IF(Informed=0,N271,0)</f>
        <v>0</v>
      </c>
      <c r="AB271" s="51" t="e">
        <f aca="false">IF(Arterial=0,IF(Informed=1,1,0),0)</f>
        <v>#N/A</v>
      </c>
      <c r="AC271" s="51" t="e">
        <f aca="false">IF(Arterial=0,IF(Informed=0,1,0),0)</f>
        <v>#N/A</v>
      </c>
      <c r="AD271" s="51" t="e">
        <f aca="false">IF(Arterial=1,IF(Informed=1,1,0),0)</f>
        <v>#N/A</v>
      </c>
      <c r="AE271" s="51" t="e">
        <f aca="false">IF(Arterial=1,IF(Informed=0,1,0),0)</f>
        <v>#N/A</v>
      </c>
      <c r="AF271" s="44" t="e">
        <f aca="false">IF(AB271=1,(X271-G$1030)^2,0)</f>
        <v>#N/A</v>
      </c>
      <c r="AG271" s="44" t="e">
        <f aca="false">IF(AC271=1,(Y271-H$1030)^2,0)</f>
        <v>#N/A</v>
      </c>
      <c r="AH271" s="44" t="e">
        <f aca="false">IF(AD271=1,(Z271-I$1030)^2,0)</f>
        <v>#N/A</v>
      </c>
      <c r="AI271" s="44" t="e">
        <f aca="false">IF(AE271=1,(AA271-J$1030)^2,0)</f>
        <v>#N/A</v>
      </c>
    </row>
    <row r="272" customFormat="false" ht="12" hidden="false" customHeight="false" outlineLevel="0" collapsed="false">
      <c r="A272" s="29" t="n">
        <v>255</v>
      </c>
      <c r="B272" s="45" t="n">
        <f aca="true">IF(RAND()&lt;$D$8,1,0)</f>
        <v>1</v>
      </c>
      <c r="C272" s="34" t="n">
        <f aca="true">-LN(RAND())/$D$2</f>
        <v>3.54315643011103</v>
      </c>
      <c r="D272" s="46" t="n">
        <f aca="false">D271+C272</f>
        <v>406.556419411437</v>
      </c>
      <c r="E272" s="47" t="e">
        <f aca="false">MAX($D$3,(1+P271-VLOOKUP(VALUE(D272),$J$18:$Q271,7,TRUE()))*$D$3)</f>
        <v>#N/A</v>
      </c>
      <c r="F272" s="47" t="e">
        <f aca="false">MAX($D$4,(1+Q271-VLOOKUP(VALUE(D272),$M$18:$Q271,5,TRUE()))*$D$4)</f>
        <v>#N/A</v>
      </c>
      <c r="G272" s="48" t="n">
        <v>0.5</v>
      </c>
      <c r="H272" s="46" t="e">
        <f aca="true">IF((B272=1),(IF((F272&lt;E272),1,(IF((F272=E272),(IF(RAND()&lt;G272,1,0)),0)))),(IF((RAND()&lt;G272),1,0)))</f>
        <v>#N/A</v>
      </c>
      <c r="I272" s="46" t="e">
        <f aca="true">IF((H272=1),0,$D$3+$D$5*(RAND()-0.5))</f>
        <v>#N/A</v>
      </c>
      <c r="J272" s="46" t="e">
        <f aca="false">I272+MAX(D272,J271)</f>
        <v>#N/A</v>
      </c>
      <c r="K272" s="46" t="e">
        <f aca="false">IF((H272=0),J272-D272,0)</f>
        <v>#N/A</v>
      </c>
      <c r="L272" s="46" t="e">
        <f aca="true">IF(($H272=0),0,$D$4+$D$5*(RAND()-0.5))</f>
        <v>#N/A</v>
      </c>
      <c r="M272" s="46" t="e">
        <f aca="false">L272+MAX(D272,M271)</f>
        <v>#N/A</v>
      </c>
      <c r="N272" s="46" t="e">
        <f aca="false">IF((H272=1),M272-D272,0)</f>
        <v>#N/A</v>
      </c>
      <c r="O272" s="29" t="n">
        <v>255</v>
      </c>
      <c r="P272" s="49" t="e">
        <f aca="false">IF((Arterial=0),P271+1,P271)</f>
        <v>#N/A</v>
      </c>
      <c r="Q272" s="49" t="e">
        <f aca="false">IF((Arterial=1),Q271+1,Q271)</f>
        <v>#N/A</v>
      </c>
      <c r="R272" s="50" t="n">
        <f aca="false">IF((RESET=1),0,R272+K272)</f>
        <v>0</v>
      </c>
      <c r="S272" s="19" t="n">
        <f aca="false">IF(RESET=1,0,S272+N272)</f>
        <v>0</v>
      </c>
      <c r="T272" s="0" t="n">
        <f aca="false">IF(RESET=1,0,T272+IF(H272=0,1,0))</f>
        <v>0</v>
      </c>
      <c r="U272" s="0" t="n">
        <f aca="false">IF(RESET=1,0,U272+H272)</f>
        <v>0</v>
      </c>
      <c r="V272" s="19" t="n">
        <f aca="false">R272/(T272+0.00001)</f>
        <v>0</v>
      </c>
      <c r="W272" s="19" t="n">
        <f aca="false">S272/(U272+0.0001)</f>
        <v>0</v>
      </c>
      <c r="X272" s="47" t="e">
        <f aca="false">IF(Informed=1,K272,0)</f>
        <v>#N/A</v>
      </c>
      <c r="Y272" s="47" t="n">
        <f aca="false">IF(Informed=0,K272,0)</f>
        <v>0</v>
      </c>
      <c r="Z272" s="47" t="e">
        <f aca="false">IF(Informed=1,N272,0)</f>
        <v>#N/A</v>
      </c>
      <c r="AA272" s="47" t="n">
        <f aca="false">IF(Informed=0,N272,0)</f>
        <v>0</v>
      </c>
      <c r="AB272" s="51" t="e">
        <f aca="false">IF(Arterial=0,IF(Informed=1,1,0),0)</f>
        <v>#N/A</v>
      </c>
      <c r="AC272" s="51" t="e">
        <f aca="false">IF(Arterial=0,IF(Informed=0,1,0),0)</f>
        <v>#N/A</v>
      </c>
      <c r="AD272" s="51" t="e">
        <f aca="false">IF(Arterial=1,IF(Informed=1,1,0),0)</f>
        <v>#N/A</v>
      </c>
      <c r="AE272" s="51" t="e">
        <f aca="false">IF(Arterial=1,IF(Informed=0,1,0),0)</f>
        <v>#N/A</v>
      </c>
      <c r="AF272" s="44" t="e">
        <f aca="false">IF(AB272=1,(X272-G$1030)^2,0)</f>
        <v>#N/A</v>
      </c>
      <c r="AG272" s="44" t="e">
        <f aca="false">IF(AC272=1,(Y272-H$1030)^2,0)</f>
        <v>#N/A</v>
      </c>
      <c r="AH272" s="44" t="e">
        <f aca="false">IF(AD272=1,(Z272-I$1030)^2,0)</f>
        <v>#N/A</v>
      </c>
      <c r="AI272" s="44" t="e">
        <f aca="false">IF(AE272=1,(AA272-J$1030)^2,0)</f>
        <v>#N/A</v>
      </c>
    </row>
    <row r="273" customFormat="false" ht="12" hidden="false" customHeight="false" outlineLevel="0" collapsed="false">
      <c r="A273" s="29" t="n">
        <v>256</v>
      </c>
      <c r="B273" s="45" t="n">
        <f aca="true">IF(RAND()&lt;$D$8,1,0)</f>
        <v>1</v>
      </c>
      <c r="C273" s="34" t="n">
        <f aca="true">-LN(RAND())/$D$2</f>
        <v>2.81806171807638</v>
      </c>
      <c r="D273" s="46" t="n">
        <f aca="false">D272+C273</f>
        <v>409.374481129513</v>
      </c>
      <c r="E273" s="47" t="e">
        <f aca="false">MAX($D$3,(1+P272-VLOOKUP(VALUE(D273),$J$18:$Q272,7,TRUE()))*$D$3)</f>
        <v>#N/A</v>
      </c>
      <c r="F273" s="47" t="e">
        <f aca="false">MAX($D$4,(1+Q272-VLOOKUP(VALUE(D273),$M$18:$Q272,5,TRUE()))*$D$4)</f>
        <v>#N/A</v>
      </c>
      <c r="G273" s="48" t="n">
        <v>0.5</v>
      </c>
      <c r="H273" s="46" t="e">
        <f aca="true">IF((B273=1),(IF((F273&lt;E273),1,(IF((F273=E273),(IF(RAND()&lt;G273,1,0)),0)))),(IF((RAND()&lt;G273),1,0)))</f>
        <v>#N/A</v>
      </c>
      <c r="I273" s="46" t="e">
        <f aca="true">IF((H273=1),0,$D$3+$D$5*(RAND()-0.5))</f>
        <v>#N/A</v>
      </c>
      <c r="J273" s="46" t="e">
        <f aca="false">I273+MAX(D273,J272)</f>
        <v>#N/A</v>
      </c>
      <c r="K273" s="46" t="e">
        <f aca="false">IF((H273=0),J273-D273,0)</f>
        <v>#N/A</v>
      </c>
      <c r="L273" s="46" t="e">
        <f aca="true">IF(($H273=0),0,$D$4+$D$5*(RAND()-0.5))</f>
        <v>#N/A</v>
      </c>
      <c r="M273" s="46" t="e">
        <f aca="false">L273+MAX(D273,M272)</f>
        <v>#N/A</v>
      </c>
      <c r="N273" s="46" t="e">
        <f aca="false">IF((H273=1),M273-D273,0)</f>
        <v>#N/A</v>
      </c>
      <c r="O273" s="29" t="n">
        <v>256</v>
      </c>
      <c r="P273" s="49" t="e">
        <f aca="false">IF((Arterial=0),P272+1,P272)</f>
        <v>#N/A</v>
      </c>
      <c r="Q273" s="49" t="e">
        <f aca="false">IF((Arterial=1),Q272+1,Q272)</f>
        <v>#N/A</v>
      </c>
      <c r="R273" s="50" t="n">
        <f aca="false">IF((RESET=1),0,R273+K273)</f>
        <v>0</v>
      </c>
      <c r="S273" s="19" t="n">
        <f aca="false">IF(RESET=1,0,S273+N273)</f>
        <v>0</v>
      </c>
      <c r="T273" s="0" t="n">
        <f aca="false">IF(RESET=1,0,T273+IF(H273=0,1,0))</f>
        <v>0</v>
      </c>
      <c r="U273" s="0" t="n">
        <f aca="false">IF(RESET=1,0,U273+H273)</f>
        <v>0</v>
      </c>
      <c r="V273" s="19" t="n">
        <f aca="false">R273/(T273+0.00001)</f>
        <v>0</v>
      </c>
      <c r="W273" s="19" t="n">
        <f aca="false">S273/(U273+0.0001)</f>
        <v>0</v>
      </c>
      <c r="X273" s="47" t="e">
        <f aca="false">IF(Informed=1,K273,0)</f>
        <v>#N/A</v>
      </c>
      <c r="Y273" s="47" t="n">
        <f aca="false">IF(Informed=0,K273,0)</f>
        <v>0</v>
      </c>
      <c r="Z273" s="47" t="e">
        <f aca="false">IF(Informed=1,N273,0)</f>
        <v>#N/A</v>
      </c>
      <c r="AA273" s="47" t="n">
        <f aca="false">IF(Informed=0,N273,0)</f>
        <v>0</v>
      </c>
      <c r="AB273" s="51" t="e">
        <f aca="false">IF(Arterial=0,IF(Informed=1,1,0),0)</f>
        <v>#N/A</v>
      </c>
      <c r="AC273" s="51" t="e">
        <f aca="false">IF(Arterial=0,IF(Informed=0,1,0),0)</f>
        <v>#N/A</v>
      </c>
      <c r="AD273" s="51" t="e">
        <f aca="false">IF(Arterial=1,IF(Informed=1,1,0),0)</f>
        <v>#N/A</v>
      </c>
      <c r="AE273" s="51" t="e">
        <f aca="false">IF(Arterial=1,IF(Informed=0,1,0),0)</f>
        <v>#N/A</v>
      </c>
      <c r="AF273" s="44" t="e">
        <f aca="false">IF(AB273=1,(X273-G$1030)^2,0)</f>
        <v>#N/A</v>
      </c>
      <c r="AG273" s="44" t="e">
        <f aca="false">IF(AC273=1,(Y273-H$1030)^2,0)</f>
        <v>#N/A</v>
      </c>
      <c r="AH273" s="44" t="e">
        <f aca="false">IF(AD273=1,(Z273-I$1030)^2,0)</f>
        <v>#N/A</v>
      </c>
      <c r="AI273" s="44" t="e">
        <f aca="false">IF(AE273=1,(AA273-J$1030)^2,0)</f>
        <v>#N/A</v>
      </c>
    </row>
    <row r="274" customFormat="false" ht="12" hidden="false" customHeight="false" outlineLevel="0" collapsed="false">
      <c r="A274" s="29" t="n">
        <v>257</v>
      </c>
      <c r="B274" s="45" t="n">
        <f aca="true">IF(RAND()&lt;$D$8,1,0)</f>
        <v>1</v>
      </c>
      <c r="C274" s="34" t="n">
        <f aca="true">-LN(RAND())/$D$2</f>
        <v>1.0515063921615</v>
      </c>
      <c r="D274" s="46" t="n">
        <f aca="false">D273+C274</f>
        <v>410.425987521675</v>
      </c>
      <c r="E274" s="47" t="e">
        <f aca="false">MAX($D$3,(1+P273-VLOOKUP(VALUE(D274),$J$18:$Q273,7,TRUE()))*$D$3)</f>
        <v>#N/A</v>
      </c>
      <c r="F274" s="47" t="e">
        <f aca="false">MAX($D$4,(1+Q273-VLOOKUP(VALUE(D274),$M$18:$Q273,5,TRUE()))*$D$4)</f>
        <v>#N/A</v>
      </c>
      <c r="G274" s="48" t="n">
        <v>0.5</v>
      </c>
      <c r="H274" s="46" t="e">
        <f aca="true">IF((B274=1),(IF((F274&lt;E274),1,(IF((F274=E274),(IF(RAND()&lt;G274,1,0)),0)))),(IF((RAND()&lt;G274),1,0)))</f>
        <v>#N/A</v>
      </c>
      <c r="I274" s="46" t="e">
        <f aca="true">IF((H274=1),0,$D$3+$D$5*(RAND()-0.5))</f>
        <v>#N/A</v>
      </c>
      <c r="J274" s="46" t="e">
        <f aca="false">I274+MAX(D274,J273)</f>
        <v>#N/A</v>
      </c>
      <c r="K274" s="46" t="e">
        <f aca="false">IF((H274=0),J274-D274,0)</f>
        <v>#N/A</v>
      </c>
      <c r="L274" s="46" t="e">
        <f aca="true">IF(($H274=0),0,$D$4+$D$5*(RAND()-0.5))</f>
        <v>#N/A</v>
      </c>
      <c r="M274" s="46" t="e">
        <f aca="false">L274+MAX(D274,M273)</f>
        <v>#N/A</v>
      </c>
      <c r="N274" s="46" t="e">
        <f aca="false">IF((H274=1),M274-D274,0)</f>
        <v>#N/A</v>
      </c>
      <c r="O274" s="29" t="n">
        <v>257</v>
      </c>
      <c r="P274" s="49" t="e">
        <f aca="false">IF((Arterial=0),P273+1,P273)</f>
        <v>#N/A</v>
      </c>
      <c r="Q274" s="49" t="e">
        <f aca="false">IF((Arterial=1),Q273+1,Q273)</f>
        <v>#N/A</v>
      </c>
      <c r="R274" s="50" t="n">
        <f aca="false">IF((RESET=1),0,R274+K274)</f>
        <v>0</v>
      </c>
      <c r="S274" s="19" t="n">
        <f aca="false">IF(RESET=1,0,S274+N274)</f>
        <v>0</v>
      </c>
      <c r="T274" s="0" t="n">
        <f aca="false">IF(RESET=1,0,T274+IF(H274=0,1,0))</f>
        <v>0</v>
      </c>
      <c r="U274" s="0" t="n">
        <f aca="false">IF(RESET=1,0,U274+H274)</f>
        <v>0</v>
      </c>
      <c r="V274" s="19" t="n">
        <f aca="false">R274/(T274+0.00001)</f>
        <v>0</v>
      </c>
      <c r="W274" s="19" t="n">
        <f aca="false">S274/(U274+0.0001)</f>
        <v>0</v>
      </c>
      <c r="X274" s="47" t="e">
        <f aca="false">IF(Informed=1,K274,0)</f>
        <v>#N/A</v>
      </c>
      <c r="Y274" s="47" t="n">
        <f aca="false">IF(Informed=0,K274,0)</f>
        <v>0</v>
      </c>
      <c r="Z274" s="47" t="e">
        <f aca="false">IF(Informed=1,N274,0)</f>
        <v>#N/A</v>
      </c>
      <c r="AA274" s="47" t="n">
        <f aca="false">IF(Informed=0,N274,0)</f>
        <v>0</v>
      </c>
      <c r="AB274" s="51" t="e">
        <f aca="false">IF(Arterial=0,IF(Informed=1,1,0),0)</f>
        <v>#N/A</v>
      </c>
      <c r="AC274" s="51" t="e">
        <f aca="false">IF(Arterial=0,IF(Informed=0,1,0),0)</f>
        <v>#N/A</v>
      </c>
      <c r="AD274" s="51" t="e">
        <f aca="false">IF(Arterial=1,IF(Informed=1,1,0),0)</f>
        <v>#N/A</v>
      </c>
      <c r="AE274" s="51" t="e">
        <f aca="false">IF(Arterial=1,IF(Informed=0,1,0),0)</f>
        <v>#N/A</v>
      </c>
      <c r="AF274" s="44" t="e">
        <f aca="false">IF(AB274=1,(X274-G$1030)^2,0)</f>
        <v>#N/A</v>
      </c>
      <c r="AG274" s="44" t="e">
        <f aca="false">IF(AC274=1,(Y274-H$1030)^2,0)</f>
        <v>#N/A</v>
      </c>
      <c r="AH274" s="44" t="e">
        <f aca="false">IF(AD274=1,(Z274-I$1030)^2,0)</f>
        <v>#N/A</v>
      </c>
      <c r="AI274" s="44" t="e">
        <f aca="false">IF(AE274=1,(AA274-J$1030)^2,0)</f>
        <v>#N/A</v>
      </c>
    </row>
    <row r="275" customFormat="false" ht="12" hidden="false" customHeight="false" outlineLevel="0" collapsed="false">
      <c r="A275" s="29" t="n">
        <v>258</v>
      </c>
      <c r="B275" s="45" t="n">
        <f aca="true">IF(RAND()&lt;$D$8,1,0)</f>
        <v>1</v>
      </c>
      <c r="C275" s="34" t="n">
        <f aca="true">-LN(RAND())/$D$2</f>
        <v>3.64374896897938</v>
      </c>
      <c r="D275" s="46" t="n">
        <f aca="false">D274+C275</f>
        <v>414.069736490654</v>
      </c>
      <c r="E275" s="47" t="e">
        <f aca="false">MAX($D$3,(1+P274-VLOOKUP(VALUE(D275),$J$18:$Q274,7,TRUE()))*$D$3)</f>
        <v>#N/A</v>
      </c>
      <c r="F275" s="47" t="e">
        <f aca="false">MAX($D$4,(1+Q274-VLOOKUP(VALUE(D275),$M$18:$Q274,5,TRUE()))*$D$4)</f>
        <v>#N/A</v>
      </c>
      <c r="G275" s="48" t="n">
        <v>0.5</v>
      </c>
      <c r="H275" s="46" t="e">
        <f aca="true">IF((B275=1),(IF((F275&lt;E275),1,(IF((F275=E275),(IF(RAND()&lt;G275,1,0)),0)))),(IF((RAND()&lt;G275),1,0)))</f>
        <v>#N/A</v>
      </c>
      <c r="I275" s="46" t="e">
        <f aca="true">IF((H275=1),0,$D$3+$D$5*(RAND()-0.5))</f>
        <v>#N/A</v>
      </c>
      <c r="J275" s="46" t="e">
        <f aca="false">I275+MAX(D275,J274)</f>
        <v>#N/A</v>
      </c>
      <c r="K275" s="46" t="e">
        <f aca="false">IF((H275=0),J275-D275,0)</f>
        <v>#N/A</v>
      </c>
      <c r="L275" s="46" t="e">
        <f aca="true">IF(($H275=0),0,$D$4+$D$5*(RAND()-0.5))</f>
        <v>#N/A</v>
      </c>
      <c r="M275" s="46" t="e">
        <f aca="false">L275+MAX(D275,M274)</f>
        <v>#N/A</v>
      </c>
      <c r="N275" s="46" t="e">
        <f aca="false">IF((H275=1),M275-D275,0)</f>
        <v>#N/A</v>
      </c>
      <c r="O275" s="29" t="n">
        <v>258</v>
      </c>
      <c r="P275" s="49" t="e">
        <f aca="false">IF((Arterial=0),P274+1,P274)</f>
        <v>#N/A</v>
      </c>
      <c r="Q275" s="49" t="e">
        <f aca="false">IF((Arterial=1),Q274+1,Q274)</f>
        <v>#N/A</v>
      </c>
      <c r="R275" s="50" t="n">
        <f aca="false">IF((RESET=1),0,R275+K275)</f>
        <v>0</v>
      </c>
      <c r="S275" s="19" t="n">
        <f aca="false">IF(RESET=1,0,S275+N275)</f>
        <v>0</v>
      </c>
      <c r="T275" s="0" t="n">
        <f aca="false">IF(RESET=1,0,T275+IF(H275=0,1,0))</f>
        <v>0</v>
      </c>
      <c r="U275" s="0" t="n">
        <f aca="false">IF(RESET=1,0,U275+H275)</f>
        <v>0</v>
      </c>
      <c r="V275" s="19" t="n">
        <f aca="false">R275/(T275+0.00001)</f>
        <v>0</v>
      </c>
      <c r="W275" s="19" t="n">
        <f aca="false">S275/(U275+0.0001)</f>
        <v>0</v>
      </c>
      <c r="X275" s="47" t="e">
        <f aca="false">IF(Informed=1,K275,0)</f>
        <v>#N/A</v>
      </c>
      <c r="Y275" s="47" t="n">
        <f aca="false">IF(Informed=0,K275,0)</f>
        <v>0</v>
      </c>
      <c r="Z275" s="47" t="e">
        <f aca="false">IF(Informed=1,N275,0)</f>
        <v>#N/A</v>
      </c>
      <c r="AA275" s="47" t="n">
        <f aca="false">IF(Informed=0,N275,0)</f>
        <v>0</v>
      </c>
      <c r="AB275" s="51" t="e">
        <f aca="false">IF(Arterial=0,IF(Informed=1,1,0),0)</f>
        <v>#N/A</v>
      </c>
      <c r="AC275" s="51" t="e">
        <f aca="false">IF(Arterial=0,IF(Informed=0,1,0),0)</f>
        <v>#N/A</v>
      </c>
      <c r="AD275" s="51" t="e">
        <f aca="false">IF(Arterial=1,IF(Informed=1,1,0),0)</f>
        <v>#N/A</v>
      </c>
      <c r="AE275" s="51" t="e">
        <f aca="false">IF(Arterial=1,IF(Informed=0,1,0),0)</f>
        <v>#N/A</v>
      </c>
      <c r="AF275" s="44" t="e">
        <f aca="false">IF(AB275=1,(X275-G$1030)^2,0)</f>
        <v>#N/A</v>
      </c>
      <c r="AG275" s="44" t="e">
        <f aca="false">IF(AC275=1,(Y275-H$1030)^2,0)</f>
        <v>#N/A</v>
      </c>
      <c r="AH275" s="44" t="e">
        <f aca="false">IF(AD275=1,(Z275-I$1030)^2,0)</f>
        <v>#N/A</v>
      </c>
      <c r="AI275" s="44" t="e">
        <f aca="false">IF(AE275=1,(AA275-J$1030)^2,0)</f>
        <v>#N/A</v>
      </c>
    </row>
    <row r="276" customFormat="false" ht="12" hidden="false" customHeight="false" outlineLevel="0" collapsed="false">
      <c r="A276" s="29" t="n">
        <v>259</v>
      </c>
      <c r="B276" s="45" t="n">
        <f aca="true">IF(RAND()&lt;$D$8,1,0)</f>
        <v>1</v>
      </c>
      <c r="C276" s="34" t="n">
        <f aca="true">-LN(RAND())/$D$2</f>
        <v>2.03847354470066</v>
      </c>
      <c r="D276" s="46" t="n">
        <f aca="false">D275+C276</f>
        <v>416.108210035355</v>
      </c>
      <c r="E276" s="47" t="e">
        <f aca="false">MAX($D$3,(1+P275-VLOOKUP(VALUE(D276),$J$18:$Q275,7,TRUE()))*$D$3)</f>
        <v>#N/A</v>
      </c>
      <c r="F276" s="47" t="e">
        <f aca="false">MAX($D$4,(1+Q275-VLOOKUP(VALUE(D276),$M$18:$Q275,5,TRUE()))*$D$4)</f>
        <v>#N/A</v>
      </c>
      <c r="G276" s="48" t="n">
        <v>0.5</v>
      </c>
      <c r="H276" s="46" t="e">
        <f aca="true">IF((B276=1),(IF((F276&lt;E276),1,(IF((F276=E276),(IF(RAND()&lt;G276,1,0)),0)))),(IF((RAND()&lt;G276),1,0)))</f>
        <v>#N/A</v>
      </c>
      <c r="I276" s="46" t="e">
        <f aca="true">IF((H276=1),0,$D$3+$D$5*(RAND()-0.5))</f>
        <v>#N/A</v>
      </c>
      <c r="J276" s="46" t="e">
        <f aca="false">I276+MAX(D276,J275)</f>
        <v>#N/A</v>
      </c>
      <c r="K276" s="46" t="e">
        <f aca="false">IF((H276=0),J276-D276,0)</f>
        <v>#N/A</v>
      </c>
      <c r="L276" s="46" t="e">
        <f aca="true">IF(($H276=0),0,$D$4+$D$5*(RAND()-0.5))</f>
        <v>#N/A</v>
      </c>
      <c r="M276" s="46" t="e">
        <f aca="false">L276+MAX(D276,M275)</f>
        <v>#N/A</v>
      </c>
      <c r="N276" s="46" t="e">
        <f aca="false">IF((H276=1),M276-D276,0)</f>
        <v>#N/A</v>
      </c>
      <c r="O276" s="29" t="n">
        <v>259</v>
      </c>
      <c r="P276" s="49" t="e">
        <f aca="false">IF((Arterial=0),P275+1,P275)</f>
        <v>#N/A</v>
      </c>
      <c r="Q276" s="49" t="e">
        <f aca="false">IF((Arterial=1),Q275+1,Q275)</f>
        <v>#N/A</v>
      </c>
      <c r="R276" s="50" t="n">
        <f aca="false">IF((RESET=1),0,R276+K276)</f>
        <v>0</v>
      </c>
      <c r="S276" s="19" t="n">
        <f aca="false">IF(RESET=1,0,S276+N276)</f>
        <v>0</v>
      </c>
      <c r="T276" s="0" t="n">
        <f aca="false">IF(RESET=1,0,T276+IF(H276=0,1,0))</f>
        <v>0</v>
      </c>
      <c r="U276" s="0" t="n">
        <f aca="false">IF(RESET=1,0,U276+H276)</f>
        <v>0</v>
      </c>
      <c r="V276" s="19" t="n">
        <f aca="false">R276/(T276+0.00001)</f>
        <v>0</v>
      </c>
      <c r="W276" s="19" t="n">
        <f aca="false">S276/(U276+0.0001)</f>
        <v>0</v>
      </c>
      <c r="X276" s="47" t="e">
        <f aca="false">IF(Informed=1,K276,0)</f>
        <v>#N/A</v>
      </c>
      <c r="Y276" s="47" t="n">
        <f aca="false">IF(Informed=0,K276,0)</f>
        <v>0</v>
      </c>
      <c r="Z276" s="47" t="e">
        <f aca="false">IF(Informed=1,N276,0)</f>
        <v>#N/A</v>
      </c>
      <c r="AA276" s="47" t="n">
        <f aca="false">IF(Informed=0,N276,0)</f>
        <v>0</v>
      </c>
      <c r="AB276" s="51" t="e">
        <f aca="false">IF(Arterial=0,IF(Informed=1,1,0),0)</f>
        <v>#N/A</v>
      </c>
      <c r="AC276" s="51" t="e">
        <f aca="false">IF(Arterial=0,IF(Informed=0,1,0),0)</f>
        <v>#N/A</v>
      </c>
      <c r="AD276" s="51" t="e">
        <f aca="false">IF(Arterial=1,IF(Informed=1,1,0),0)</f>
        <v>#N/A</v>
      </c>
      <c r="AE276" s="51" t="e">
        <f aca="false">IF(Arterial=1,IF(Informed=0,1,0),0)</f>
        <v>#N/A</v>
      </c>
      <c r="AF276" s="44" t="e">
        <f aca="false">IF(AB276=1,(X276-G$1030)^2,0)</f>
        <v>#N/A</v>
      </c>
      <c r="AG276" s="44" t="e">
        <f aca="false">IF(AC276=1,(Y276-H$1030)^2,0)</f>
        <v>#N/A</v>
      </c>
      <c r="AH276" s="44" t="e">
        <f aca="false">IF(AD276=1,(Z276-I$1030)^2,0)</f>
        <v>#N/A</v>
      </c>
      <c r="AI276" s="44" t="e">
        <f aca="false">IF(AE276=1,(AA276-J$1030)^2,0)</f>
        <v>#N/A</v>
      </c>
    </row>
    <row r="277" customFormat="false" ht="12" hidden="false" customHeight="false" outlineLevel="0" collapsed="false">
      <c r="A277" s="29" t="n">
        <v>260</v>
      </c>
      <c r="B277" s="45" t="n">
        <f aca="true">IF(RAND()&lt;$D$8,1,0)</f>
        <v>1</v>
      </c>
      <c r="C277" s="34" t="n">
        <f aca="true">-LN(RAND())/$D$2</f>
        <v>0.806557644531084</v>
      </c>
      <c r="D277" s="46" t="n">
        <f aca="false">D276+C277</f>
        <v>416.914767679886</v>
      </c>
      <c r="E277" s="47" t="e">
        <f aca="false">MAX($D$3,(1+P276-VLOOKUP(VALUE(D277),$J$18:$Q276,7,TRUE()))*$D$3)</f>
        <v>#N/A</v>
      </c>
      <c r="F277" s="47" t="e">
        <f aca="false">MAX($D$4,(1+Q276-VLOOKUP(VALUE(D277),$M$18:$Q276,5,TRUE()))*$D$4)</f>
        <v>#N/A</v>
      </c>
      <c r="G277" s="48" t="n">
        <v>0.5</v>
      </c>
      <c r="H277" s="46" t="e">
        <f aca="true">IF((B277=1),(IF((F277&lt;E277),1,(IF((F277=E277),(IF(RAND()&lt;G277,1,0)),0)))),(IF((RAND()&lt;G277),1,0)))</f>
        <v>#N/A</v>
      </c>
      <c r="I277" s="46" t="e">
        <f aca="true">IF((H277=1),0,$D$3+$D$5*(RAND()-0.5))</f>
        <v>#N/A</v>
      </c>
      <c r="J277" s="46" t="e">
        <f aca="false">I277+MAX(D277,J276)</f>
        <v>#N/A</v>
      </c>
      <c r="K277" s="46" t="e">
        <f aca="false">IF((H277=0),J277-D277,0)</f>
        <v>#N/A</v>
      </c>
      <c r="L277" s="46" t="e">
        <f aca="true">IF(($H277=0),0,$D$4+$D$5*(RAND()-0.5))</f>
        <v>#N/A</v>
      </c>
      <c r="M277" s="46" t="e">
        <f aca="false">L277+MAX(D277,M276)</f>
        <v>#N/A</v>
      </c>
      <c r="N277" s="46" t="e">
        <f aca="false">IF((H277=1),M277-D277,0)</f>
        <v>#N/A</v>
      </c>
      <c r="O277" s="29" t="n">
        <v>260</v>
      </c>
      <c r="P277" s="49" t="e">
        <f aca="false">IF((Arterial=0),P276+1,P276)</f>
        <v>#N/A</v>
      </c>
      <c r="Q277" s="49" t="e">
        <f aca="false">IF((Arterial=1),Q276+1,Q276)</f>
        <v>#N/A</v>
      </c>
      <c r="R277" s="50" t="n">
        <f aca="false">IF((RESET=1),0,R277+K277)</f>
        <v>0</v>
      </c>
      <c r="S277" s="19" t="n">
        <f aca="false">IF(RESET=1,0,S277+N277)</f>
        <v>0</v>
      </c>
      <c r="T277" s="0" t="n">
        <f aca="false">IF(RESET=1,0,T277+IF(H277=0,1,0))</f>
        <v>0</v>
      </c>
      <c r="U277" s="0" t="n">
        <f aca="false">IF(RESET=1,0,U277+H277)</f>
        <v>0</v>
      </c>
      <c r="V277" s="19" t="n">
        <f aca="false">R277/(T277+0.00001)</f>
        <v>0</v>
      </c>
      <c r="W277" s="19" t="n">
        <f aca="false">S277/(U277+0.0001)</f>
        <v>0</v>
      </c>
      <c r="X277" s="47" t="e">
        <f aca="false">IF(Informed=1,K277,0)</f>
        <v>#N/A</v>
      </c>
      <c r="Y277" s="47" t="n">
        <f aca="false">IF(Informed=0,K277,0)</f>
        <v>0</v>
      </c>
      <c r="Z277" s="47" t="e">
        <f aca="false">IF(Informed=1,N277,0)</f>
        <v>#N/A</v>
      </c>
      <c r="AA277" s="47" t="n">
        <f aca="false">IF(Informed=0,N277,0)</f>
        <v>0</v>
      </c>
      <c r="AB277" s="51" t="e">
        <f aca="false">IF(Arterial=0,IF(Informed=1,1,0),0)</f>
        <v>#N/A</v>
      </c>
      <c r="AC277" s="51" t="e">
        <f aca="false">IF(Arterial=0,IF(Informed=0,1,0),0)</f>
        <v>#N/A</v>
      </c>
      <c r="AD277" s="51" t="e">
        <f aca="false">IF(Arterial=1,IF(Informed=1,1,0),0)</f>
        <v>#N/A</v>
      </c>
      <c r="AE277" s="51" t="e">
        <f aca="false">IF(Arterial=1,IF(Informed=0,1,0),0)</f>
        <v>#N/A</v>
      </c>
      <c r="AF277" s="44" t="e">
        <f aca="false">IF(AB277=1,(X277-G$1030)^2,0)</f>
        <v>#N/A</v>
      </c>
      <c r="AG277" s="44" t="e">
        <f aca="false">IF(AC277=1,(Y277-H$1030)^2,0)</f>
        <v>#N/A</v>
      </c>
      <c r="AH277" s="44" t="e">
        <f aca="false">IF(AD277=1,(Z277-I$1030)^2,0)</f>
        <v>#N/A</v>
      </c>
      <c r="AI277" s="44" t="e">
        <f aca="false">IF(AE277=1,(AA277-J$1030)^2,0)</f>
        <v>#N/A</v>
      </c>
    </row>
    <row r="278" customFormat="false" ht="12" hidden="false" customHeight="false" outlineLevel="0" collapsed="false">
      <c r="A278" s="29" t="n">
        <v>261</v>
      </c>
      <c r="B278" s="45" t="n">
        <f aca="true">IF(RAND()&lt;$D$8,1,0)</f>
        <v>1</v>
      </c>
      <c r="C278" s="34" t="n">
        <f aca="true">-LN(RAND())/$D$2</f>
        <v>0.125334918206054</v>
      </c>
      <c r="D278" s="46" t="n">
        <f aca="false">D277+C278</f>
        <v>417.040102598092</v>
      </c>
      <c r="E278" s="47" t="e">
        <f aca="false">MAX($D$3,(1+P277-VLOOKUP(VALUE(D278),$J$18:$Q277,7,TRUE()))*$D$3)</f>
        <v>#N/A</v>
      </c>
      <c r="F278" s="47" t="e">
        <f aca="false">MAX($D$4,(1+Q277-VLOOKUP(VALUE(D278),$M$18:$Q277,5,TRUE()))*$D$4)</f>
        <v>#N/A</v>
      </c>
      <c r="G278" s="48" t="n">
        <v>0.5</v>
      </c>
      <c r="H278" s="46" t="e">
        <f aca="true">IF((B278=1),(IF((F278&lt;E278),1,(IF((F278=E278),(IF(RAND()&lt;G278,1,0)),0)))),(IF((RAND()&lt;G278),1,0)))</f>
        <v>#N/A</v>
      </c>
      <c r="I278" s="46" t="e">
        <f aca="true">IF((H278=1),0,$D$3+$D$5*(RAND()-0.5))</f>
        <v>#N/A</v>
      </c>
      <c r="J278" s="46" t="e">
        <f aca="false">I278+MAX(D278,J277)</f>
        <v>#N/A</v>
      </c>
      <c r="K278" s="46" t="e">
        <f aca="false">IF((H278=0),J278-D278,0)</f>
        <v>#N/A</v>
      </c>
      <c r="L278" s="46" t="e">
        <f aca="true">IF(($H278=0),0,$D$4+$D$5*(RAND()-0.5))</f>
        <v>#N/A</v>
      </c>
      <c r="M278" s="46" t="e">
        <f aca="false">L278+MAX(D278,M277)</f>
        <v>#N/A</v>
      </c>
      <c r="N278" s="46" t="e">
        <f aca="false">IF((H278=1),M278-D278,0)</f>
        <v>#N/A</v>
      </c>
      <c r="O278" s="29" t="n">
        <v>261</v>
      </c>
      <c r="P278" s="49" t="e">
        <f aca="false">IF((Arterial=0),P277+1,P277)</f>
        <v>#N/A</v>
      </c>
      <c r="Q278" s="49" t="e">
        <f aca="false">IF((Arterial=1),Q277+1,Q277)</f>
        <v>#N/A</v>
      </c>
      <c r="R278" s="50" t="n">
        <f aca="false">IF((RESET=1),0,R278+K278)</f>
        <v>0</v>
      </c>
      <c r="S278" s="19" t="n">
        <f aca="false">IF(RESET=1,0,S278+N278)</f>
        <v>0</v>
      </c>
      <c r="T278" s="0" t="n">
        <f aca="false">IF(RESET=1,0,T278+IF(H278=0,1,0))</f>
        <v>0</v>
      </c>
      <c r="U278" s="0" t="n">
        <f aca="false">IF(RESET=1,0,U278+H278)</f>
        <v>0</v>
      </c>
      <c r="V278" s="19" t="n">
        <f aca="false">R278/(T278+0.00001)</f>
        <v>0</v>
      </c>
      <c r="W278" s="19" t="n">
        <f aca="false">S278/(U278+0.0001)</f>
        <v>0</v>
      </c>
      <c r="X278" s="47" t="e">
        <f aca="false">IF(Informed=1,K278,0)</f>
        <v>#N/A</v>
      </c>
      <c r="Y278" s="47" t="n">
        <f aca="false">IF(Informed=0,K278,0)</f>
        <v>0</v>
      </c>
      <c r="Z278" s="47" t="e">
        <f aca="false">IF(Informed=1,N278,0)</f>
        <v>#N/A</v>
      </c>
      <c r="AA278" s="47" t="n">
        <f aca="false">IF(Informed=0,N278,0)</f>
        <v>0</v>
      </c>
      <c r="AB278" s="51" t="e">
        <f aca="false">IF(Arterial=0,IF(Informed=1,1,0),0)</f>
        <v>#N/A</v>
      </c>
      <c r="AC278" s="51" t="e">
        <f aca="false">IF(Arterial=0,IF(Informed=0,1,0),0)</f>
        <v>#N/A</v>
      </c>
      <c r="AD278" s="51" t="e">
        <f aca="false">IF(Arterial=1,IF(Informed=1,1,0),0)</f>
        <v>#N/A</v>
      </c>
      <c r="AE278" s="51" t="e">
        <f aca="false">IF(Arterial=1,IF(Informed=0,1,0),0)</f>
        <v>#N/A</v>
      </c>
      <c r="AF278" s="44" t="e">
        <f aca="false">IF(AB278=1,(X278-G$1030)^2,0)</f>
        <v>#N/A</v>
      </c>
      <c r="AG278" s="44" t="e">
        <f aca="false">IF(AC278=1,(Y278-H$1030)^2,0)</f>
        <v>#N/A</v>
      </c>
      <c r="AH278" s="44" t="e">
        <f aca="false">IF(AD278=1,(Z278-I$1030)^2,0)</f>
        <v>#N/A</v>
      </c>
      <c r="AI278" s="44" t="e">
        <f aca="false">IF(AE278=1,(AA278-J$1030)^2,0)</f>
        <v>#N/A</v>
      </c>
    </row>
    <row r="279" customFormat="false" ht="12" hidden="false" customHeight="false" outlineLevel="0" collapsed="false">
      <c r="A279" s="29" t="n">
        <v>262</v>
      </c>
      <c r="B279" s="45" t="n">
        <f aca="true">IF(RAND()&lt;$D$8,1,0)</f>
        <v>1</v>
      </c>
      <c r="C279" s="34" t="n">
        <f aca="true">-LN(RAND())/$D$2</f>
        <v>0.0447538861845629</v>
      </c>
      <c r="D279" s="46" t="n">
        <f aca="false">D278+C279</f>
        <v>417.084856484276</v>
      </c>
      <c r="E279" s="47" t="e">
        <f aca="false">MAX($D$3,(1+P278-VLOOKUP(VALUE(D279),$J$18:$Q278,7,TRUE()))*$D$3)</f>
        <v>#N/A</v>
      </c>
      <c r="F279" s="47" t="e">
        <f aca="false">MAX($D$4,(1+Q278-VLOOKUP(VALUE(D279),$M$18:$Q278,5,TRUE()))*$D$4)</f>
        <v>#N/A</v>
      </c>
      <c r="G279" s="48" t="n">
        <v>0.5</v>
      </c>
      <c r="H279" s="46" t="e">
        <f aca="true">IF((B279=1),(IF((F279&lt;E279),1,(IF((F279=E279),(IF(RAND()&lt;G279,1,0)),0)))),(IF((RAND()&lt;G279),1,0)))</f>
        <v>#N/A</v>
      </c>
      <c r="I279" s="46" t="e">
        <f aca="true">IF((H279=1),0,$D$3+$D$5*(RAND()-0.5))</f>
        <v>#N/A</v>
      </c>
      <c r="J279" s="46" t="e">
        <f aca="false">I279+MAX(D279,J278)</f>
        <v>#N/A</v>
      </c>
      <c r="K279" s="46" t="e">
        <f aca="false">IF((H279=0),J279-D279,0)</f>
        <v>#N/A</v>
      </c>
      <c r="L279" s="46" t="e">
        <f aca="true">IF(($H279=0),0,$D$4+$D$5*(RAND()-0.5))</f>
        <v>#N/A</v>
      </c>
      <c r="M279" s="46" t="e">
        <f aca="false">L279+MAX(D279,M278)</f>
        <v>#N/A</v>
      </c>
      <c r="N279" s="46" t="e">
        <f aca="false">IF((H279=1),M279-D279,0)</f>
        <v>#N/A</v>
      </c>
      <c r="O279" s="29" t="n">
        <v>262</v>
      </c>
      <c r="P279" s="49" t="e">
        <f aca="false">IF((Arterial=0),P278+1,P278)</f>
        <v>#N/A</v>
      </c>
      <c r="Q279" s="49" t="e">
        <f aca="false">IF((Arterial=1),Q278+1,Q278)</f>
        <v>#N/A</v>
      </c>
      <c r="R279" s="50" t="n">
        <f aca="false">IF((RESET=1),0,R279+K279)</f>
        <v>0</v>
      </c>
      <c r="S279" s="19" t="n">
        <f aca="false">IF(RESET=1,0,S279+N279)</f>
        <v>0</v>
      </c>
      <c r="T279" s="0" t="n">
        <f aca="false">IF(RESET=1,0,T279+IF(H279=0,1,0))</f>
        <v>0</v>
      </c>
      <c r="U279" s="0" t="n">
        <f aca="false">IF(RESET=1,0,U279+H279)</f>
        <v>0</v>
      </c>
      <c r="V279" s="19" t="n">
        <f aca="false">R279/(T279+0.00001)</f>
        <v>0</v>
      </c>
      <c r="W279" s="19" t="n">
        <f aca="false">S279/(U279+0.0001)</f>
        <v>0</v>
      </c>
      <c r="X279" s="47" t="e">
        <f aca="false">IF(Informed=1,K279,0)</f>
        <v>#N/A</v>
      </c>
      <c r="Y279" s="47" t="n">
        <f aca="false">IF(Informed=0,K279,0)</f>
        <v>0</v>
      </c>
      <c r="Z279" s="47" t="e">
        <f aca="false">IF(Informed=1,N279,0)</f>
        <v>#N/A</v>
      </c>
      <c r="AA279" s="47" t="n">
        <f aca="false">IF(Informed=0,N279,0)</f>
        <v>0</v>
      </c>
      <c r="AB279" s="51" t="e">
        <f aca="false">IF(Arterial=0,IF(Informed=1,1,0),0)</f>
        <v>#N/A</v>
      </c>
      <c r="AC279" s="51" t="e">
        <f aca="false">IF(Arterial=0,IF(Informed=0,1,0),0)</f>
        <v>#N/A</v>
      </c>
      <c r="AD279" s="51" t="e">
        <f aca="false">IF(Arterial=1,IF(Informed=1,1,0),0)</f>
        <v>#N/A</v>
      </c>
      <c r="AE279" s="51" t="e">
        <f aca="false">IF(Arterial=1,IF(Informed=0,1,0),0)</f>
        <v>#N/A</v>
      </c>
      <c r="AF279" s="44" t="e">
        <f aca="false">IF(AB279=1,(X279-G$1030)^2,0)</f>
        <v>#N/A</v>
      </c>
      <c r="AG279" s="44" t="e">
        <f aca="false">IF(AC279=1,(Y279-H$1030)^2,0)</f>
        <v>#N/A</v>
      </c>
      <c r="AH279" s="44" t="e">
        <f aca="false">IF(AD279=1,(Z279-I$1030)^2,0)</f>
        <v>#N/A</v>
      </c>
      <c r="AI279" s="44" t="e">
        <f aca="false">IF(AE279=1,(AA279-J$1030)^2,0)</f>
        <v>#N/A</v>
      </c>
    </row>
    <row r="280" customFormat="false" ht="12" hidden="false" customHeight="false" outlineLevel="0" collapsed="false">
      <c r="A280" s="29" t="n">
        <v>263</v>
      </c>
      <c r="B280" s="45" t="n">
        <f aca="true">IF(RAND()&lt;$D$8,1,0)</f>
        <v>1</v>
      </c>
      <c r="C280" s="34" t="n">
        <f aca="true">-LN(RAND())/$D$2</f>
        <v>4.36415792154511</v>
      </c>
      <c r="D280" s="46" t="n">
        <f aca="false">D279+C280</f>
        <v>421.449014405821</v>
      </c>
      <c r="E280" s="47" t="e">
        <f aca="false">MAX($D$3,(1+P279-VLOOKUP(VALUE(D280),$J$18:$Q279,7,TRUE()))*$D$3)</f>
        <v>#N/A</v>
      </c>
      <c r="F280" s="47" t="e">
        <f aca="false">MAX($D$4,(1+Q279-VLOOKUP(VALUE(D280),$M$18:$Q279,5,TRUE()))*$D$4)</f>
        <v>#N/A</v>
      </c>
      <c r="G280" s="48" t="n">
        <v>0.5</v>
      </c>
      <c r="H280" s="46" t="e">
        <f aca="true">IF((B280=1),(IF((F280&lt;E280),1,(IF((F280=E280),(IF(RAND()&lt;G280,1,0)),0)))),(IF((RAND()&lt;G280),1,0)))</f>
        <v>#N/A</v>
      </c>
      <c r="I280" s="46" t="e">
        <f aca="true">IF((H280=1),0,$D$3+$D$5*(RAND()-0.5))</f>
        <v>#N/A</v>
      </c>
      <c r="J280" s="46" t="e">
        <f aca="false">I280+MAX(D280,J279)</f>
        <v>#N/A</v>
      </c>
      <c r="K280" s="46" t="e">
        <f aca="false">IF((H280=0),J280-D280,0)</f>
        <v>#N/A</v>
      </c>
      <c r="L280" s="46" t="e">
        <f aca="true">IF(($H280=0),0,$D$4+$D$5*(RAND()-0.5))</f>
        <v>#N/A</v>
      </c>
      <c r="M280" s="46" t="e">
        <f aca="false">L280+MAX(D280,M279)</f>
        <v>#N/A</v>
      </c>
      <c r="N280" s="46" t="e">
        <f aca="false">IF((H280=1),M280-D280,0)</f>
        <v>#N/A</v>
      </c>
      <c r="O280" s="29" t="n">
        <v>263</v>
      </c>
      <c r="P280" s="49" t="e">
        <f aca="false">IF((Arterial=0),P279+1,P279)</f>
        <v>#N/A</v>
      </c>
      <c r="Q280" s="49" t="e">
        <f aca="false">IF((Arterial=1),Q279+1,Q279)</f>
        <v>#N/A</v>
      </c>
      <c r="R280" s="50" t="n">
        <f aca="false">IF((RESET=1),0,R280+K280)</f>
        <v>0</v>
      </c>
      <c r="S280" s="19" t="n">
        <f aca="false">IF(RESET=1,0,S280+N280)</f>
        <v>0</v>
      </c>
      <c r="T280" s="0" t="n">
        <f aca="false">IF(RESET=1,0,T280+IF(H280=0,1,0))</f>
        <v>0</v>
      </c>
      <c r="U280" s="0" t="n">
        <f aca="false">IF(RESET=1,0,U280+H280)</f>
        <v>0</v>
      </c>
      <c r="V280" s="19" t="n">
        <f aca="false">R280/(T280+0.00001)</f>
        <v>0</v>
      </c>
      <c r="W280" s="19" t="n">
        <f aca="false">S280/(U280+0.0001)</f>
        <v>0</v>
      </c>
      <c r="X280" s="47" t="e">
        <f aca="false">IF(Informed=1,K280,0)</f>
        <v>#N/A</v>
      </c>
      <c r="Y280" s="47" t="n">
        <f aca="false">IF(Informed=0,K280,0)</f>
        <v>0</v>
      </c>
      <c r="Z280" s="47" t="e">
        <f aca="false">IF(Informed=1,N280,0)</f>
        <v>#N/A</v>
      </c>
      <c r="AA280" s="47" t="n">
        <f aca="false">IF(Informed=0,N280,0)</f>
        <v>0</v>
      </c>
      <c r="AB280" s="51" t="e">
        <f aca="false">IF(Arterial=0,IF(Informed=1,1,0),0)</f>
        <v>#N/A</v>
      </c>
      <c r="AC280" s="51" t="e">
        <f aca="false">IF(Arterial=0,IF(Informed=0,1,0),0)</f>
        <v>#N/A</v>
      </c>
      <c r="AD280" s="51" t="e">
        <f aca="false">IF(Arterial=1,IF(Informed=1,1,0),0)</f>
        <v>#N/A</v>
      </c>
      <c r="AE280" s="51" t="e">
        <f aca="false">IF(Arterial=1,IF(Informed=0,1,0),0)</f>
        <v>#N/A</v>
      </c>
      <c r="AF280" s="44" t="e">
        <f aca="false">IF(AB280=1,(X280-G$1030)^2,0)</f>
        <v>#N/A</v>
      </c>
      <c r="AG280" s="44" t="e">
        <f aca="false">IF(AC280=1,(Y280-H$1030)^2,0)</f>
        <v>#N/A</v>
      </c>
      <c r="AH280" s="44" t="e">
        <f aca="false">IF(AD280=1,(Z280-I$1030)^2,0)</f>
        <v>#N/A</v>
      </c>
      <c r="AI280" s="44" t="e">
        <f aca="false">IF(AE280=1,(AA280-J$1030)^2,0)</f>
        <v>#N/A</v>
      </c>
    </row>
    <row r="281" customFormat="false" ht="12" hidden="false" customHeight="false" outlineLevel="0" collapsed="false">
      <c r="A281" s="29" t="n">
        <v>264</v>
      </c>
      <c r="B281" s="45" t="n">
        <f aca="true">IF(RAND()&lt;$D$8,1,0)</f>
        <v>1</v>
      </c>
      <c r="C281" s="34" t="n">
        <f aca="true">-LN(RAND())/$D$2</f>
        <v>0.00208468240500747</v>
      </c>
      <c r="D281" s="46" t="n">
        <f aca="false">D280+C281</f>
        <v>421.451099088226</v>
      </c>
      <c r="E281" s="47" t="e">
        <f aca="false">MAX($D$3,(1+P280-VLOOKUP(VALUE(D281),$J$18:$Q280,7,TRUE()))*$D$3)</f>
        <v>#N/A</v>
      </c>
      <c r="F281" s="47" t="e">
        <f aca="false">MAX($D$4,(1+Q280-VLOOKUP(VALUE(D281),$M$18:$Q280,5,TRUE()))*$D$4)</f>
        <v>#N/A</v>
      </c>
      <c r="G281" s="48" t="n">
        <v>0.5</v>
      </c>
      <c r="H281" s="46" t="e">
        <f aca="true">IF((B281=1),(IF((F281&lt;E281),1,(IF((F281=E281),(IF(RAND()&lt;G281,1,0)),0)))),(IF((RAND()&lt;G281),1,0)))</f>
        <v>#N/A</v>
      </c>
      <c r="I281" s="46" t="e">
        <f aca="true">IF((H281=1),0,$D$3+$D$5*(RAND()-0.5))</f>
        <v>#N/A</v>
      </c>
      <c r="J281" s="46" t="e">
        <f aca="false">I281+MAX(D281,J280)</f>
        <v>#N/A</v>
      </c>
      <c r="K281" s="46" t="e">
        <f aca="false">IF((H281=0),J281-D281,0)</f>
        <v>#N/A</v>
      </c>
      <c r="L281" s="46" t="e">
        <f aca="true">IF(($H281=0),0,$D$4+$D$5*(RAND()-0.5))</f>
        <v>#N/A</v>
      </c>
      <c r="M281" s="46" t="e">
        <f aca="false">L281+MAX(D281,M280)</f>
        <v>#N/A</v>
      </c>
      <c r="N281" s="46" t="e">
        <f aca="false">IF((H281=1),M281-D281,0)</f>
        <v>#N/A</v>
      </c>
      <c r="O281" s="29" t="n">
        <v>264</v>
      </c>
      <c r="P281" s="49" t="e">
        <f aca="false">IF((Arterial=0),P280+1,P280)</f>
        <v>#N/A</v>
      </c>
      <c r="Q281" s="49" t="e">
        <f aca="false">IF((Arterial=1),Q280+1,Q280)</f>
        <v>#N/A</v>
      </c>
      <c r="R281" s="50" t="n">
        <f aca="false">IF((RESET=1),0,R281+K281)</f>
        <v>0</v>
      </c>
      <c r="S281" s="19" t="n">
        <f aca="false">IF(RESET=1,0,S281+N281)</f>
        <v>0</v>
      </c>
      <c r="T281" s="0" t="n">
        <f aca="false">IF(RESET=1,0,T281+IF(H281=0,1,0))</f>
        <v>0</v>
      </c>
      <c r="U281" s="0" t="n">
        <f aca="false">IF(RESET=1,0,U281+H281)</f>
        <v>0</v>
      </c>
      <c r="V281" s="19" t="n">
        <f aca="false">R281/(T281+0.00001)</f>
        <v>0</v>
      </c>
      <c r="W281" s="19" t="n">
        <f aca="false">S281/(U281+0.0001)</f>
        <v>0</v>
      </c>
      <c r="X281" s="47" t="e">
        <f aca="false">IF(Informed=1,K281,0)</f>
        <v>#N/A</v>
      </c>
      <c r="Y281" s="47" t="n">
        <f aca="false">IF(Informed=0,K281,0)</f>
        <v>0</v>
      </c>
      <c r="Z281" s="47" t="e">
        <f aca="false">IF(Informed=1,N281,0)</f>
        <v>#N/A</v>
      </c>
      <c r="AA281" s="47" t="n">
        <f aca="false">IF(Informed=0,N281,0)</f>
        <v>0</v>
      </c>
      <c r="AB281" s="51" t="e">
        <f aca="false">IF(Arterial=0,IF(Informed=1,1,0),0)</f>
        <v>#N/A</v>
      </c>
      <c r="AC281" s="51" t="e">
        <f aca="false">IF(Arterial=0,IF(Informed=0,1,0),0)</f>
        <v>#N/A</v>
      </c>
      <c r="AD281" s="51" t="e">
        <f aca="false">IF(Arterial=1,IF(Informed=1,1,0),0)</f>
        <v>#N/A</v>
      </c>
      <c r="AE281" s="51" t="e">
        <f aca="false">IF(Arterial=1,IF(Informed=0,1,0),0)</f>
        <v>#N/A</v>
      </c>
      <c r="AF281" s="44" t="e">
        <f aca="false">IF(AB281=1,(X281-G$1030)^2,0)</f>
        <v>#N/A</v>
      </c>
      <c r="AG281" s="44" t="e">
        <f aca="false">IF(AC281=1,(Y281-H$1030)^2,0)</f>
        <v>#N/A</v>
      </c>
      <c r="AH281" s="44" t="e">
        <f aca="false">IF(AD281=1,(Z281-I$1030)^2,0)</f>
        <v>#N/A</v>
      </c>
      <c r="AI281" s="44" t="e">
        <f aca="false">IF(AE281=1,(AA281-J$1030)^2,0)</f>
        <v>#N/A</v>
      </c>
    </row>
    <row r="282" customFormat="false" ht="12" hidden="false" customHeight="false" outlineLevel="0" collapsed="false">
      <c r="A282" s="29" t="n">
        <v>265</v>
      </c>
      <c r="B282" s="45" t="n">
        <f aca="true">IF(RAND()&lt;$D$8,1,0)</f>
        <v>1</v>
      </c>
      <c r="C282" s="34" t="n">
        <f aca="true">-LN(RAND())/$D$2</f>
        <v>0.733101848943498</v>
      </c>
      <c r="D282" s="46" t="n">
        <f aca="false">D281+C282</f>
        <v>422.18420093717</v>
      </c>
      <c r="E282" s="47" t="e">
        <f aca="false">MAX($D$3,(1+P281-VLOOKUP(VALUE(D282),$J$18:$Q281,7,TRUE()))*$D$3)</f>
        <v>#N/A</v>
      </c>
      <c r="F282" s="47" t="e">
        <f aca="false">MAX($D$4,(1+Q281-VLOOKUP(VALUE(D282),$M$18:$Q281,5,TRUE()))*$D$4)</f>
        <v>#N/A</v>
      </c>
      <c r="G282" s="48" t="n">
        <v>0.5</v>
      </c>
      <c r="H282" s="46" t="e">
        <f aca="true">IF((B282=1),(IF((F282&lt;E282),1,(IF((F282=E282),(IF(RAND()&lt;G282,1,0)),0)))),(IF((RAND()&lt;G282),1,0)))</f>
        <v>#N/A</v>
      </c>
      <c r="I282" s="46" t="e">
        <f aca="true">IF((H282=1),0,$D$3+$D$5*(RAND()-0.5))</f>
        <v>#N/A</v>
      </c>
      <c r="J282" s="46" t="e">
        <f aca="false">I282+MAX(D282,J281)</f>
        <v>#N/A</v>
      </c>
      <c r="K282" s="46" t="e">
        <f aca="false">IF((H282=0),J282-D282,0)</f>
        <v>#N/A</v>
      </c>
      <c r="L282" s="46" t="e">
        <f aca="true">IF(($H282=0),0,$D$4+$D$5*(RAND()-0.5))</f>
        <v>#N/A</v>
      </c>
      <c r="M282" s="46" t="e">
        <f aca="false">L282+MAX(D282,M281)</f>
        <v>#N/A</v>
      </c>
      <c r="N282" s="46" t="e">
        <f aca="false">IF((H282=1),M282-D282,0)</f>
        <v>#N/A</v>
      </c>
      <c r="O282" s="29" t="n">
        <v>265</v>
      </c>
      <c r="P282" s="49" t="e">
        <f aca="false">IF((Arterial=0),P281+1,P281)</f>
        <v>#N/A</v>
      </c>
      <c r="Q282" s="49" t="e">
        <f aca="false">IF((Arterial=1),Q281+1,Q281)</f>
        <v>#N/A</v>
      </c>
      <c r="R282" s="50" t="n">
        <f aca="false">IF((RESET=1),0,R282+K282)</f>
        <v>0</v>
      </c>
      <c r="S282" s="19" t="n">
        <f aca="false">IF(RESET=1,0,S282+N282)</f>
        <v>0</v>
      </c>
      <c r="T282" s="0" t="n">
        <f aca="false">IF(RESET=1,0,T282+IF(H282=0,1,0))</f>
        <v>0</v>
      </c>
      <c r="U282" s="0" t="n">
        <f aca="false">IF(RESET=1,0,U282+H282)</f>
        <v>0</v>
      </c>
      <c r="V282" s="19" t="n">
        <f aca="false">R282/(T282+0.00001)</f>
        <v>0</v>
      </c>
      <c r="W282" s="19" t="n">
        <f aca="false">S282/(U282+0.0001)</f>
        <v>0</v>
      </c>
      <c r="X282" s="47" t="e">
        <f aca="false">IF(Informed=1,K282,0)</f>
        <v>#N/A</v>
      </c>
      <c r="Y282" s="47" t="n">
        <f aca="false">IF(Informed=0,K282,0)</f>
        <v>0</v>
      </c>
      <c r="Z282" s="47" t="e">
        <f aca="false">IF(Informed=1,N282,0)</f>
        <v>#N/A</v>
      </c>
      <c r="AA282" s="47" t="n">
        <f aca="false">IF(Informed=0,N282,0)</f>
        <v>0</v>
      </c>
      <c r="AB282" s="51" t="e">
        <f aca="false">IF(Arterial=0,IF(Informed=1,1,0),0)</f>
        <v>#N/A</v>
      </c>
      <c r="AC282" s="51" t="e">
        <f aca="false">IF(Arterial=0,IF(Informed=0,1,0),0)</f>
        <v>#N/A</v>
      </c>
      <c r="AD282" s="51" t="e">
        <f aca="false">IF(Arterial=1,IF(Informed=1,1,0),0)</f>
        <v>#N/A</v>
      </c>
      <c r="AE282" s="51" t="e">
        <f aca="false">IF(Arterial=1,IF(Informed=0,1,0),0)</f>
        <v>#N/A</v>
      </c>
      <c r="AF282" s="44" t="e">
        <f aca="false">IF(AB282=1,(X282-G$1030)^2,0)</f>
        <v>#N/A</v>
      </c>
      <c r="AG282" s="44" t="e">
        <f aca="false">IF(AC282=1,(Y282-H$1030)^2,0)</f>
        <v>#N/A</v>
      </c>
      <c r="AH282" s="44" t="e">
        <f aca="false">IF(AD282=1,(Z282-I$1030)^2,0)</f>
        <v>#N/A</v>
      </c>
      <c r="AI282" s="44" t="e">
        <f aca="false">IF(AE282=1,(AA282-J$1030)^2,0)</f>
        <v>#N/A</v>
      </c>
    </row>
    <row r="283" customFormat="false" ht="12" hidden="false" customHeight="false" outlineLevel="0" collapsed="false">
      <c r="A283" s="29" t="n">
        <v>266</v>
      </c>
      <c r="B283" s="45" t="n">
        <f aca="true">IF(RAND()&lt;$D$8,1,0)</f>
        <v>1</v>
      </c>
      <c r="C283" s="34" t="n">
        <f aca="true">-LN(RAND())/$D$2</f>
        <v>0.633252478079274</v>
      </c>
      <c r="D283" s="46" t="n">
        <f aca="false">D282+C283</f>
        <v>422.817453415249</v>
      </c>
      <c r="E283" s="47" t="e">
        <f aca="false">MAX($D$3,(1+P282-VLOOKUP(VALUE(D283),$J$18:$Q282,7,TRUE()))*$D$3)</f>
        <v>#N/A</v>
      </c>
      <c r="F283" s="47" t="e">
        <f aca="false">MAX($D$4,(1+Q282-VLOOKUP(VALUE(D283),$M$18:$Q282,5,TRUE()))*$D$4)</f>
        <v>#N/A</v>
      </c>
      <c r="G283" s="48" t="n">
        <v>0.5</v>
      </c>
      <c r="H283" s="46" t="e">
        <f aca="true">IF((B283=1),(IF((F283&lt;E283),1,(IF((F283=E283),(IF(RAND()&lt;G283,1,0)),0)))),(IF((RAND()&lt;G283),1,0)))</f>
        <v>#N/A</v>
      </c>
      <c r="I283" s="46" t="e">
        <f aca="true">IF((H283=1),0,$D$3+$D$5*(RAND()-0.5))</f>
        <v>#N/A</v>
      </c>
      <c r="J283" s="46" t="e">
        <f aca="false">I283+MAX(D283,J282)</f>
        <v>#N/A</v>
      </c>
      <c r="K283" s="46" t="e">
        <f aca="false">IF((H283=0),J283-D283,0)</f>
        <v>#N/A</v>
      </c>
      <c r="L283" s="46" t="e">
        <f aca="true">IF(($H283=0),0,$D$4+$D$5*(RAND()-0.5))</f>
        <v>#N/A</v>
      </c>
      <c r="M283" s="46" t="e">
        <f aca="false">L283+MAX(D283,M282)</f>
        <v>#N/A</v>
      </c>
      <c r="N283" s="46" t="e">
        <f aca="false">IF((H283=1),M283-D283,0)</f>
        <v>#N/A</v>
      </c>
      <c r="O283" s="29" t="n">
        <v>266</v>
      </c>
      <c r="P283" s="49" t="e">
        <f aca="false">IF((Arterial=0),P282+1,P282)</f>
        <v>#N/A</v>
      </c>
      <c r="Q283" s="49" t="e">
        <f aca="false">IF((Arterial=1),Q282+1,Q282)</f>
        <v>#N/A</v>
      </c>
      <c r="R283" s="50" t="n">
        <f aca="false">IF((RESET=1),0,R283+K283)</f>
        <v>0</v>
      </c>
      <c r="S283" s="19" t="n">
        <f aca="false">IF(RESET=1,0,S283+N283)</f>
        <v>0</v>
      </c>
      <c r="T283" s="0" t="n">
        <f aca="false">IF(RESET=1,0,T283+IF(H283=0,1,0))</f>
        <v>0</v>
      </c>
      <c r="U283" s="0" t="n">
        <f aca="false">IF(RESET=1,0,U283+H283)</f>
        <v>0</v>
      </c>
      <c r="V283" s="19" t="n">
        <f aca="false">R283/(T283+0.00001)</f>
        <v>0</v>
      </c>
      <c r="W283" s="19" t="n">
        <f aca="false">S283/(U283+0.0001)</f>
        <v>0</v>
      </c>
      <c r="X283" s="47" t="e">
        <f aca="false">IF(Informed=1,K283,0)</f>
        <v>#N/A</v>
      </c>
      <c r="Y283" s="47" t="n">
        <f aca="false">IF(Informed=0,K283,0)</f>
        <v>0</v>
      </c>
      <c r="Z283" s="47" t="e">
        <f aca="false">IF(Informed=1,N283,0)</f>
        <v>#N/A</v>
      </c>
      <c r="AA283" s="47" t="n">
        <f aca="false">IF(Informed=0,N283,0)</f>
        <v>0</v>
      </c>
      <c r="AB283" s="51" t="e">
        <f aca="false">IF(Arterial=0,IF(Informed=1,1,0),0)</f>
        <v>#N/A</v>
      </c>
      <c r="AC283" s="51" t="e">
        <f aca="false">IF(Arterial=0,IF(Informed=0,1,0),0)</f>
        <v>#N/A</v>
      </c>
      <c r="AD283" s="51" t="e">
        <f aca="false">IF(Arterial=1,IF(Informed=1,1,0),0)</f>
        <v>#N/A</v>
      </c>
      <c r="AE283" s="51" t="e">
        <f aca="false">IF(Arterial=1,IF(Informed=0,1,0),0)</f>
        <v>#N/A</v>
      </c>
      <c r="AF283" s="44" t="e">
        <f aca="false">IF(AB283=1,(X283-G$1030)^2,0)</f>
        <v>#N/A</v>
      </c>
      <c r="AG283" s="44" t="e">
        <f aca="false">IF(AC283=1,(Y283-H$1030)^2,0)</f>
        <v>#N/A</v>
      </c>
      <c r="AH283" s="44" t="e">
        <f aca="false">IF(AD283=1,(Z283-I$1030)^2,0)</f>
        <v>#N/A</v>
      </c>
      <c r="AI283" s="44" t="e">
        <f aca="false">IF(AE283=1,(AA283-J$1030)^2,0)</f>
        <v>#N/A</v>
      </c>
    </row>
    <row r="284" customFormat="false" ht="12" hidden="false" customHeight="false" outlineLevel="0" collapsed="false">
      <c r="A284" s="29" t="n">
        <v>267</v>
      </c>
      <c r="B284" s="45" t="n">
        <f aca="true">IF(RAND()&lt;$D$8,1,0)</f>
        <v>1</v>
      </c>
      <c r="C284" s="34" t="n">
        <f aca="true">-LN(RAND())/$D$2</f>
        <v>0.15716646055136</v>
      </c>
      <c r="D284" s="46" t="n">
        <f aca="false">D283+C284</f>
        <v>422.9746198758</v>
      </c>
      <c r="E284" s="47" t="e">
        <f aca="false">MAX($D$3,(1+P283-VLOOKUP(VALUE(D284),$J$18:$Q283,7,TRUE()))*$D$3)</f>
        <v>#N/A</v>
      </c>
      <c r="F284" s="47" t="e">
        <f aca="false">MAX($D$4,(1+Q283-VLOOKUP(VALUE(D284),$M$18:$Q283,5,TRUE()))*$D$4)</f>
        <v>#N/A</v>
      </c>
      <c r="G284" s="48" t="n">
        <v>0.5</v>
      </c>
      <c r="H284" s="46" t="e">
        <f aca="true">IF((B284=1),(IF((F284&lt;E284),1,(IF((F284=E284),(IF(RAND()&lt;G284,1,0)),0)))),(IF((RAND()&lt;G284),1,0)))</f>
        <v>#N/A</v>
      </c>
      <c r="I284" s="46" t="e">
        <f aca="true">IF((H284=1),0,$D$3+$D$5*(RAND()-0.5))</f>
        <v>#N/A</v>
      </c>
      <c r="J284" s="46" t="e">
        <f aca="false">I284+MAX(D284,J283)</f>
        <v>#N/A</v>
      </c>
      <c r="K284" s="46" t="e">
        <f aca="false">IF((H284=0),J284-D284,0)</f>
        <v>#N/A</v>
      </c>
      <c r="L284" s="46" t="e">
        <f aca="true">IF(($H284=0),0,$D$4+$D$5*(RAND()-0.5))</f>
        <v>#N/A</v>
      </c>
      <c r="M284" s="46" t="e">
        <f aca="false">L284+MAX(D284,M283)</f>
        <v>#N/A</v>
      </c>
      <c r="N284" s="46" t="e">
        <f aca="false">IF((H284=1),M284-D284,0)</f>
        <v>#N/A</v>
      </c>
      <c r="O284" s="29" t="n">
        <v>267</v>
      </c>
      <c r="P284" s="49" t="e">
        <f aca="false">IF((Arterial=0),P283+1,P283)</f>
        <v>#N/A</v>
      </c>
      <c r="Q284" s="49" t="e">
        <f aca="false">IF((Arterial=1),Q283+1,Q283)</f>
        <v>#N/A</v>
      </c>
      <c r="R284" s="50" t="n">
        <f aca="false">IF((RESET=1),0,R284+K284)</f>
        <v>0</v>
      </c>
      <c r="S284" s="19" t="n">
        <f aca="false">IF(RESET=1,0,S284+N284)</f>
        <v>0</v>
      </c>
      <c r="T284" s="0" t="n">
        <f aca="false">IF(RESET=1,0,T284+IF(H284=0,1,0))</f>
        <v>0</v>
      </c>
      <c r="U284" s="0" t="n">
        <f aca="false">IF(RESET=1,0,U284+H284)</f>
        <v>0</v>
      </c>
      <c r="V284" s="19" t="n">
        <f aca="false">R284/(T284+0.00001)</f>
        <v>0</v>
      </c>
      <c r="W284" s="19" t="n">
        <f aca="false">S284/(U284+0.0001)</f>
        <v>0</v>
      </c>
      <c r="X284" s="47" t="e">
        <f aca="false">IF(Informed=1,K284,0)</f>
        <v>#N/A</v>
      </c>
      <c r="Y284" s="47" t="n">
        <f aca="false">IF(Informed=0,K284,0)</f>
        <v>0</v>
      </c>
      <c r="Z284" s="47" t="e">
        <f aca="false">IF(Informed=1,N284,0)</f>
        <v>#N/A</v>
      </c>
      <c r="AA284" s="47" t="n">
        <f aca="false">IF(Informed=0,N284,0)</f>
        <v>0</v>
      </c>
      <c r="AB284" s="51" t="e">
        <f aca="false">IF(Arterial=0,IF(Informed=1,1,0),0)</f>
        <v>#N/A</v>
      </c>
      <c r="AC284" s="51" t="e">
        <f aca="false">IF(Arterial=0,IF(Informed=0,1,0),0)</f>
        <v>#N/A</v>
      </c>
      <c r="AD284" s="51" t="e">
        <f aca="false">IF(Arterial=1,IF(Informed=1,1,0),0)</f>
        <v>#N/A</v>
      </c>
      <c r="AE284" s="51" t="e">
        <f aca="false">IF(Arterial=1,IF(Informed=0,1,0),0)</f>
        <v>#N/A</v>
      </c>
      <c r="AF284" s="44" t="e">
        <f aca="false">IF(AB284=1,(X284-G$1030)^2,0)</f>
        <v>#N/A</v>
      </c>
      <c r="AG284" s="44" t="e">
        <f aca="false">IF(AC284=1,(Y284-H$1030)^2,0)</f>
        <v>#N/A</v>
      </c>
      <c r="AH284" s="44" t="e">
        <f aca="false">IF(AD284=1,(Z284-I$1030)^2,0)</f>
        <v>#N/A</v>
      </c>
      <c r="AI284" s="44" t="e">
        <f aca="false">IF(AE284=1,(AA284-J$1030)^2,0)</f>
        <v>#N/A</v>
      </c>
    </row>
    <row r="285" customFormat="false" ht="12" hidden="false" customHeight="false" outlineLevel="0" collapsed="false">
      <c r="A285" s="29" t="n">
        <v>268</v>
      </c>
      <c r="B285" s="45" t="n">
        <f aca="true">IF(RAND()&lt;$D$8,1,0)</f>
        <v>1</v>
      </c>
      <c r="C285" s="34" t="n">
        <f aca="true">-LN(RAND())/$D$2</f>
        <v>0.0295689226756395</v>
      </c>
      <c r="D285" s="46" t="n">
        <f aca="false">D284+C285</f>
        <v>423.004188798476</v>
      </c>
      <c r="E285" s="47" t="e">
        <f aca="false">MAX($D$3,(1+P284-VLOOKUP(VALUE(D285),$J$18:$Q284,7,TRUE()))*$D$3)</f>
        <v>#N/A</v>
      </c>
      <c r="F285" s="47" t="e">
        <f aca="false">MAX($D$4,(1+Q284-VLOOKUP(VALUE(D285),$M$18:$Q284,5,TRUE()))*$D$4)</f>
        <v>#N/A</v>
      </c>
      <c r="G285" s="48" t="n">
        <v>0.5</v>
      </c>
      <c r="H285" s="46" t="e">
        <f aca="true">IF((B285=1),(IF((F285&lt;E285),1,(IF((F285=E285),(IF(RAND()&lt;G285,1,0)),0)))),(IF((RAND()&lt;G285),1,0)))</f>
        <v>#N/A</v>
      </c>
      <c r="I285" s="46" t="e">
        <f aca="true">IF((H285=1),0,$D$3+$D$5*(RAND()-0.5))</f>
        <v>#N/A</v>
      </c>
      <c r="J285" s="46" t="e">
        <f aca="false">I285+MAX(D285,J284)</f>
        <v>#N/A</v>
      </c>
      <c r="K285" s="46" t="e">
        <f aca="false">IF((H285=0),J285-D285,0)</f>
        <v>#N/A</v>
      </c>
      <c r="L285" s="46" t="e">
        <f aca="true">IF(($H285=0),0,$D$4+$D$5*(RAND()-0.5))</f>
        <v>#N/A</v>
      </c>
      <c r="M285" s="46" t="e">
        <f aca="false">L285+MAX(D285,M284)</f>
        <v>#N/A</v>
      </c>
      <c r="N285" s="46" t="e">
        <f aca="false">IF((H285=1),M285-D285,0)</f>
        <v>#N/A</v>
      </c>
      <c r="O285" s="29" t="n">
        <v>268</v>
      </c>
      <c r="P285" s="49" t="e">
        <f aca="false">IF((Arterial=0),P284+1,P284)</f>
        <v>#N/A</v>
      </c>
      <c r="Q285" s="49" t="e">
        <f aca="false">IF((Arterial=1),Q284+1,Q284)</f>
        <v>#N/A</v>
      </c>
      <c r="R285" s="50" t="n">
        <f aca="false">IF((RESET=1),0,R285+K285)</f>
        <v>0</v>
      </c>
      <c r="S285" s="19" t="n">
        <f aca="false">IF(RESET=1,0,S285+N285)</f>
        <v>0</v>
      </c>
      <c r="T285" s="0" t="n">
        <f aca="false">IF(RESET=1,0,T285+IF(H285=0,1,0))</f>
        <v>0</v>
      </c>
      <c r="U285" s="0" t="n">
        <f aca="false">IF(RESET=1,0,U285+H285)</f>
        <v>0</v>
      </c>
      <c r="V285" s="19" t="n">
        <f aca="false">R285/(T285+0.00001)</f>
        <v>0</v>
      </c>
      <c r="W285" s="19" t="n">
        <f aca="false">S285/(U285+0.0001)</f>
        <v>0</v>
      </c>
      <c r="X285" s="47" t="e">
        <f aca="false">IF(Informed=1,K285,0)</f>
        <v>#N/A</v>
      </c>
      <c r="Y285" s="47" t="n">
        <f aca="false">IF(Informed=0,K285,0)</f>
        <v>0</v>
      </c>
      <c r="Z285" s="47" t="e">
        <f aca="false">IF(Informed=1,N285,0)</f>
        <v>#N/A</v>
      </c>
      <c r="AA285" s="47" t="n">
        <f aca="false">IF(Informed=0,N285,0)</f>
        <v>0</v>
      </c>
      <c r="AB285" s="51" t="e">
        <f aca="false">IF(Arterial=0,IF(Informed=1,1,0),0)</f>
        <v>#N/A</v>
      </c>
      <c r="AC285" s="51" t="e">
        <f aca="false">IF(Arterial=0,IF(Informed=0,1,0),0)</f>
        <v>#N/A</v>
      </c>
      <c r="AD285" s="51" t="e">
        <f aca="false">IF(Arterial=1,IF(Informed=1,1,0),0)</f>
        <v>#N/A</v>
      </c>
      <c r="AE285" s="51" t="e">
        <f aca="false">IF(Arterial=1,IF(Informed=0,1,0),0)</f>
        <v>#N/A</v>
      </c>
      <c r="AF285" s="44" t="e">
        <f aca="false">IF(AB285=1,(X285-G$1030)^2,0)</f>
        <v>#N/A</v>
      </c>
      <c r="AG285" s="44" t="e">
        <f aca="false">IF(AC285=1,(Y285-H$1030)^2,0)</f>
        <v>#N/A</v>
      </c>
      <c r="AH285" s="44" t="e">
        <f aca="false">IF(AD285=1,(Z285-I$1030)^2,0)</f>
        <v>#N/A</v>
      </c>
      <c r="AI285" s="44" t="e">
        <f aca="false">IF(AE285=1,(AA285-J$1030)^2,0)</f>
        <v>#N/A</v>
      </c>
    </row>
    <row r="286" customFormat="false" ht="12" hidden="false" customHeight="false" outlineLevel="0" collapsed="false">
      <c r="A286" s="29" t="n">
        <v>269</v>
      </c>
      <c r="B286" s="45" t="n">
        <f aca="true">IF(RAND()&lt;$D$8,1,0)</f>
        <v>1</v>
      </c>
      <c r="C286" s="34" t="n">
        <f aca="true">-LN(RAND())/$D$2</f>
        <v>0.523874880719516</v>
      </c>
      <c r="D286" s="46" t="n">
        <f aca="false">D285+C286</f>
        <v>423.528063679196</v>
      </c>
      <c r="E286" s="47" t="e">
        <f aca="false">MAX($D$3,(1+P285-VLOOKUP(VALUE(D286),$J$18:$Q285,7,TRUE()))*$D$3)</f>
        <v>#N/A</v>
      </c>
      <c r="F286" s="47" t="e">
        <f aca="false">MAX($D$4,(1+Q285-VLOOKUP(VALUE(D286),$M$18:$Q285,5,TRUE()))*$D$4)</f>
        <v>#N/A</v>
      </c>
      <c r="G286" s="48" t="n">
        <v>0.5</v>
      </c>
      <c r="H286" s="46" t="e">
        <f aca="true">IF((B286=1),(IF((F286&lt;E286),1,(IF((F286=E286),(IF(RAND()&lt;G286,1,0)),0)))),(IF((RAND()&lt;G286),1,0)))</f>
        <v>#N/A</v>
      </c>
      <c r="I286" s="46" t="e">
        <f aca="true">IF((H286=1),0,$D$3+$D$5*(RAND()-0.5))</f>
        <v>#N/A</v>
      </c>
      <c r="J286" s="46" t="e">
        <f aca="false">I286+MAX(D286,J285)</f>
        <v>#N/A</v>
      </c>
      <c r="K286" s="46" t="e">
        <f aca="false">IF((H286=0),J286-D286,0)</f>
        <v>#N/A</v>
      </c>
      <c r="L286" s="46" t="e">
        <f aca="true">IF(($H286=0),0,$D$4+$D$5*(RAND()-0.5))</f>
        <v>#N/A</v>
      </c>
      <c r="M286" s="46" t="e">
        <f aca="false">L286+MAX(D286,M285)</f>
        <v>#N/A</v>
      </c>
      <c r="N286" s="46" t="e">
        <f aca="false">IF((H286=1),M286-D286,0)</f>
        <v>#N/A</v>
      </c>
      <c r="O286" s="29" t="n">
        <v>269</v>
      </c>
      <c r="P286" s="49" t="e">
        <f aca="false">IF((Arterial=0),P285+1,P285)</f>
        <v>#N/A</v>
      </c>
      <c r="Q286" s="49" t="e">
        <f aca="false">IF((Arterial=1),Q285+1,Q285)</f>
        <v>#N/A</v>
      </c>
      <c r="R286" s="50" t="n">
        <f aca="false">IF((RESET=1),0,R286+K286)</f>
        <v>0</v>
      </c>
      <c r="S286" s="19" t="n">
        <f aca="false">IF(RESET=1,0,S286+N286)</f>
        <v>0</v>
      </c>
      <c r="T286" s="0" t="n">
        <f aca="false">IF(RESET=1,0,T286+IF(H286=0,1,0))</f>
        <v>0</v>
      </c>
      <c r="U286" s="0" t="n">
        <f aca="false">IF(RESET=1,0,U286+H286)</f>
        <v>0</v>
      </c>
      <c r="V286" s="19" t="n">
        <f aca="false">R286/(T286+0.00001)</f>
        <v>0</v>
      </c>
      <c r="W286" s="19" t="n">
        <f aca="false">S286/(U286+0.0001)</f>
        <v>0</v>
      </c>
      <c r="X286" s="47" t="e">
        <f aca="false">IF(Informed=1,K286,0)</f>
        <v>#N/A</v>
      </c>
      <c r="Y286" s="47" t="n">
        <f aca="false">IF(Informed=0,K286,0)</f>
        <v>0</v>
      </c>
      <c r="Z286" s="47" t="e">
        <f aca="false">IF(Informed=1,N286,0)</f>
        <v>#N/A</v>
      </c>
      <c r="AA286" s="47" t="n">
        <f aca="false">IF(Informed=0,N286,0)</f>
        <v>0</v>
      </c>
      <c r="AB286" s="51" t="e">
        <f aca="false">IF(Arterial=0,IF(Informed=1,1,0),0)</f>
        <v>#N/A</v>
      </c>
      <c r="AC286" s="51" t="e">
        <f aca="false">IF(Arterial=0,IF(Informed=0,1,0),0)</f>
        <v>#N/A</v>
      </c>
      <c r="AD286" s="51" t="e">
        <f aca="false">IF(Arterial=1,IF(Informed=1,1,0),0)</f>
        <v>#N/A</v>
      </c>
      <c r="AE286" s="51" t="e">
        <f aca="false">IF(Arterial=1,IF(Informed=0,1,0),0)</f>
        <v>#N/A</v>
      </c>
      <c r="AF286" s="44" t="e">
        <f aca="false">IF(AB286=1,(X286-G$1030)^2,0)</f>
        <v>#N/A</v>
      </c>
      <c r="AG286" s="44" t="e">
        <f aca="false">IF(AC286=1,(Y286-H$1030)^2,0)</f>
        <v>#N/A</v>
      </c>
      <c r="AH286" s="44" t="e">
        <f aca="false">IF(AD286=1,(Z286-I$1030)^2,0)</f>
        <v>#N/A</v>
      </c>
      <c r="AI286" s="44" t="e">
        <f aca="false">IF(AE286=1,(AA286-J$1030)^2,0)</f>
        <v>#N/A</v>
      </c>
    </row>
    <row r="287" customFormat="false" ht="12" hidden="false" customHeight="false" outlineLevel="0" collapsed="false">
      <c r="A287" s="29" t="n">
        <v>270</v>
      </c>
      <c r="B287" s="45" t="n">
        <f aca="true">IF(RAND()&lt;$D$8,1,0)</f>
        <v>1</v>
      </c>
      <c r="C287" s="34" t="n">
        <f aca="true">-LN(RAND())/$D$2</f>
        <v>0.0350206021516961</v>
      </c>
      <c r="D287" s="46" t="n">
        <f aca="false">D286+C287</f>
        <v>423.563084281347</v>
      </c>
      <c r="E287" s="47" t="e">
        <f aca="false">MAX($D$3,(1+P286-VLOOKUP(VALUE(D287),$J$18:$Q286,7,TRUE()))*$D$3)</f>
        <v>#N/A</v>
      </c>
      <c r="F287" s="47" t="e">
        <f aca="false">MAX($D$4,(1+Q286-VLOOKUP(VALUE(D287),$M$18:$Q286,5,TRUE()))*$D$4)</f>
        <v>#N/A</v>
      </c>
      <c r="G287" s="48" t="n">
        <v>0.5</v>
      </c>
      <c r="H287" s="46" t="e">
        <f aca="true">IF((B287=1),(IF((F287&lt;E287),1,(IF((F287=E287),(IF(RAND()&lt;G287,1,0)),0)))),(IF((RAND()&lt;G287),1,0)))</f>
        <v>#N/A</v>
      </c>
      <c r="I287" s="46" t="e">
        <f aca="true">IF((H287=1),0,$D$3+$D$5*(RAND()-0.5))</f>
        <v>#N/A</v>
      </c>
      <c r="J287" s="46" t="e">
        <f aca="false">I287+MAX(D287,J286)</f>
        <v>#N/A</v>
      </c>
      <c r="K287" s="46" t="e">
        <f aca="false">IF((H287=0),J287-D287,0)</f>
        <v>#N/A</v>
      </c>
      <c r="L287" s="46" t="e">
        <f aca="true">IF(($H287=0),0,$D$4+$D$5*(RAND()-0.5))</f>
        <v>#N/A</v>
      </c>
      <c r="M287" s="46" t="e">
        <f aca="false">L287+MAX(D287,M286)</f>
        <v>#N/A</v>
      </c>
      <c r="N287" s="46" t="e">
        <f aca="false">IF((H287=1),M287-D287,0)</f>
        <v>#N/A</v>
      </c>
      <c r="O287" s="29" t="n">
        <v>270</v>
      </c>
      <c r="P287" s="49" t="e">
        <f aca="false">IF((Arterial=0),P286+1,P286)</f>
        <v>#N/A</v>
      </c>
      <c r="Q287" s="49" t="e">
        <f aca="false">IF((Arterial=1),Q286+1,Q286)</f>
        <v>#N/A</v>
      </c>
      <c r="R287" s="50" t="n">
        <f aca="false">IF((RESET=1),0,R287+K287)</f>
        <v>0</v>
      </c>
      <c r="S287" s="19" t="n">
        <f aca="false">IF(RESET=1,0,S287+N287)</f>
        <v>0</v>
      </c>
      <c r="T287" s="0" t="n">
        <f aca="false">IF(RESET=1,0,T287+IF(H287=0,1,0))</f>
        <v>0</v>
      </c>
      <c r="U287" s="0" t="n">
        <f aca="false">IF(RESET=1,0,U287+H287)</f>
        <v>0</v>
      </c>
      <c r="V287" s="19" t="n">
        <f aca="false">R287/(T287+0.00001)</f>
        <v>0</v>
      </c>
      <c r="W287" s="19" t="n">
        <f aca="false">S287/(U287+0.0001)</f>
        <v>0</v>
      </c>
      <c r="X287" s="47" t="e">
        <f aca="false">IF(Informed=1,K287,0)</f>
        <v>#N/A</v>
      </c>
      <c r="Y287" s="47" t="n">
        <f aca="false">IF(Informed=0,K287,0)</f>
        <v>0</v>
      </c>
      <c r="Z287" s="47" t="e">
        <f aca="false">IF(Informed=1,N287,0)</f>
        <v>#N/A</v>
      </c>
      <c r="AA287" s="47" t="n">
        <f aca="false">IF(Informed=0,N287,0)</f>
        <v>0</v>
      </c>
      <c r="AB287" s="51" t="e">
        <f aca="false">IF(Arterial=0,IF(Informed=1,1,0),0)</f>
        <v>#N/A</v>
      </c>
      <c r="AC287" s="51" t="e">
        <f aca="false">IF(Arterial=0,IF(Informed=0,1,0),0)</f>
        <v>#N/A</v>
      </c>
      <c r="AD287" s="51" t="e">
        <f aca="false">IF(Arterial=1,IF(Informed=1,1,0),0)</f>
        <v>#N/A</v>
      </c>
      <c r="AE287" s="51" t="e">
        <f aca="false">IF(Arterial=1,IF(Informed=0,1,0),0)</f>
        <v>#N/A</v>
      </c>
      <c r="AF287" s="44" t="e">
        <f aca="false">IF(AB287=1,(X287-G$1030)^2,0)</f>
        <v>#N/A</v>
      </c>
      <c r="AG287" s="44" t="e">
        <f aca="false">IF(AC287=1,(Y287-H$1030)^2,0)</f>
        <v>#N/A</v>
      </c>
      <c r="AH287" s="44" t="e">
        <f aca="false">IF(AD287=1,(Z287-I$1030)^2,0)</f>
        <v>#N/A</v>
      </c>
      <c r="AI287" s="44" t="e">
        <f aca="false">IF(AE287=1,(AA287-J$1030)^2,0)</f>
        <v>#N/A</v>
      </c>
    </row>
    <row r="288" customFormat="false" ht="12" hidden="false" customHeight="false" outlineLevel="0" collapsed="false">
      <c r="A288" s="29" t="n">
        <v>271</v>
      </c>
      <c r="B288" s="45" t="n">
        <f aca="true">IF(RAND()&lt;$D$8,1,0)</f>
        <v>1</v>
      </c>
      <c r="C288" s="34" t="n">
        <f aca="true">-LN(RAND())/$D$2</f>
        <v>0.220626641571132</v>
      </c>
      <c r="D288" s="46" t="n">
        <f aca="false">D287+C288</f>
        <v>423.783710922918</v>
      </c>
      <c r="E288" s="47" t="e">
        <f aca="false">MAX($D$3,(1+P287-VLOOKUP(VALUE(D288),$J$18:$Q287,7,TRUE()))*$D$3)</f>
        <v>#N/A</v>
      </c>
      <c r="F288" s="47" t="e">
        <f aca="false">MAX($D$4,(1+Q287-VLOOKUP(VALUE(D288),$M$18:$Q287,5,TRUE()))*$D$4)</f>
        <v>#N/A</v>
      </c>
      <c r="G288" s="48" t="n">
        <v>0.5</v>
      </c>
      <c r="H288" s="46" t="e">
        <f aca="true">IF((B288=1),(IF((F288&lt;E288),1,(IF((F288=E288),(IF(RAND()&lt;G288,1,0)),0)))),(IF((RAND()&lt;G288),1,0)))</f>
        <v>#N/A</v>
      </c>
      <c r="I288" s="46" t="e">
        <f aca="true">IF((H288=1),0,$D$3+$D$5*(RAND()-0.5))</f>
        <v>#N/A</v>
      </c>
      <c r="J288" s="46" t="e">
        <f aca="false">I288+MAX(D288,J287)</f>
        <v>#N/A</v>
      </c>
      <c r="K288" s="46" t="e">
        <f aca="false">IF((H288=0),J288-D288,0)</f>
        <v>#N/A</v>
      </c>
      <c r="L288" s="46" t="e">
        <f aca="true">IF(($H288=0),0,$D$4+$D$5*(RAND()-0.5))</f>
        <v>#N/A</v>
      </c>
      <c r="M288" s="46" t="e">
        <f aca="false">L288+MAX(D288,M287)</f>
        <v>#N/A</v>
      </c>
      <c r="N288" s="46" t="e">
        <f aca="false">IF((H288=1),M288-D288,0)</f>
        <v>#N/A</v>
      </c>
      <c r="O288" s="29" t="n">
        <v>271</v>
      </c>
      <c r="P288" s="49" t="e">
        <f aca="false">IF((Arterial=0),P287+1,P287)</f>
        <v>#N/A</v>
      </c>
      <c r="Q288" s="49" t="e">
        <f aca="false">IF((Arterial=1),Q287+1,Q287)</f>
        <v>#N/A</v>
      </c>
      <c r="R288" s="50" t="n">
        <f aca="false">IF((RESET=1),0,R288+K288)</f>
        <v>0</v>
      </c>
      <c r="S288" s="19" t="n">
        <f aca="false">IF(RESET=1,0,S288+N288)</f>
        <v>0</v>
      </c>
      <c r="T288" s="0" t="n">
        <f aca="false">IF(RESET=1,0,T288+IF(H288=0,1,0))</f>
        <v>0</v>
      </c>
      <c r="U288" s="0" t="n">
        <f aca="false">IF(RESET=1,0,U288+H288)</f>
        <v>0</v>
      </c>
      <c r="V288" s="19" t="n">
        <f aca="false">R288/(T288+0.00001)</f>
        <v>0</v>
      </c>
      <c r="W288" s="19" t="n">
        <f aca="false">S288/(U288+0.0001)</f>
        <v>0</v>
      </c>
      <c r="X288" s="47" t="e">
        <f aca="false">IF(Informed=1,K288,0)</f>
        <v>#N/A</v>
      </c>
      <c r="Y288" s="47" t="n">
        <f aca="false">IF(Informed=0,K288,0)</f>
        <v>0</v>
      </c>
      <c r="Z288" s="47" t="e">
        <f aca="false">IF(Informed=1,N288,0)</f>
        <v>#N/A</v>
      </c>
      <c r="AA288" s="47" t="n">
        <f aca="false">IF(Informed=0,N288,0)</f>
        <v>0</v>
      </c>
      <c r="AB288" s="51" t="e">
        <f aca="false">IF(Arterial=0,IF(Informed=1,1,0),0)</f>
        <v>#N/A</v>
      </c>
      <c r="AC288" s="51" t="e">
        <f aca="false">IF(Arterial=0,IF(Informed=0,1,0),0)</f>
        <v>#N/A</v>
      </c>
      <c r="AD288" s="51" t="e">
        <f aca="false">IF(Arterial=1,IF(Informed=1,1,0),0)</f>
        <v>#N/A</v>
      </c>
      <c r="AE288" s="51" t="e">
        <f aca="false">IF(Arterial=1,IF(Informed=0,1,0),0)</f>
        <v>#N/A</v>
      </c>
      <c r="AF288" s="44" t="e">
        <f aca="false">IF(AB288=1,(X288-G$1030)^2,0)</f>
        <v>#N/A</v>
      </c>
      <c r="AG288" s="44" t="e">
        <f aca="false">IF(AC288=1,(Y288-H$1030)^2,0)</f>
        <v>#N/A</v>
      </c>
      <c r="AH288" s="44" t="e">
        <f aca="false">IF(AD288=1,(Z288-I$1030)^2,0)</f>
        <v>#N/A</v>
      </c>
      <c r="AI288" s="44" t="e">
        <f aca="false">IF(AE288=1,(AA288-J$1030)^2,0)</f>
        <v>#N/A</v>
      </c>
    </row>
    <row r="289" customFormat="false" ht="12" hidden="false" customHeight="false" outlineLevel="0" collapsed="false">
      <c r="A289" s="29" t="n">
        <v>272</v>
      </c>
      <c r="B289" s="45" t="n">
        <f aca="true">IF(RAND()&lt;$D$8,1,0)</f>
        <v>1</v>
      </c>
      <c r="C289" s="34" t="n">
        <f aca="true">-LN(RAND())/$D$2</f>
        <v>1.30662695378661</v>
      </c>
      <c r="D289" s="46" t="n">
        <f aca="false">D288+C289</f>
        <v>425.090337876705</v>
      </c>
      <c r="E289" s="47" t="e">
        <f aca="false">MAX($D$3,(1+P288-VLOOKUP(VALUE(D289),$J$18:$Q288,7,TRUE()))*$D$3)</f>
        <v>#N/A</v>
      </c>
      <c r="F289" s="47" t="e">
        <f aca="false">MAX($D$4,(1+Q288-VLOOKUP(VALUE(D289),$M$18:$Q288,5,TRUE()))*$D$4)</f>
        <v>#N/A</v>
      </c>
      <c r="G289" s="48" t="n">
        <v>0.5</v>
      </c>
      <c r="H289" s="46" t="e">
        <f aca="true">IF((B289=1),(IF((F289&lt;E289),1,(IF((F289=E289),(IF(RAND()&lt;G289,1,0)),0)))),(IF((RAND()&lt;G289),1,0)))</f>
        <v>#N/A</v>
      </c>
      <c r="I289" s="46" t="e">
        <f aca="true">IF((H289=1),0,$D$3+$D$5*(RAND()-0.5))</f>
        <v>#N/A</v>
      </c>
      <c r="J289" s="46" t="e">
        <f aca="false">I289+MAX(D289,J288)</f>
        <v>#N/A</v>
      </c>
      <c r="K289" s="46" t="e">
        <f aca="false">IF((H289=0),J289-D289,0)</f>
        <v>#N/A</v>
      </c>
      <c r="L289" s="46" t="e">
        <f aca="true">IF(($H289=0),0,$D$4+$D$5*(RAND()-0.5))</f>
        <v>#N/A</v>
      </c>
      <c r="M289" s="46" t="e">
        <f aca="false">L289+MAX(D289,M288)</f>
        <v>#N/A</v>
      </c>
      <c r="N289" s="46" t="e">
        <f aca="false">IF((H289=1),M289-D289,0)</f>
        <v>#N/A</v>
      </c>
      <c r="O289" s="29" t="n">
        <v>272</v>
      </c>
      <c r="P289" s="49" t="e">
        <f aca="false">IF((Arterial=0),P288+1,P288)</f>
        <v>#N/A</v>
      </c>
      <c r="Q289" s="49" t="e">
        <f aca="false">IF((Arterial=1),Q288+1,Q288)</f>
        <v>#N/A</v>
      </c>
      <c r="R289" s="50" t="n">
        <f aca="false">IF((RESET=1),0,R289+K289)</f>
        <v>0</v>
      </c>
      <c r="S289" s="19" t="n">
        <f aca="false">IF(RESET=1,0,S289+N289)</f>
        <v>0</v>
      </c>
      <c r="T289" s="0" t="n">
        <f aca="false">IF(RESET=1,0,T289+IF(H289=0,1,0))</f>
        <v>0</v>
      </c>
      <c r="U289" s="0" t="n">
        <f aca="false">IF(RESET=1,0,U289+H289)</f>
        <v>0</v>
      </c>
      <c r="V289" s="19" t="n">
        <f aca="false">R289/(T289+0.00001)</f>
        <v>0</v>
      </c>
      <c r="W289" s="19" t="n">
        <f aca="false">S289/(U289+0.0001)</f>
        <v>0</v>
      </c>
      <c r="X289" s="47" t="e">
        <f aca="false">IF(Informed=1,K289,0)</f>
        <v>#N/A</v>
      </c>
      <c r="Y289" s="47" t="n">
        <f aca="false">IF(Informed=0,K289,0)</f>
        <v>0</v>
      </c>
      <c r="Z289" s="47" t="e">
        <f aca="false">IF(Informed=1,N289,0)</f>
        <v>#N/A</v>
      </c>
      <c r="AA289" s="47" t="n">
        <f aca="false">IF(Informed=0,N289,0)</f>
        <v>0</v>
      </c>
      <c r="AB289" s="51" t="e">
        <f aca="false">IF(Arterial=0,IF(Informed=1,1,0),0)</f>
        <v>#N/A</v>
      </c>
      <c r="AC289" s="51" t="e">
        <f aca="false">IF(Arterial=0,IF(Informed=0,1,0),0)</f>
        <v>#N/A</v>
      </c>
      <c r="AD289" s="51" t="e">
        <f aca="false">IF(Arterial=1,IF(Informed=1,1,0),0)</f>
        <v>#N/A</v>
      </c>
      <c r="AE289" s="51" t="e">
        <f aca="false">IF(Arterial=1,IF(Informed=0,1,0),0)</f>
        <v>#N/A</v>
      </c>
      <c r="AF289" s="44" t="e">
        <f aca="false">IF(AB289=1,(X289-G$1030)^2,0)</f>
        <v>#N/A</v>
      </c>
      <c r="AG289" s="44" t="e">
        <f aca="false">IF(AC289=1,(Y289-H$1030)^2,0)</f>
        <v>#N/A</v>
      </c>
      <c r="AH289" s="44" t="e">
        <f aca="false">IF(AD289=1,(Z289-I$1030)^2,0)</f>
        <v>#N/A</v>
      </c>
      <c r="AI289" s="44" t="e">
        <f aca="false">IF(AE289=1,(AA289-J$1030)^2,0)</f>
        <v>#N/A</v>
      </c>
    </row>
    <row r="290" customFormat="false" ht="12" hidden="false" customHeight="false" outlineLevel="0" collapsed="false">
      <c r="A290" s="29" t="n">
        <v>273</v>
      </c>
      <c r="B290" s="45" t="n">
        <f aca="true">IF(RAND()&lt;$D$8,1,0)</f>
        <v>1</v>
      </c>
      <c r="C290" s="34" t="n">
        <f aca="true">-LN(RAND())/$D$2</f>
        <v>0.497768839674397</v>
      </c>
      <c r="D290" s="46" t="n">
        <f aca="false">D289+C290</f>
        <v>425.588106716379</v>
      </c>
      <c r="E290" s="47" t="e">
        <f aca="false">MAX($D$3,(1+P289-VLOOKUP(VALUE(D290),$J$18:$Q289,7,TRUE()))*$D$3)</f>
        <v>#N/A</v>
      </c>
      <c r="F290" s="47" t="e">
        <f aca="false">MAX($D$4,(1+Q289-VLOOKUP(VALUE(D290),$M$18:$Q289,5,TRUE()))*$D$4)</f>
        <v>#N/A</v>
      </c>
      <c r="G290" s="48" t="n">
        <v>0.5</v>
      </c>
      <c r="H290" s="46" t="e">
        <f aca="true">IF((B290=1),(IF((F290&lt;E290),1,(IF((F290=E290),(IF(RAND()&lt;G290,1,0)),0)))),(IF((RAND()&lt;G290),1,0)))</f>
        <v>#N/A</v>
      </c>
      <c r="I290" s="46" t="e">
        <f aca="true">IF((H290=1),0,$D$3+$D$5*(RAND()-0.5))</f>
        <v>#N/A</v>
      </c>
      <c r="J290" s="46" t="e">
        <f aca="false">I290+MAX(D290,J289)</f>
        <v>#N/A</v>
      </c>
      <c r="K290" s="46" t="e">
        <f aca="false">IF((H290=0),J290-D290,0)</f>
        <v>#N/A</v>
      </c>
      <c r="L290" s="46" t="e">
        <f aca="true">IF(($H290=0),0,$D$4+$D$5*(RAND()-0.5))</f>
        <v>#N/A</v>
      </c>
      <c r="M290" s="46" t="e">
        <f aca="false">L290+MAX(D290,M289)</f>
        <v>#N/A</v>
      </c>
      <c r="N290" s="46" t="e">
        <f aca="false">IF((H290=1),M290-D290,0)</f>
        <v>#N/A</v>
      </c>
      <c r="O290" s="29" t="n">
        <v>273</v>
      </c>
      <c r="P290" s="49" t="e">
        <f aca="false">IF((Arterial=0),P289+1,P289)</f>
        <v>#N/A</v>
      </c>
      <c r="Q290" s="49" t="e">
        <f aca="false">IF((Arterial=1),Q289+1,Q289)</f>
        <v>#N/A</v>
      </c>
      <c r="R290" s="50" t="n">
        <f aca="false">IF((RESET=1),0,R290+K290)</f>
        <v>0</v>
      </c>
      <c r="S290" s="19" t="n">
        <f aca="false">IF(RESET=1,0,S290+N290)</f>
        <v>0</v>
      </c>
      <c r="T290" s="0" t="n">
        <f aca="false">IF(RESET=1,0,T290+IF(H290=0,1,0))</f>
        <v>0</v>
      </c>
      <c r="U290" s="0" t="n">
        <f aca="false">IF(RESET=1,0,U290+H290)</f>
        <v>0</v>
      </c>
      <c r="V290" s="19" t="n">
        <f aca="false">R290/(T290+0.00001)</f>
        <v>0</v>
      </c>
      <c r="W290" s="19" t="n">
        <f aca="false">S290/(U290+0.0001)</f>
        <v>0</v>
      </c>
      <c r="X290" s="47" t="e">
        <f aca="false">IF(Informed=1,K290,0)</f>
        <v>#N/A</v>
      </c>
      <c r="Y290" s="47" t="n">
        <f aca="false">IF(Informed=0,K290,0)</f>
        <v>0</v>
      </c>
      <c r="Z290" s="47" t="e">
        <f aca="false">IF(Informed=1,N290,0)</f>
        <v>#N/A</v>
      </c>
      <c r="AA290" s="47" t="n">
        <f aca="false">IF(Informed=0,N290,0)</f>
        <v>0</v>
      </c>
      <c r="AB290" s="51" t="e">
        <f aca="false">IF(Arterial=0,IF(Informed=1,1,0),0)</f>
        <v>#N/A</v>
      </c>
      <c r="AC290" s="51" t="e">
        <f aca="false">IF(Arterial=0,IF(Informed=0,1,0),0)</f>
        <v>#N/A</v>
      </c>
      <c r="AD290" s="51" t="e">
        <f aca="false">IF(Arterial=1,IF(Informed=1,1,0),0)</f>
        <v>#N/A</v>
      </c>
      <c r="AE290" s="51" t="e">
        <f aca="false">IF(Arterial=1,IF(Informed=0,1,0),0)</f>
        <v>#N/A</v>
      </c>
      <c r="AF290" s="44" t="e">
        <f aca="false">IF(AB290=1,(X290-G$1030)^2,0)</f>
        <v>#N/A</v>
      </c>
      <c r="AG290" s="44" t="e">
        <f aca="false">IF(AC290=1,(Y290-H$1030)^2,0)</f>
        <v>#N/A</v>
      </c>
      <c r="AH290" s="44" t="e">
        <f aca="false">IF(AD290=1,(Z290-I$1030)^2,0)</f>
        <v>#N/A</v>
      </c>
      <c r="AI290" s="44" t="e">
        <f aca="false">IF(AE290=1,(AA290-J$1030)^2,0)</f>
        <v>#N/A</v>
      </c>
    </row>
    <row r="291" customFormat="false" ht="12" hidden="false" customHeight="false" outlineLevel="0" collapsed="false">
      <c r="A291" s="29" t="n">
        <v>274</v>
      </c>
      <c r="B291" s="45" t="n">
        <f aca="true">IF(RAND()&lt;$D$8,1,0)</f>
        <v>1</v>
      </c>
      <c r="C291" s="34" t="n">
        <f aca="true">-LN(RAND())/$D$2</f>
        <v>1.16510929021703</v>
      </c>
      <c r="D291" s="46" t="n">
        <f aca="false">D290+C291</f>
        <v>426.753216006596</v>
      </c>
      <c r="E291" s="47" t="e">
        <f aca="false">MAX($D$3,(1+P290-VLOOKUP(VALUE(D291),$J$18:$Q290,7,TRUE()))*$D$3)</f>
        <v>#N/A</v>
      </c>
      <c r="F291" s="47" t="e">
        <f aca="false">MAX($D$4,(1+Q290-VLOOKUP(VALUE(D291),$M$18:$Q290,5,TRUE()))*$D$4)</f>
        <v>#N/A</v>
      </c>
      <c r="G291" s="48" t="n">
        <v>0.5</v>
      </c>
      <c r="H291" s="46" t="e">
        <f aca="true">IF((B291=1),(IF((F291&lt;E291),1,(IF((F291=E291),(IF(RAND()&lt;G291,1,0)),0)))),(IF((RAND()&lt;G291),1,0)))</f>
        <v>#N/A</v>
      </c>
      <c r="I291" s="46" t="e">
        <f aca="true">IF((H291=1),0,$D$3+$D$5*(RAND()-0.5))</f>
        <v>#N/A</v>
      </c>
      <c r="J291" s="46" t="e">
        <f aca="false">I291+MAX(D291,J290)</f>
        <v>#N/A</v>
      </c>
      <c r="K291" s="46" t="e">
        <f aca="false">IF((H291=0),J291-D291,0)</f>
        <v>#N/A</v>
      </c>
      <c r="L291" s="46" t="e">
        <f aca="true">IF(($H291=0),0,$D$4+$D$5*(RAND()-0.5))</f>
        <v>#N/A</v>
      </c>
      <c r="M291" s="46" t="e">
        <f aca="false">L291+MAX(D291,M290)</f>
        <v>#N/A</v>
      </c>
      <c r="N291" s="46" t="e">
        <f aca="false">IF((H291=1),M291-D291,0)</f>
        <v>#N/A</v>
      </c>
      <c r="O291" s="29" t="n">
        <v>274</v>
      </c>
      <c r="P291" s="49" t="e">
        <f aca="false">IF((Arterial=0),P290+1,P290)</f>
        <v>#N/A</v>
      </c>
      <c r="Q291" s="49" t="e">
        <f aca="false">IF((Arterial=1),Q290+1,Q290)</f>
        <v>#N/A</v>
      </c>
      <c r="R291" s="50" t="n">
        <f aca="false">IF((RESET=1),0,R291+K291)</f>
        <v>0</v>
      </c>
      <c r="S291" s="19" t="n">
        <f aca="false">IF(RESET=1,0,S291+N291)</f>
        <v>0</v>
      </c>
      <c r="T291" s="0" t="n">
        <f aca="false">IF(RESET=1,0,T291+IF(H291=0,1,0))</f>
        <v>0</v>
      </c>
      <c r="U291" s="0" t="n">
        <f aca="false">IF(RESET=1,0,U291+H291)</f>
        <v>0</v>
      </c>
      <c r="V291" s="19" t="n">
        <f aca="false">R291/(T291+0.00001)</f>
        <v>0</v>
      </c>
      <c r="W291" s="19" t="n">
        <f aca="false">S291/(U291+0.0001)</f>
        <v>0</v>
      </c>
      <c r="X291" s="47" t="e">
        <f aca="false">IF(Informed=1,K291,0)</f>
        <v>#N/A</v>
      </c>
      <c r="Y291" s="47" t="n">
        <f aca="false">IF(Informed=0,K291,0)</f>
        <v>0</v>
      </c>
      <c r="Z291" s="47" t="e">
        <f aca="false">IF(Informed=1,N291,0)</f>
        <v>#N/A</v>
      </c>
      <c r="AA291" s="47" t="n">
        <f aca="false">IF(Informed=0,N291,0)</f>
        <v>0</v>
      </c>
      <c r="AB291" s="51" t="e">
        <f aca="false">IF(Arterial=0,IF(Informed=1,1,0),0)</f>
        <v>#N/A</v>
      </c>
      <c r="AC291" s="51" t="e">
        <f aca="false">IF(Arterial=0,IF(Informed=0,1,0),0)</f>
        <v>#N/A</v>
      </c>
      <c r="AD291" s="51" t="e">
        <f aca="false">IF(Arterial=1,IF(Informed=1,1,0),0)</f>
        <v>#N/A</v>
      </c>
      <c r="AE291" s="51" t="e">
        <f aca="false">IF(Arterial=1,IF(Informed=0,1,0),0)</f>
        <v>#N/A</v>
      </c>
      <c r="AF291" s="44" t="e">
        <f aca="false">IF(AB291=1,(X291-G$1030)^2,0)</f>
        <v>#N/A</v>
      </c>
      <c r="AG291" s="44" t="e">
        <f aca="false">IF(AC291=1,(Y291-H$1030)^2,0)</f>
        <v>#N/A</v>
      </c>
      <c r="AH291" s="44" t="e">
        <f aca="false">IF(AD291=1,(Z291-I$1030)^2,0)</f>
        <v>#N/A</v>
      </c>
      <c r="AI291" s="44" t="e">
        <f aca="false">IF(AE291=1,(AA291-J$1030)^2,0)</f>
        <v>#N/A</v>
      </c>
    </row>
    <row r="292" customFormat="false" ht="12" hidden="false" customHeight="false" outlineLevel="0" collapsed="false">
      <c r="A292" s="29" t="n">
        <v>275</v>
      </c>
      <c r="B292" s="45" t="n">
        <f aca="true">IF(RAND()&lt;$D$8,1,0)</f>
        <v>1</v>
      </c>
      <c r="C292" s="34" t="n">
        <f aca="true">-LN(RAND())/$D$2</f>
        <v>0.180114777186043</v>
      </c>
      <c r="D292" s="46" t="n">
        <f aca="false">D291+C292</f>
        <v>426.933330783783</v>
      </c>
      <c r="E292" s="47" t="e">
        <f aca="false">MAX($D$3,(1+P291-VLOOKUP(VALUE(D292),$J$18:$Q291,7,TRUE()))*$D$3)</f>
        <v>#N/A</v>
      </c>
      <c r="F292" s="47" t="e">
        <f aca="false">MAX($D$4,(1+Q291-VLOOKUP(VALUE(D292),$M$18:$Q291,5,TRUE()))*$D$4)</f>
        <v>#N/A</v>
      </c>
      <c r="G292" s="48" t="n">
        <v>0.5</v>
      </c>
      <c r="H292" s="46" t="e">
        <f aca="true">IF((B292=1),(IF((F292&lt;E292),1,(IF((F292=E292),(IF(RAND()&lt;G292,1,0)),0)))),(IF((RAND()&lt;G292),1,0)))</f>
        <v>#N/A</v>
      </c>
      <c r="I292" s="46" t="e">
        <f aca="true">IF((H292=1),0,$D$3+$D$5*(RAND()-0.5))</f>
        <v>#N/A</v>
      </c>
      <c r="J292" s="46" t="e">
        <f aca="false">I292+MAX(D292,J291)</f>
        <v>#N/A</v>
      </c>
      <c r="K292" s="46" t="e">
        <f aca="false">IF((H292=0),J292-D292,0)</f>
        <v>#N/A</v>
      </c>
      <c r="L292" s="46" t="e">
        <f aca="true">IF(($H292=0),0,$D$4+$D$5*(RAND()-0.5))</f>
        <v>#N/A</v>
      </c>
      <c r="M292" s="46" t="e">
        <f aca="false">L292+MAX(D292,M291)</f>
        <v>#N/A</v>
      </c>
      <c r="N292" s="46" t="e">
        <f aca="false">IF((H292=1),M292-D292,0)</f>
        <v>#N/A</v>
      </c>
      <c r="O292" s="29" t="n">
        <v>275</v>
      </c>
      <c r="P292" s="49" t="e">
        <f aca="false">IF((Arterial=0),P291+1,P291)</f>
        <v>#N/A</v>
      </c>
      <c r="Q292" s="49" t="e">
        <f aca="false">IF((Arterial=1),Q291+1,Q291)</f>
        <v>#N/A</v>
      </c>
      <c r="R292" s="50" t="n">
        <f aca="false">IF((RESET=1),0,R292+K292)</f>
        <v>0</v>
      </c>
      <c r="S292" s="19" t="n">
        <f aca="false">IF(RESET=1,0,S292+N292)</f>
        <v>0</v>
      </c>
      <c r="T292" s="0" t="n">
        <f aca="false">IF(RESET=1,0,T292+IF(H292=0,1,0))</f>
        <v>0</v>
      </c>
      <c r="U292" s="0" t="n">
        <f aca="false">IF(RESET=1,0,U292+H292)</f>
        <v>0</v>
      </c>
      <c r="V292" s="19" t="n">
        <f aca="false">R292/(T292+0.00001)</f>
        <v>0</v>
      </c>
      <c r="W292" s="19" t="n">
        <f aca="false">S292/(U292+0.0001)</f>
        <v>0</v>
      </c>
      <c r="X292" s="47" t="e">
        <f aca="false">IF(Informed=1,K292,0)</f>
        <v>#N/A</v>
      </c>
      <c r="Y292" s="47" t="n">
        <f aca="false">IF(Informed=0,K292,0)</f>
        <v>0</v>
      </c>
      <c r="Z292" s="47" t="e">
        <f aca="false">IF(Informed=1,N292,0)</f>
        <v>#N/A</v>
      </c>
      <c r="AA292" s="47" t="n">
        <f aca="false">IF(Informed=0,N292,0)</f>
        <v>0</v>
      </c>
      <c r="AB292" s="51" t="e">
        <f aca="false">IF(Arterial=0,IF(Informed=1,1,0),0)</f>
        <v>#N/A</v>
      </c>
      <c r="AC292" s="51" t="e">
        <f aca="false">IF(Arterial=0,IF(Informed=0,1,0),0)</f>
        <v>#N/A</v>
      </c>
      <c r="AD292" s="51" t="e">
        <f aca="false">IF(Arterial=1,IF(Informed=1,1,0),0)</f>
        <v>#N/A</v>
      </c>
      <c r="AE292" s="51" t="e">
        <f aca="false">IF(Arterial=1,IF(Informed=0,1,0),0)</f>
        <v>#N/A</v>
      </c>
      <c r="AF292" s="44" t="e">
        <f aca="false">IF(AB292=1,(X292-G$1030)^2,0)</f>
        <v>#N/A</v>
      </c>
      <c r="AG292" s="44" t="e">
        <f aca="false">IF(AC292=1,(Y292-H$1030)^2,0)</f>
        <v>#N/A</v>
      </c>
      <c r="AH292" s="44" t="e">
        <f aca="false">IF(AD292=1,(Z292-I$1030)^2,0)</f>
        <v>#N/A</v>
      </c>
      <c r="AI292" s="44" t="e">
        <f aca="false">IF(AE292=1,(AA292-J$1030)^2,0)</f>
        <v>#N/A</v>
      </c>
    </row>
    <row r="293" customFormat="false" ht="12" hidden="false" customHeight="false" outlineLevel="0" collapsed="false">
      <c r="A293" s="29" t="n">
        <v>276</v>
      </c>
      <c r="B293" s="45" t="n">
        <f aca="true">IF(RAND()&lt;$D$8,1,0)</f>
        <v>1</v>
      </c>
      <c r="C293" s="34" t="n">
        <f aca="true">-LN(RAND())/$D$2</f>
        <v>1.46603882209899</v>
      </c>
      <c r="D293" s="46" t="n">
        <f aca="false">D292+C293</f>
        <v>428.399369605882</v>
      </c>
      <c r="E293" s="47" t="e">
        <f aca="false">MAX($D$3,(1+P292-VLOOKUP(VALUE(D293),$J$18:$Q292,7,TRUE()))*$D$3)</f>
        <v>#N/A</v>
      </c>
      <c r="F293" s="47" t="e">
        <f aca="false">MAX($D$4,(1+Q292-VLOOKUP(VALUE(D293),$M$18:$Q292,5,TRUE()))*$D$4)</f>
        <v>#N/A</v>
      </c>
      <c r="G293" s="48" t="n">
        <v>0.5</v>
      </c>
      <c r="H293" s="46" t="e">
        <f aca="true">IF((B293=1),(IF((F293&lt;E293),1,(IF((F293=E293),(IF(RAND()&lt;G293,1,0)),0)))),(IF((RAND()&lt;G293),1,0)))</f>
        <v>#N/A</v>
      </c>
      <c r="I293" s="46" t="e">
        <f aca="true">IF((H293=1),0,$D$3+$D$5*(RAND()-0.5))</f>
        <v>#N/A</v>
      </c>
      <c r="J293" s="46" t="e">
        <f aca="false">I293+MAX(D293,J292)</f>
        <v>#N/A</v>
      </c>
      <c r="K293" s="46" t="e">
        <f aca="false">IF((H293=0),J293-D293,0)</f>
        <v>#N/A</v>
      </c>
      <c r="L293" s="46" t="e">
        <f aca="true">IF(($H293=0),0,$D$4+$D$5*(RAND()-0.5))</f>
        <v>#N/A</v>
      </c>
      <c r="M293" s="46" t="e">
        <f aca="false">L293+MAX(D293,M292)</f>
        <v>#N/A</v>
      </c>
      <c r="N293" s="46" t="e">
        <f aca="false">IF((H293=1),M293-D293,0)</f>
        <v>#N/A</v>
      </c>
      <c r="O293" s="29" t="n">
        <v>276</v>
      </c>
      <c r="P293" s="49" t="e">
        <f aca="false">IF((Arterial=0),P292+1,P292)</f>
        <v>#N/A</v>
      </c>
      <c r="Q293" s="49" t="e">
        <f aca="false">IF((Arterial=1),Q292+1,Q292)</f>
        <v>#N/A</v>
      </c>
      <c r="R293" s="50" t="n">
        <f aca="false">IF((RESET=1),0,R293+K293)</f>
        <v>0</v>
      </c>
      <c r="S293" s="19" t="n">
        <f aca="false">IF(RESET=1,0,S293+N293)</f>
        <v>0</v>
      </c>
      <c r="T293" s="0" t="n">
        <f aca="false">IF(RESET=1,0,T293+IF(H293=0,1,0))</f>
        <v>0</v>
      </c>
      <c r="U293" s="0" t="n">
        <f aca="false">IF(RESET=1,0,U293+H293)</f>
        <v>0</v>
      </c>
      <c r="V293" s="19" t="n">
        <f aca="false">R293/(T293+0.00001)</f>
        <v>0</v>
      </c>
      <c r="W293" s="19" t="n">
        <f aca="false">S293/(U293+0.0001)</f>
        <v>0</v>
      </c>
      <c r="X293" s="47" t="e">
        <f aca="false">IF(Informed=1,K293,0)</f>
        <v>#N/A</v>
      </c>
      <c r="Y293" s="47" t="n">
        <f aca="false">IF(Informed=0,K293,0)</f>
        <v>0</v>
      </c>
      <c r="Z293" s="47" t="e">
        <f aca="false">IF(Informed=1,N293,0)</f>
        <v>#N/A</v>
      </c>
      <c r="AA293" s="47" t="n">
        <f aca="false">IF(Informed=0,N293,0)</f>
        <v>0</v>
      </c>
      <c r="AB293" s="51" t="e">
        <f aca="false">IF(Arterial=0,IF(Informed=1,1,0),0)</f>
        <v>#N/A</v>
      </c>
      <c r="AC293" s="51" t="e">
        <f aca="false">IF(Arterial=0,IF(Informed=0,1,0),0)</f>
        <v>#N/A</v>
      </c>
      <c r="AD293" s="51" t="e">
        <f aca="false">IF(Arterial=1,IF(Informed=1,1,0),0)</f>
        <v>#N/A</v>
      </c>
      <c r="AE293" s="51" t="e">
        <f aca="false">IF(Arterial=1,IF(Informed=0,1,0),0)</f>
        <v>#N/A</v>
      </c>
      <c r="AF293" s="44" t="e">
        <f aca="false">IF(AB293=1,(X293-G$1030)^2,0)</f>
        <v>#N/A</v>
      </c>
      <c r="AG293" s="44" t="e">
        <f aca="false">IF(AC293=1,(Y293-H$1030)^2,0)</f>
        <v>#N/A</v>
      </c>
      <c r="AH293" s="44" t="e">
        <f aca="false">IF(AD293=1,(Z293-I$1030)^2,0)</f>
        <v>#N/A</v>
      </c>
      <c r="AI293" s="44" t="e">
        <f aca="false">IF(AE293=1,(AA293-J$1030)^2,0)</f>
        <v>#N/A</v>
      </c>
    </row>
    <row r="294" customFormat="false" ht="12" hidden="false" customHeight="false" outlineLevel="0" collapsed="false">
      <c r="A294" s="29" t="n">
        <v>277</v>
      </c>
      <c r="B294" s="45" t="n">
        <f aca="true">IF(RAND()&lt;$D$8,1,0)</f>
        <v>1</v>
      </c>
      <c r="C294" s="34" t="n">
        <f aca="true">-LN(RAND())/$D$2</f>
        <v>0.157549242831664</v>
      </c>
      <c r="D294" s="46" t="n">
        <f aca="false">D293+C294</f>
        <v>428.556918848713</v>
      </c>
      <c r="E294" s="47" t="e">
        <f aca="false">MAX($D$3,(1+P293-VLOOKUP(VALUE(D294),$J$18:$Q293,7,TRUE()))*$D$3)</f>
        <v>#N/A</v>
      </c>
      <c r="F294" s="47" t="e">
        <f aca="false">MAX($D$4,(1+Q293-VLOOKUP(VALUE(D294),$M$18:$Q293,5,TRUE()))*$D$4)</f>
        <v>#N/A</v>
      </c>
      <c r="G294" s="48" t="n">
        <v>0.5</v>
      </c>
      <c r="H294" s="46" t="e">
        <f aca="true">IF((B294=1),(IF((F294&lt;E294),1,(IF((F294=E294),(IF(RAND()&lt;G294,1,0)),0)))),(IF((RAND()&lt;G294),1,0)))</f>
        <v>#N/A</v>
      </c>
      <c r="I294" s="46" t="e">
        <f aca="true">IF((H294=1),0,$D$3+$D$5*(RAND()-0.5))</f>
        <v>#N/A</v>
      </c>
      <c r="J294" s="46" t="e">
        <f aca="false">I294+MAX(D294,J293)</f>
        <v>#N/A</v>
      </c>
      <c r="K294" s="46" t="e">
        <f aca="false">IF((H294=0),J294-D294,0)</f>
        <v>#N/A</v>
      </c>
      <c r="L294" s="46" t="e">
        <f aca="true">IF(($H294=0),0,$D$4+$D$5*(RAND()-0.5))</f>
        <v>#N/A</v>
      </c>
      <c r="M294" s="46" t="e">
        <f aca="false">L294+MAX(D294,M293)</f>
        <v>#N/A</v>
      </c>
      <c r="N294" s="46" t="e">
        <f aca="false">IF((H294=1),M294-D294,0)</f>
        <v>#N/A</v>
      </c>
      <c r="O294" s="29" t="n">
        <v>277</v>
      </c>
      <c r="P294" s="49" t="e">
        <f aca="false">IF((Arterial=0),P293+1,P293)</f>
        <v>#N/A</v>
      </c>
      <c r="Q294" s="49" t="e">
        <f aca="false">IF((Arterial=1),Q293+1,Q293)</f>
        <v>#N/A</v>
      </c>
      <c r="R294" s="50" t="n">
        <f aca="false">IF((RESET=1),0,R294+K294)</f>
        <v>0</v>
      </c>
      <c r="S294" s="19" t="n">
        <f aca="false">IF(RESET=1,0,S294+N294)</f>
        <v>0</v>
      </c>
      <c r="T294" s="0" t="n">
        <f aca="false">IF(RESET=1,0,T294+IF(H294=0,1,0))</f>
        <v>0</v>
      </c>
      <c r="U294" s="0" t="n">
        <f aca="false">IF(RESET=1,0,U294+H294)</f>
        <v>0</v>
      </c>
      <c r="V294" s="19" t="n">
        <f aca="false">R294/(T294+0.00001)</f>
        <v>0</v>
      </c>
      <c r="W294" s="19" t="n">
        <f aca="false">S294/(U294+0.0001)</f>
        <v>0</v>
      </c>
      <c r="X294" s="47" t="e">
        <f aca="false">IF(Informed=1,K294,0)</f>
        <v>#N/A</v>
      </c>
      <c r="Y294" s="47" t="n">
        <f aca="false">IF(Informed=0,K294,0)</f>
        <v>0</v>
      </c>
      <c r="Z294" s="47" t="e">
        <f aca="false">IF(Informed=1,N294,0)</f>
        <v>#N/A</v>
      </c>
      <c r="AA294" s="47" t="n">
        <f aca="false">IF(Informed=0,N294,0)</f>
        <v>0</v>
      </c>
      <c r="AB294" s="51" t="e">
        <f aca="false">IF(Arterial=0,IF(Informed=1,1,0),0)</f>
        <v>#N/A</v>
      </c>
      <c r="AC294" s="51" t="e">
        <f aca="false">IF(Arterial=0,IF(Informed=0,1,0),0)</f>
        <v>#N/A</v>
      </c>
      <c r="AD294" s="51" t="e">
        <f aca="false">IF(Arterial=1,IF(Informed=1,1,0),0)</f>
        <v>#N/A</v>
      </c>
      <c r="AE294" s="51" t="e">
        <f aca="false">IF(Arterial=1,IF(Informed=0,1,0),0)</f>
        <v>#N/A</v>
      </c>
      <c r="AF294" s="44" t="e">
        <f aca="false">IF(AB294=1,(X294-G$1030)^2,0)</f>
        <v>#N/A</v>
      </c>
      <c r="AG294" s="44" t="e">
        <f aca="false">IF(AC294=1,(Y294-H$1030)^2,0)</f>
        <v>#N/A</v>
      </c>
      <c r="AH294" s="44" t="e">
        <f aca="false">IF(AD294=1,(Z294-I$1030)^2,0)</f>
        <v>#N/A</v>
      </c>
      <c r="AI294" s="44" t="e">
        <f aca="false">IF(AE294=1,(AA294-J$1030)^2,0)</f>
        <v>#N/A</v>
      </c>
    </row>
    <row r="295" customFormat="false" ht="12" hidden="false" customHeight="false" outlineLevel="0" collapsed="false">
      <c r="A295" s="29" t="n">
        <v>278</v>
      </c>
      <c r="B295" s="45" t="n">
        <f aca="true">IF(RAND()&lt;$D$8,1,0)</f>
        <v>1</v>
      </c>
      <c r="C295" s="34" t="n">
        <f aca="true">-LN(RAND())/$D$2</f>
        <v>1.16607609153709</v>
      </c>
      <c r="D295" s="46" t="n">
        <f aca="false">D294+C295</f>
        <v>429.72299494025</v>
      </c>
      <c r="E295" s="47" t="e">
        <f aca="false">MAX($D$3,(1+P294-VLOOKUP(VALUE(D295),$J$18:$Q294,7,TRUE()))*$D$3)</f>
        <v>#N/A</v>
      </c>
      <c r="F295" s="47" t="e">
        <f aca="false">MAX($D$4,(1+Q294-VLOOKUP(VALUE(D295),$M$18:$Q294,5,TRUE()))*$D$4)</f>
        <v>#N/A</v>
      </c>
      <c r="G295" s="48" t="n">
        <v>0.5</v>
      </c>
      <c r="H295" s="46" t="e">
        <f aca="true">IF((B295=1),(IF((F295&lt;E295),1,(IF((F295=E295),(IF(RAND()&lt;G295,1,0)),0)))),(IF((RAND()&lt;G295),1,0)))</f>
        <v>#N/A</v>
      </c>
      <c r="I295" s="46" t="e">
        <f aca="true">IF((H295=1),0,$D$3+$D$5*(RAND()-0.5))</f>
        <v>#N/A</v>
      </c>
      <c r="J295" s="46" t="e">
        <f aca="false">I295+MAX(D295,J294)</f>
        <v>#N/A</v>
      </c>
      <c r="K295" s="46" t="e">
        <f aca="false">IF((H295=0),J295-D295,0)</f>
        <v>#N/A</v>
      </c>
      <c r="L295" s="46" t="e">
        <f aca="true">IF(($H295=0),0,$D$4+$D$5*(RAND()-0.5))</f>
        <v>#N/A</v>
      </c>
      <c r="M295" s="46" t="e">
        <f aca="false">L295+MAX(D295,M294)</f>
        <v>#N/A</v>
      </c>
      <c r="N295" s="46" t="e">
        <f aca="false">IF((H295=1),M295-D295,0)</f>
        <v>#N/A</v>
      </c>
      <c r="O295" s="29" t="n">
        <v>278</v>
      </c>
      <c r="P295" s="49" t="e">
        <f aca="false">IF((Arterial=0),P294+1,P294)</f>
        <v>#N/A</v>
      </c>
      <c r="Q295" s="49" t="e">
        <f aca="false">IF((Arterial=1),Q294+1,Q294)</f>
        <v>#N/A</v>
      </c>
      <c r="R295" s="50" t="n">
        <f aca="false">IF((RESET=1),0,R295+K295)</f>
        <v>0</v>
      </c>
      <c r="S295" s="19" t="n">
        <f aca="false">IF(RESET=1,0,S295+N295)</f>
        <v>0</v>
      </c>
      <c r="T295" s="0" t="n">
        <f aca="false">IF(RESET=1,0,T295+IF(H295=0,1,0))</f>
        <v>0</v>
      </c>
      <c r="U295" s="0" t="n">
        <f aca="false">IF(RESET=1,0,U295+H295)</f>
        <v>0</v>
      </c>
      <c r="V295" s="19" t="n">
        <f aca="false">R295/(T295+0.00001)</f>
        <v>0</v>
      </c>
      <c r="W295" s="19" t="n">
        <f aca="false">S295/(U295+0.0001)</f>
        <v>0</v>
      </c>
      <c r="X295" s="47" t="e">
        <f aca="false">IF(Informed=1,K295,0)</f>
        <v>#N/A</v>
      </c>
      <c r="Y295" s="47" t="n">
        <f aca="false">IF(Informed=0,K295,0)</f>
        <v>0</v>
      </c>
      <c r="Z295" s="47" t="e">
        <f aca="false">IF(Informed=1,N295,0)</f>
        <v>#N/A</v>
      </c>
      <c r="AA295" s="47" t="n">
        <f aca="false">IF(Informed=0,N295,0)</f>
        <v>0</v>
      </c>
      <c r="AB295" s="51" t="e">
        <f aca="false">IF(Arterial=0,IF(Informed=1,1,0),0)</f>
        <v>#N/A</v>
      </c>
      <c r="AC295" s="51" t="e">
        <f aca="false">IF(Arterial=0,IF(Informed=0,1,0),0)</f>
        <v>#N/A</v>
      </c>
      <c r="AD295" s="51" t="e">
        <f aca="false">IF(Arterial=1,IF(Informed=1,1,0),0)</f>
        <v>#N/A</v>
      </c>
      <c r="AE295" s="51" t="e">
        <f aca="false">IF(Arterial=1,IF(Informed=0,1,0),0)</f>
        <v>#N/A</v>
      </c>
      <c r="AF295" s="44" t="e">
        <f aca="false">IF(AB295=1,(X295-G$1030)^2,0)</f>
        <v>#N/A</v>
      </c>
      <c r="AG295" s="44" t="e">
        <f aca="false">IF(AC295=1,(Y295-H$1030)^2,0)</f>
        <v>#N/A</v>
      </c>
      <c r="AH295" s="44" t="e">
        <f aca="false">IF(AD295=1,(Z295-I$1030)^2,0)</f>
        <v>#N/A</v>
      </c>
      <c r="AI295" s="44" t="e">
        <f aca="false">IF(AE295=1,(AA295-J$1030)^2,0)</f>
        <v>#N/A</v>
      </c>
    </row>
    <row r="296" customFormat="false" ht="12" hidden="false" customHeight="false" outlineLevel="0" collapsed="false">
      <c r="A296" s="29" t="n">
        <v>279</v>
      </c>
      <c r="B296" s="45" t="n">
        <f aca="true">IF(RAND()&lt;$D$8,1,0)</f>
        <v>1</v>
      </c>
      <c r="C296" s="34" t="n">
        <f aca="true">-LN(RAND())/$D$2</f>
        <v>1.912217863492</v>
      </c>
      <c r="D296" s="46" t="n">
        <f aca="false">D295+C296</f>
        <v>431.635212803742</v>
      </c>
      <c r="E296" s="47" t="e">
        <f aca="false">MAX($D$3,(1+P295-VLOOKUP(VALUE(D296),$J$18:$Q295,7,TRUE()))*$D$3)</f>
        <v>#N/A</v>
      </c>
      <c r="F296" s="47" t="e">
        <f aca="false">MAX($D$4,(1+Q295-VLOOKUP(VALUE(D296),$M$18:$Q295,5,TRUE()))*$D$4)</f>
        <v>#N/A</v>
      </c>
      <c r="G296" s="48" t="n">
        <v>0.5</v>
      </c>
      <c r="H296" s="46" t="e">
        <f aca="true">IF((B296=1),(IF((F296&lt;E296),1,(IF((F296=E296),(IF(RAND()&lt;G296,1,0)),0)))),(IF((RAND()&lt;G296),1,0)))</f>
        <v>#N/A</v>
      </c>
      <c r="I296" s="46" t="e">
        <f aca="true">IF((H296=1),0,$D$3+$D$5*(RAND()-0.5))</f>
        <v>#N/A</v>
      </c>
      <c r="J296" s="46" t="e">
        <f aca="false">I296+MAX(D296,J295)</f>
        <v>#N/A</v>
      </c>
      <c r="K296" s="46" t="e">
        <f aca="false">IF((H296=0),J296-D296,0)</f>
        <v>#N/A</v>
      </c>
      <c r="L296" s="46" t="e">
        <f aca="true">IF(($H296=0),0,$D$4+$D$5*(RAND()-0.5))</f>
        <v>#N/A</v>
      </c>
      <c r="M296" s="46" t="e">
        <f aca="false">L296+MAX(D296,M295)</f>
        <v>#N/A</v>
      </c>
      <c r="N296" s="46" t="e">
        <f aca="false">IF((H296=1),M296-D296,0)</f>
        <v>#N/A</v>
      </c>
      <c r="O296" s="29" t="n">
        <v>279</v>
      </c>
      <c r="P296" s="49" t="e">
        <f aca="false">IF((Arterial=0),P295+1,P295)</f>
        <v>#N/A</v>
      </c>
      <c r="Q296" s="49" t="e">
        <f aca="false">IF((Arterial=1),Q295+1,Q295)</f>
        <v>#N/A</v>
      </c>
      <c r="R296" s="50" t="n">
        <f aca="false">IF((RESET=1),0,R296+K296)</f>
        <v>0</v>
      </c>
      <c r="S296" s="19" t="n">
        <f aca="false">IF(RESET=1,0,S296+N296)</f>
        <v>0</v>
      </c>
      <c r="T296" s="0" t="n">
        <f aca="false">IF(RESET=1,0,T296+IF(H296=0,1,0))</f>
        <v>0</v>
      </c>
      <c r="U296" s="0" t="n">
        <f aca="false">IF(RESET=1,0,U296+H296)</f>
        <v>0</v>
      </c>
      <c r="V296" s="19" t="n">
        <f aca="false">R296/(T296+0.00001)</f>
        <v>0</v>
      </c>
      <c r="W296" s="19" t="n">
        <f aca="false">S296/(U296+0.0001)</f>
        <v>0</v>
      </c>
      <c r="X296" s="47" t="e">
        <f aca="false">IF(Informed=1,K296,0)</f>
        <v>#N/A</v>
      </c>
      <c r="Y296" s="47" t="n">
        <f aca="false">IF(Informed=0,K296,0)</f>
        <v>0</v>
      </c>
      <c r="Z296" s="47" t="e">
        <f aca="false">IF(Informed=1,N296,0)</f>
        <v>#N/A</v>
      </c>
      <c r="AA296" s="47" t="n">
        <f aca="false">IF(Informed=0,N296,0)</f>
        <v>0</v>
      </c>
      <c r="AB296" s="51" t="e">
        <f aca="false">IF(Arterial=0,IF(Informed=1,1,0),0)</f>
        <v>#N/A</v>
      </c>
      <c r="AC296" s="51" t="e">
        <f aca="false">IF(Arterial=0,IF(Informed=0,1,0),0)</f>
        <v>#N/A</v>
      </c>
      <c r="AD296" s="51" t="e">
        <f aca="false">IF(Arterial=1,IF(Informed=1,1,0),0)</f>
        <v>#N/A</v>
      </c>
      <c r="AE296" s="51" t="e">
        <f aca="false">IF(Arterial=1,IF(Informed=0,1,0),0)</f>
        <v>#N/A</v>
      </c>
      <c r="AF296" s="44" t="e">
        <f aca="false">IF(AB296=1,(X296-G$1030)^2,0)</f>
        <v>#N/A</v>
      </c>
      <c r="AG296" s="44" t="e">
        <f aca="false">IF(AC296=1,(Y296-H$1030)^2,0)</f>
        <v>#N/A</v>
      </c>
      <c r="AH296" s="44" t="e">
        <f aca="false">IF(AD296=1,(Z296-I$1030)^2,0)</f>
        <v>#N/A</v>
      </c>
      <c r="AI296" s="44" t="e">
        <f aca="false">IF(AE296=1,(AA296-J$1030)^2,0)</f>
        <v>#N/A</v>
      </c>
    </row>
    <row r="297" customFormat="false" ht="12" hidden="false" customHeight="false" outlineLevel="0" collapsed="false">
      <c r="A297" s="29" t="n">
        <v>280</v>
      </c>
      <c r="B297" s="45" t="n">
        <f aca="true">IF(RAND()&lt;$D$8,1,0)</f>
        <v>1</v>
      </c>
      <c r="C297" s="34" t="n">
        <f aca="true">-LN(RAND())/$D$2</f>
        <v>1.55698374701207</v>
      </c>
      <c r="D297" s="46" t="n">
        <f aca="false">D296+C297</f>
        <v>433.192196550754</v>
      </c>
      <c r="E297" s="47" t="e">
        <f aca="false">MAX($D$3,(1+P296-VLOOKUP(VALUE(D297),$J$18:$Q296,7,TRUE()))*$D$3)</f>
        <v>#N/A</v>
      </c>
      <c r="F297" s="47" t="e">
        <f aca="false">MAX($D$4,(1+Q296-VLOOKUP(VALUE(D297),$M$18:$Q296,5,TRUE()))*$D$4)</f>
        <v>#N/A</v>
      </c>
      <c r="G297" s="48" t="n">
        <v>0.5</v>
      </c>
      <c r="H297" s="46" t="e">
        <f aca="true">IF((B297=1),(IF((F297&lt;E297),1,(IF((F297=E297),(IF(RAND()&lt;G297,1,0)),0)))),(IF((RAND()&lt;G297),1,0)))</f>
        <v>#N/A</v>
      </c>
      <c r="I297" s="46" t="e">
        <f aca="true">IF((H297=1),0,$D$3+$D$5*(RAND()-0.5))</f>
        <v>#N/A</v>
      </c>
      <c r="J297" s="46" t="e">
        <f aca="false">I297+MAX(D297,J296)</f>
        <v>#N/A</v>
      </c>
      <c r="K297" s="46" t="e">
        <f aca="false">IF((H297=0),J297-D297,0)</f>
        <v>#N/A</v>
      </c>
      <c r="L297" s="46" t="e">
        <f aca="true">IF(($H297=0),0,$D$4+$D$5*(RAND()-0.5))</f>
        <v>#N/A</v>
      </c>
      <c r="M297" s="46" t="e">
        <f aca="false">L297+MAX(D297,M296)</f>
        <v>#N/A</v>
      </c>
      <c r="N297" s="46" t="e">
        <f aca="false">IF((H297=1),M297-D297,0)</f>
        <v>#N/A</v>
      </c>
      <c r="O297" s="29" t="n">
        <v>280</v>
      </c>
      <c r="P297" s="49" t="e">
        <f aca="false">IF((Arterial=0),P296+1,P296)</f>
        <v>#N/A</v>
      </c>
      <c r="Q297" s="49" t="e">
        <f aca="false">IF((Arterial=1),Q296+1,Q296)</f>
        <v>#N/A</v>
      </c>
      <c r="R297" s="50" t="n">
        <f aca="false">IF((RESET=1),0,R297+K297)</f>
        <v>0</v>
      </c>
      <c r="S297" s="19" t="n">
        <f aca="false">IF(RESET=1,0,S297+N297)</f>
        <v>0</v>
      </c>
      <c r="T297" s="0" t="n">
        <f aca="false">IF(RESET=1,0,T297+IF(H297=0,1,0))</f>
        <v>0</v>
      </c>
      <c r="U297" s="0" t="n">
        <f aca="false">IF(RESET=1,0,U297+H297)</f>
        <v>0</v>
      </c>
      <c r="V297" s="19" t="n">
        <f aca="false">R297/(T297+0.00001)</f>
        <v>0</v>
      </c>
      <c r="W297" s="19" t="n">
        <f aca="false">S297/(U297+0.0001)</f>
        <v>0</v>
      </c>
      <c r="X297" s="47" t="e">
        <f aca="false">IF(Informed=1,K297,0)</f>
        <v>#N/A</v>
      </c>
      <c r="Y297" s="47" t="n">
        <f aca="false">IF(Informed=0,K297,0)</f>
        <v>0</v>
      </c>
      <c r="Z297" s="47" t="e">
        <f aca="false">IF(Informed=1,N297,0)</f>
        <v>#N/A</v>
      </c>
      <c r="AA297" s="47" t="n">
        <f aca="false">IF(Informed=0,N297,0)</f>
        <v>0</v>
      </c>
      <c r="AB297" s="51" t="e">
        <f aca="false">IF(Arterial=0,IF(Informed=1,1,0),0)</f>
        <v>#N/A</v>
      </c>
      <c r="AC297" s="51" t="e">
        <f aca="false">IF(Arterial=0,IF(Informed=0,1,0),0)</f>
        <v>#N/A</v>
      </c>
      <c r="AD297" s="51" t="e">
        <f aca="false">IF(Arterial=1,IF(Informed=1,1,0),0)</f>
        <v>#N/A</v>
      </c>
      <c r="AE297" s="51" t="e">
        <f aca="false">IF(Arterial=1,IF(Informed=0,1,0),0)</f>
        <v>#N/A</v>
      </c>
      <c r="AF297" s="44" t="e">
        <f aca="false">IF(AB297=1,(X297-G$1030)^2,0)</f>
        <v>#N/A</v>
      </c>
      <c r="AG297" s="44" t="e">
        <f aca="false">IF(AC297=1,(Y297-H$1030)^2,0)</f>
        <v>#N/A</v>
      </c>
      <c r="AH297" s="44" t="e">
        <f aca="false">IF(AD297=1,(Z297-I$1030)^2,0)</f>
        <v>#N/A</v>
      </c>
      <c r="AI297" s="44" t="e">
        <f aca="false">IF(AE297=1,(AA297-J$1030)^2,0)</f>
        <v>#N/A</v>
      </c>
    </row>
    <row r="298" customFormat="false" ht="12" hidden="false" customHeight="false" outlineLevel="0" collapsed="false">
      <c r="A298" s="29" t="n">
        <v>281</v>
      </c>
      <c r="B298" s="45" t="n">
        <f aca="true">IF(RAND()&lt;$D$8,1,0)</f>
        <v>1</v>
      </c>
      <c r="C298" s="34" t="n">
        <f aca="true">-LN(RAND())/$D$2</f>
        <v>4.75143575100346</v>
      </c>
      <c r="D298" s="46" t="n">
        <f aca="false">D297+C298</f>
        <v>437.943632301758</v>
      </c>
      <c r="E298" s="47" t="e">
        <f aca="false">MAX($D$3,(1+P297-VLOOKUP(VALUE(D298),$J$18:$Q297,7,TRUE()))*$D$3)</f>
        <v>#N/A</v>
      </c>
      <c r="F298" s="47" t="e">
        <f aca="false">MAX($D$4,(1+Q297-VLOOKUP(VALUE(D298),$M$18:$Q297,5,TRUE()))*$D$4)</f>
        <v>#N/A</v>
      </c>
      <c r="G298" s="48" t="n">
        <v>0.5</v>
      </c>
      <c r="H298" s="46" t="e">
        <f aca="true">IF((B298=1),(IF((F298&lt;E298),1,(IF((F298=E298),(IF(RAND()&lt;G298,1,0)),0)))),(IF((RAND()&lt;G298),1,0)))</f>
        <v>#N/A</v>
      </c>
      <c r="I298" s="46" t="e">
        <f aca="true">IF((H298=1),0,$D$3+$D$5*(RAND()-0.5))</f>
        <v>#N/A</v>
      </c>
      <c r="J298" s="46" t="e">
        <f aca="false">I298+MAX(D298,J297)</f>
        <v>#N/A</v>
      </c>
      <c r="K298" s="46" t="e">
        <f aca="false">IF((H298=0),J298-D298,0)</f>
        <v>#N/A</v>
      </c>
      <c r="L298" s="46" t="e">
        <f aca="true">IF(($H298=0),0,$D$4+$D$5*(RAND()-0.5))</f>
        <v>#N/A</v>
      </c>
      <c r="M298" s="46" t="e">
        <f aca="false">L298+MAX(D298,M297)</f>
        <v>#N/A</v>
      </c>
      <c r="N298" s="46" t="e">
        <f aca="false">IF((H298=1),M298-D298,0)</f>
        <v>#N/A</v>
      </c>
      <c r="O298" s="29" t="n">
        <v>281</v>
      </c>
      <c r="P298" s="49" t="e">
        <f aca="false">IF((Arterial=0),P297+1,P297)</f>
        <v>#N/A</v>
      </c>
      <c r="Q298" s="49" t="e">
        <f aca="false">IF((Arterial=1),Q297+1,Q297)</f>
        <v>#N/A</v>
      </c>
      <c r="R298" s="50" t="n">
        <f aca="false">IF((RESET=1),0,R298+K298)</f>
        <v>0</v>
      </c>
      <c r="S298" s="19" t="n">
        <f aca="false">IF(RESET=1,0,S298+N298)</f>
        <v>0</v>
      </c>
      <c r="T298" s="0" t="n">
        <f aca="false">IF(RESET=1,0,T298+IF(H298=0,1,0))</f>
        <v>0</v>
      </c>
      <c r="U298" s="0" t="n">
        <f aca="false">IF(RESET=1,0,U298+H298)</f>
        <v>0</v>
      </c>
      <c r="V298" s="19" t="n">
        <f aca="false">R298/(T298+0.00001)</f>
        <v>0</v>
      </c>
      <c r="W298" s="19" t="n">
        <f aca="false">S298/(U298+0.0001)</f>
        <v>0</v>
      </c>
      <c r="X298" s="47" t="e">
        <f aca="false">IF(Informed=1,K298,0)</f>
        <v>#N/A</v>
      </c>
      <c r="Y298" s="47" t="n">
        <f aca="false">IF(Informed=0,K298,0)</f>
        <v>0</v>
      </c>
      <c r="Z298" s="47" t="e">
        <f aca="false">IF(Informed=1,N298,0)</f>
        <v>#N/A</v>
      </c>
      <c r="AA298" s="47" t="n">
        <f aca="false">IF(Informed=0,N298,0)</f>
        <v>0</v>
      </c>
      <c r="AB298" s="51" t="e">
        <f aca="false">IF(Arterial=0,IF(Informed=1,1,0),0)</f>
        <v>#N/A</v>
      </c>
      <c r="AC298" s="51" t="e">
        <f aca="false">IF(Arterial=0,IF(Informed=0,1,0),0)</f>
        <v>#N/A</v>
      </c>
      <c r="AD298" s="51" t="e">
        <f aca="false">IF(Arterial=1,IF(Informed=1,1,0),0)</f>
        <v>#N/A</v>
      </c>
      <c r="AE298" s="51" t="e">
        <f aca="false">IF(Arterial=1,IF(Informed=0,1,0),0)</f>
        <v>#N/A</v>
      </c>
      <c r="AF298" s="44" t="e">
        <f aca="false">IF(AB298=1,(X298-G$1030)^2,0)</f>
        <v>#N/A</v>
      </c>
      <c r="AG298" s="44" t="e">
        <f aca="false">IF(AC298=1,(Y298-H$1030)^2,0)</f>
        <v>#N/A</v>
      </c>
      <c r="AH298" s="44" t="e">
        <f aca="false">IF(AD298=1,(Z298-I$1030)^2,0)</f>
        <v>#N/A</v>
      </c>
      <c r="AI298" s="44" t="e">
        <f aca="false">IF(AE298=1,(AA298-J$1030)^2,0)</f>
        <v>#N/A</v>
      </c>
    </row>
    <row r="299" customFormat="false" ht="12" hidden="false" customHeight="false" outlineLevel="0" collapsed="false">
      <c r="A299" s="29" t="n">
        <v>282</v>
      </c>
      <c r="B299" s="45" t="n">
        <f aca="true">IF(RAND()&lt;$D$8,1,0)</f>
        <v>1</v>
      </c>
      <c r="C299" s="34" t="n">
        <f aca="true">-LN(RAND())/$D$2</f>
        <v>0.852689606643757</v>
      </c>
      <c r="D299" s="46" t="n">
        <f aca="false">D298+C299</f>
        <v>438.796321908401</v>
      </c>
      <c r="E299" s="47" t="e">
        <f aca="false">MAX($D$3,(1+P298-VLOOKUP(VALUE(D299),$J$18:$Q298,7,TRUE()))*$D$3)</f>
        <v>#N/A</v>
      </c>
      <c r="F299" s="47" t="e">
        <f aca="false">MAX($D$4,(1+Q298-VLOOKUP(VALUE(D299),$M$18:$Q298,5,TRUE()))*$D$4)</f>
        <v>#N/A</v>
      </c>
      <c r="G299" s="48" t="n">
        <v>0.5</v>
      </c>
      <c r="H299" s="46" t="e">
        <f aca="true">IF((B299=1),(IF((F299&lt;E299),1,(IF((F299=E299),(IF(RAND()&lt;G299,1,0)),0)))),(IF((RAND()&lt;G299),1,0)))</f>
        <v>#N/A</v>
      </c>
      <c r="I299" s="46" t="e">
        <f aca="true">IF((H299=1),0,$D$3+$D$5*(RAND()-0.5))</f>
        <v>#N/A</v>
      </c>
      <c r="J299" s="46" t="e">
        <f aca="false">I299+MAX(D299,J298)</f>
        <v>#N/A</v>
      </c>
      <c r="K299" s="46" t="e">
        <f aca="false">IF((H299=0),J299-D299,0)</f>
        <v>#N/A</v>
      </c>
      <c r="L299" s="46" t="e">
        <f aca="true">IF(($H299=0),0,$D$4+$D$5*(RAND()-0.5))</f>
        <v>#N/A</v>
      </c>
      <c r="M299" s="46" t="e">
        <f aca="false">L299+MAX(D299,M298)</f>
        <v>#N/A</v>
      </c>
      <c r="N299" s="46" t="e">
        <f aca="false">IF((H299=1),M299-D299,0)</f>
        <v>#N/A</v>
      </c>
      <c r="O299" s="29" t="n">
        <v>282</v>
      </c>
      <c r="P299" s="49" t="e">
        <f aca="false">IF((Arterial=0),P298+1,P298)</f>
        <v>#N/A</v>
      </c>
      <c r="Q299" s="49" t="e">
        <f aca="false">IF((Arterial=1),Q298+1,Q298)</f>
        <v>#N/A</v>
      </c>
      <c r="R299" s="50" t="n">
        <f aca="false">IF((RESET=1),0,R299+K299)</f>
        <v>0</v>
      </c>
      <c r="S299" s="19" t="n">
        <f aca="false">IF(RESET=1,0,S299+N299)</f>
        <v>0</v>
      </c>
      <c r="T299" s="0" t="n">
        <f aca="false">IF(RESET=1,0,T299+IF(H299=0,1,0))</f>
        <v>0</v>
      </c>
      <c r="U299" s="0" t="n">
        <f aca="false">IF(RESET=1,0,U299+H299)</f>
        <v>0</v>
      </c>
      <c r="V299" s="19" t="n">
        <f aca="false">R299/(T299+0.00001)</f>
        <v>0</v>
      </c>
      <c r="W299" s="19" t="n">
        <f aca="false">S299/(U299+0.0001)</f>
        <v>0</v>
      </c>
      <c r="X299" s="47" t="e">
        <f aca="false">IF(Informed=1,K299,0)</f>
        <v>#N/A</v>
      </c>
      <c r="Y299" s="47" t="n">
        <f aca="false">IF(Informed=0,K299,0)</f>
        <v>0</v>
      </c>
      <c r="Z299" s="47" t="e">
        <f aca="false">IF(Informed=1,N299,0)</f>
        <v>#N/A</v>
      </c>
      <c r="AA299" s="47" t="n">
        <f aca="false">IF(Informed=0,N299,0)</f>
        <v>0</v>
      </c>
      <c r="AB299" s="51" t="e">
        <f aca="false">IF(Arterial=0,IF(Informed=1,1,0),0)</f>
        <v>#N/A</v>
      </c>
      <c r="AC299" s="51" t="e">
        <f aca="false">IF(Arterial=0,IF(Informed=0,1,0),0)</f>
        <v>#N/A</v>
      </c>
      <c r="AD299" s="51" t="e">
        <f aca="false">IF(Arterial=1,IF(Informed=1,1,0),0)</f>
        <v>#N/A</v>
      </c>
      <c r="AE299" s="51" t="e">
        <f aca="false">IF(Arterial=1,IF(Informed=0,1,0),0)</f>
        <v>#N/A</v>
      </c>
      <c r="AF299" s="44" t="e">
        <f aca="false">IF(AB299=1,(X299-G$1030)^2,0)</f>
        <v>#N/A</v>
      </c>
      <c r="AG299" s="44" t="e">
        <f aca="false">IF(AC299=1,(Y299-H$1030)^2,0)</f>
        <v>#N/A</v>
      </c>
      <c r="AH299" s="44" t="e">
        <f aca="false">IF(AD299=1,(Z299-I$1030)^2,0)</f>
        <v>#N/A</v>
      </c>
      <c r="AI299" s="44" t="e">
        <f aca="false">IF(AE299=1,(AA299-J$1030)^2,0)</f>
        <v>#N/A</v>
      </c>
    </row>
    <row r="300" customFormat="false" ht="12" hidden="false" customHeight="false" outlineLevel="0" collapsed="false">
      <c r="A300" s="29" t="n">
        <v>283</v>
      </c>
      <c r="B300" s="45" t="n">
        <f aca="true">IF(RAND()&lt;$D$8,1,0)</f>
        <v>1</v>
      </c>
      <c r="C300" s="34" t="n">
        <f aca="true">-LN(RAND())/$D$2</f>
        <v>0.870874760135772</v>
      </c>
      <c r="D300" s="46" t="n">
        <f aca="false">D299+C300</f>
        <v>439.667196668537</v>
      </c>
      <c r="E300" s="47" t="e">
        <f aca="false">MAX($D$3,(1+P299-VLOOKUP(VALUE(D300),$J$18:$Q299,7,TRUE()))*$D$3)</f>
        <v>#N/A</v>
      </c>
      <c r="F300" s="47" t="e">
        <f aca="false">MAX($D$4,(1+Q299-VLOOKUP(VALUE(D300),$M$18:$Q299,5,TRUE()))*$D$4)</f>
        <v>#N/A</v>
      </c>
      <c r="G300" s="48" t="n">
        <v>0.5</v>
      </c>
      <c r="H300" s="46" t="e">
        <f aca="true">IF((B300=1),(IF((F300&lt;E300),1,(IF((F300=E300),(IF(RAND()&lt;G300,1,0)),0)))),(IF((RAND()&lt;G300),1,0)))</f>
        <v>#N/A</v>
      </c>
      <c r="I300" s="46" t="e">
        <f aca="true">IF((H300=1),0,$D$3+$D$5*(RAND()-0.5))</f>
        <v>#N/A</v>
      </c>
      <c r="J300" s="46" t="e">
        <f aca="false">I300+MAX(D300,J299)</f>
        <v>#N/A</v>
      </c>
      <c r="K300" s="46" t="e">
        <f aca="false">IF((H300=0),J300-D300,0)</f>
        <v>#N/A</v>
      </c>
      <c r="L300" s="46" t="e">
        <f aca="true">IF(($H300=0),0,$D$4+$D$5*(RAND()-0.5))</f>
        <v>#N/A</v>
      </c>
      <c r="M300" s="46" t="e">
        <f aca="false">L300+MAX(D300,M299)</f>
        <v>#N/A</v>
      </c>
      <c r="N300" s="46" t="e">
        <f aca="false">IF((H300=1),M300-D300,0)</f>
        <v>#N/A</v>
      </c>
      <c r="O300" s="29" t="n">
        <v>283</v>
      </c>
      <c r="P300" s="49" t="e">
        <f aca="false">IF((Arterial=0),P299+1,P299)</f>
        <v>#N/A</v>
      </c>
      <c r="Q300" s="49" t="e">
        <f aca="false">IF((Arterial=1),Q299+1,Q299)</f>
        <v>#N/A</v>
      </c>
      <c r="R300" s="50" t="n">
        <f aca="false">IF((RESET=1),0,R300+K300)</f>
        <v>0</v>
      </c>
      <c r="S300" s="19" t="n">
        <f aca="false">IF(RESET=1,0,S300+N300)</f>
        <v>0</v>
      </c>
      <c r="T300" s="0" t="n">
        <f aca="false">IF(RESET=1,0,T300+IF(H300=0,1,0))</f>
        <v>0</v>
      </c>
      <c r="U300" s="0" t="n">
        <f aca="false">IF(RESET=1,0,U300+H300)</f>
        <v>0</v>
      </c>
      <c r="V300" s="19" t="n">
        <f aca="false">R300/(T300+0.00001)</f>
        <v>0</v>
      </c>
      <c r="W300" s="19" t="n">
        <f aca="false">S300/(U300+0.0001)</f>
        <v>0</v>
      </c>
      <c r="X300" s="47" t="e">
        <f aca="false">IF(Informed=1,K300,0)</f>
        <v>#N/A</v>
      </c>
      <c r="Y300" s="47" t="n">
        <f aca="false">IF(Informed=0,K300,0)</f>
        <v>0</v>
      </c>
      <c r="Z300" s="47" t="e">
        <f aca="false">IF(Informed=1,N300,0)</f>
        <v>#N/A</v>
      </c>
      <c r="AA300" s="47" t="n">
        <f aca="false">IF(Informed=0,N300,0)</f>
        <v>0</v>
      </c>
      <c r="AB300" s="51" t="e">
        <f aca="false">IF(Arterial=0,IF(Informed=1,1,0),0)</f>
        <v>#N/A</v>
      </c>
      <c r="AC300" s="51" t="e">
        <f aca="false">IF(Arterial=0,IF(Informed=0,1,0),0)</f>
        <v>#N/A</v>
      </c>
      <c r="AD300" s="51" t="e">
        <f aca="false">IF(Arterial=1,IF(Informed=1,1,0),0)</f>
        <v>#N/A</v>
      </c>
      <c r="AE300" s="51" t="e">
        <f aca="false">IF(Arterial=1,IF(Informed=0,1,0),0)</f>
        <v>#N/A</v>
      </c>
      <c r="AF300" s="44" t="e">
        <f aca="false">IF(AB300=1,(X300-G$1030)^2,0)</f>
        <v>#N/A</v>
      </c>
      <c r="AG300" s="44" t="e">
        <f aca="false">IF(AC300=1,(Y300-H$1030)^2,0)</f>
        <v>#N/A</v>
      </c>
      <c r="AH300" s="44" t="e">
        <f aca="false">IF(AD300=1,(Z300-I$1030)^2,0)</f>
        <v>#N/A</v>
      </c>
      <c r="AI300" s="44" t="e">
        <f aca="false">IF(AE300=1,(AA300-J$1030)^2,0)</f>
        <v>#N/A</v>
      </c>
    </row>
    <row r="301" customFormat="false" ht="12" hidden="false" customHeight="false" outlineLevel="0" collapsed="false">
      <c r="A301" s="29" t="n">
        <v>284</v>
      </c>
      <c r="B301" s="45" t="n">
        <f aca="true">IF(RAND()&lt;$D$8,1,0)</f>
        <v>1</v>
      </c>
      <c r="C301" s="34" t="n">
        <f aca="true">-LN(RAND())/$D$2</f>
        <v>2.27792589195115</v>
      </c>
      <c r="D301" s="46" t="n">
        <f aca="false">D300+C301</f>
        <v>441.945122560488</v>
      </c>
      <c r="E301" s="47" t="e">
        <f aca="false">MAX($D$3,(1+P300-VLOOKUP(VALUE(D301),$J$18:$Q300,7,TRUE()))*$D$3)</f>
        <v>#N/A</v>
      </c>
      <c r="F301" s="47" t="e">
        <f aca="false">MAX($D$4,(1+Q300-VLOOKUP(VALUE(D301),$M$18:$Q300,5,TRUE()))*$D$4)</f>
        <v>#N/A</v>
      </c>
      <c r="G301" s="48" t="n">
        <v>0.5</v>
      </c>
      <c r="H301" s="46" t="e">
        <f aca="true">IF((B301=1),(IF((F301&lt;E301),1,(IF((F301=E301),(IF(RAND()&lt;G301,1,0)),0)))),(IF((RAND()&lt;G301),1,0)))</f>
        <v>#N/A</v>
      </c>
      <c r="I301" s="46" t="e">
        <f aca="true">IF((H301=1),0,$D$3+$D$5*(RAND()-0.5))</f>
        <v>#N/A</v>
      </c>
      <c r="J301" s="46" t="e">
        <f aca="false">I301+MAX(D301,J300)</f>
        <v>#N/A</v>
      </c>
      <c r="K301" s="46" t="e">
        <f aca="false">IF((H301=0),J301-D301,0)</f>
        <v>#N/A</v>
      </c>
      <c r="L301" s="46" t="e">
        <f aca="true">IF(($H301=0),0,$D$4+$D$5*(RAND()-0.5))</f>
        <v>#N/A</v>
      </c>
      <c r="M301" s="46" t="e">
        <f aca="false">L301+MAX(D301,M300)</f>
        <v>#N/A</v>
      </c>
      <c r="N301" s="46" t="e">
        <f aca="false">IF((H301=1),M301-D301,0)</f>
        <v>#N/A</v>
      </c>
      <c r="O301" s="29" t="n">
        <v>284</v>
      </c>
      <c r="P301" s="49" t="e">
        <f aca="false">IF((Arterial=0),P300+1,P300)</f>
        <v>#N/A</v>
      </c>
      <c r="Q301" s="49" t="e">
        <f aca="false">IF((Arterial=1),Q300+1,Q300)</f>
        <v>#N/A</v>
      </c>
      <c r="R301" s="50" t="n">
        <f aca="false">IF((RESET=1),0,R301+K301)</f>
        <v>0</v>
      </c>
      <c r="S301" s="19" t="n">
        <f aca="false">IF(RESET=1,0,S301+N301)</f>
        <v>0</v>
      </c>
      <c r="T301" s="0" t="n">
        <f aca="false">IF(RESET=1,0,T301+IF(H301=0,1,0))</f>
        <v>0</v>
      </c>
      <c r="U301" s="0" t="n">
        <f aca="false">IF(RESET=1,0,U301+H301)</f>
        <v>0</v>
      </c>
      <c r="V301" s="19" t="n">
        <f aca="false">R301/(T301+0.00001)</f>
        <v>0</v>
      </c>
      <c r="W301" s="19" t="n">
        <f aca="false">S301/(U301+0.0001)</f>
        <v>0</v>
      </c>
      <c r="X301" s="47" t="e">
        <f aca="false">IF(Informed=1,K301,0)</f>
        <v>#N/A</v>
      </c>
      <c r="Y301" s="47" t="n">
        <f aca="false">IF(Informed=0,K301,0)</f>
        <v>0</v>
      </c>
      <c r="Z301" s="47" t="e">
        <f aca="false">IF(Informed=1,N301,0)</f>
        <v>#N/A</v>
      </c>
      <c r="AA301" s="47" t="n">
        <f aca="false">IF(Informed=0,N301,0)</f>
        <v>0</v>
      </c>
      <c r="AB301" s="51" t="e">
        <f aca="false">IF(Arterial=0,IF(Informed=1,1,0),0)</f>
        <v>#N/A</v>
      </c>
      <c r="AC301" s="51" t="e">
        <f aca="false">IF(Arterial=0,IF(Informed=0,1,0),0)</f>
        <v>#N/A</v>
      </c>
      <c r="AD301" s="51" t="e">
        <f aca="false">IF(Arterial=1,IF(Informed=1,1,0),0)</f>
        <v>#N/A</v>
      </c>
      <c r="AE301" s="51" t="e">
        <f aca="false">IF(Arterial=1,IF(Informed=0,1,0),0)</f>
        <v>#N/A</v>
      </c>
      <c r="AF301" s="44" t="e">
        <f aca="false">IF(AB301=1,(X301-G$1030)^2,0)</f>
        <v>#N/A</v>
      </c>
      <c r="AG301" s="44" t="e">
        <f aca="false">IF(AC301=1,(Y301-H$1030)^2,0)</f>
        <v>#N/A</v>
      </c>
      <c r="AH301" s="44" t="e">
        <f aca="false">IF(AD301=1,(Z301-I$1030)^2,0)</f>
        <v>#N/A</v>
      </c>
      <c r="AI301" s="44" t="e">
        <f aca="false">IF(AE301=1,(AA301-J$1030)^2,0)</f>
        <v>#N/A</v>
      </c>
    </row>
    <row r="302" customFormat="false" ht="12" hidden="false" customHeight="false" outlineLevel="0" collapsed="false">
      <c r="A302" s="29" t="n">
        <v>285</v>
      </c>
      <c r="B302" s="45" t="n">
        <f aca="true">IF(RAND()&lt;$D$8,1,0)</f>
        <v>1</v>
      </c>
      <c r="C302" s="34" t="n">
        <f aca="true">-LN(RAND())/$D$2</f>
        <v>3.14538378893127</v>
      </c>
      <c r="D302" s="46" t="n">
        <f aca="false">D301+C302</f>
        <v>445.09050634942</v>
      </c>
      <c r="E302" s="47" t="e">
        <f aca="false">MAX($D$3,(1+P301-VLOOKUP(VALUE(D302),$J$18:$Q301,7,TRUE()))*$D$3)</f>
        <v>#N/A</v>
      </c>
      <c r="F302" s="47" t="e">
        <f aca="false">MAX($D$4,(1+Q301-VLOOKUP(VALUE(D302),$M$18:$Q301,5,TRUE()))*$D$4)</f>
        <v>#N/A</v>
      </c>
      <c r="G302" s="48" t="n">
        <v>0.5</v>
      </c>
      <c r="H302" s="46" t="e">
        <f aca="true">IF((B302=1),(IF((F302&lt;E302),1,(IF((F302=E302),(IF(RAND()&lt;G302,1,0)),0)))),(IF((RAND()&lt;G302),1,0)))</f>
        <v>#N/A</v>
      </c>
      <c r="I302" s="46" t="e">
        <f aca="true">IF((H302=1),0,$D$3+$D$5*(RAND()-0.5))</f>
        <v>#N/A</v>
      </c>
      <c r="J302" s="46" t="e">
        <f aca="false">I302+MAX(D302,J301)</f>
        <v>#N/A</v>
      </c>
      <c r="K302" s="46" t="e">
        <f aca="false">IF((H302=0),J302-D302,0)</f>
        <v>#N/A</v>
      </c>
      <c r="L302" s="46" t="e">
        <f aca="true">IF(($H302=0),0,$D$4+$D$5*(RAND()-0.5))</f>
        <v>#N/A</v>
      </c>
      <c r="M302" s="46" t="e">
        <f aca="false">L302+MAX(D302,M301)</f>
        <v>#N/A</v>
      </c>
      <c r="N302" s="46" t="e">
        <f aca="false">IF((H302=1),M302-D302,0)</f>
        <v>#N/A</v>
      </c>
      <c r="O302" s="29" t="n">
        <v>285</v>
      </c>
      <c r="P302" s="49" t="e">
        <f aca="false">IF((Arterial=0),P301+1,P301)</f>
        <v>#N/A</v>
      </c>
      <c r="Q302" s="49" t="e">
        <f aca="false">IF((Arterial=1),Q301+1,Q301)</f>
        <v>#N/A</v>
      </c>
      <c r="R302" s="50" t="n">
        <f aca="false">IF((RESET=1),0,R302+K302)</f>
        <v>0</v>
      </c>
      <c r="S302" s="19" t="n">
        <f aca="false">IF(RESET=1,0,S302+N302)</f>
        <v>0</v>
      </c>
      <c r="T302" s="0" t="n">
        <f aca="false">IF(RESET=1,0,T302+IF(H302=0,1,0))</f>
        <v>0</v>
      </c>
      <c r="U302" s="0" t="n">
        <f aca="false">IF(RESET=1,0,U302+H302)</f>
        <v>0</v>
      </c>
      <c r="V302" s="19" t="n">
        <f aca="false">R302/(T302+0.00001)</f>
        <v>0</v>
      </c>
      <c r="W302" s="19" t="n">
        <f aca="false">S302/(U302+0.0001)</f>
        <v>0</v>
      </c>
      <c r="X302" s="47" t="e">
        <f aca="false">IF(Informed=1,K302,0)</f>
        <v>#N/A</v>
      </c>
      <c r="Y302" s="47" t="n">
        <f aca="false">IF(Informed=0,K302,0)</f>
        <v>0</v>
      </c>
      <c r="Z302" s="47" t="e">
        <f aca="false">IF(Informed=1,N302,0)</f>
        <v>#N/A</v>
      </c>
      <c r="AA302" s="47" t="n">
        <f aca="false">IF(Informed=0,N302,0)</f>
        <v>0</v>
      </c>
      <c r="AB302" s="51" t="e">
        <f aca="false">IF(Arterial=0,IF(Informed=1,1,0),0)</f>
        <v>#N/A</v>
      </c>
      <c r="AC302" s="51" t="e">
        <f aca="false">IF(Arterial=0,IF(Informed=0,1,0),0)</f>
        <v>#N/A</v>
      </c>
      <c r="AD302" s="51" t="e">
        <f aca="false">IF(Arterial=1,IF(Informed=1,1,0),0)</f>
        <v>#N/A</v>
      </c>
      <c r="AE302" s="51" t="e">
        <f aca="false">IF(Arterial=1,IF(Informed=0,1,0),0)</f>
        <v>#N/A</v>
      </c>
      <c r="AF302" s="44" t="e">
        <f aca="false">IF(AB302=1,(X302-G$1030)^2,0)</f>
        <v>#N/A</v>
      </c>
      <c r="AG302" s="44" t="e">
        <f aca="false">IF(AC302=1,(Y302-H$1030)^2,0)</f>
        <v>#N/A</v>
      </c>
      <c r="AH302" s="44" t="e">
        <f aca="false">IF(AD302=1,(Z302-I$1030)^2,0)</f>
        <v>#N/A</v>
      </c>
      <c r="AI302" s="44" t="e">
        <f aca="false">IF(AE302=1,(AA302-J$1030)^2,0)</f>
        <v>#N/A</v>
      </c>
    </row>
    <row r="303" customFormat="false" ht="12" hidden="false" customHeight="false" outlineLevel="0" collapsed="false">
      <c r="A303" s="29" t="n">
        <v>286</v>
      </c>
      <c r="B303" s="45" t="n">
        <f aca="true">IF(RAND()&lt;$D$8,1,0)</f>
        <v>1</v>
      </c>
      <c r="C303" s="34" t="n">
        <f aca="true">-LN(RAND())/$D$2</f>
        <v>4.4261954817856</v>
      </c>
      <c r="D303" s="46" t="n">
        <f aca="false">D302+C303</f>
        <v>449.516701831205</v>
      </c>
      <c r="E303" s="47" t="e">
        <f aca="false">MAX($D$3,(1+P302-VLOOKUP(VALUE(D303),$J$18:$Q302,7,TRUE()))*$D$3)</f>
        <v>#N/A</v>
      </c>
      <c r="F303" s="47" t="e">
        <f aca="false">MAX($D$4,(1+Q302-VLOOKUP(VALUE(D303),$M$18:$Q302,5,TRUE()))*$D$4)</f>
        <v>#N/A</v>
      </c>
      <c r="G303" s="48" t="n">
        <v>0.5</v>
      </c>
      <c r="H303" s="46" t="e">
        <f aca="true">IF((B303=1),(IF((F303&lt;E303),1,(IF((F303=E303),(IF(RAND()&lt;G303,1,0)),0)))),(IF((RAND()&lt;G303),1,0)))</f>
        <v>#N/A</v>
      </c>
      <c r="I303" s="46" t="e">
        <f aca="true">IF((H303=1),0,$D$3+$D$5*(RAND()-0.5))</f>
        <v>#N/A</v>
      </c>
      <c r="J303" s="46" t="e">
        <f aca="false">I303+MAX(D303,J302)</f>
        <v>#N/A</v>
      </c>
      <c r="K303" s="46" t="e">
        <f aca="false">IF((H303=0),J303-D303,0)</f>
        <v>#N/A</v>
      </c>
      <c r="L303" s="46" t="e">
        <f aca="true">IF(($H303=0),0,$D$4+$D$5*(RAND()-0.5))</f>
        <v>#N/A</v>
      </c>
      <c r="M303" s="46" t="e">
        <f aca="false">L303+MAX(D303,M302)</f>
        <v>#N/A</v>
      </c>
      <c r="N303" s="46" t="e">
        <f aca="false">IF((H303=1),M303-D303,0)</f>
        <v>#N/A</v>
      </c>
      <c r="O303" s="29" t="n">
        <v>286</v>
      </c>
      <c r="P303" s="49" t="e">
        <f aca="false">IF((Arterial=0),P302+1,P302)</f>
        <v>#N/A</v>
      </c>
      <c r="Q303" s="49" t="e">
        <f aca="false">IF((Arterial=1),Q302+1,Q302)</f>
        <v>#N/A</v>
      </c>
      <c r="R303" s="50" t="n">
        <f aca="false">IF((RESET=1),0,R303+K303)</f>
        <v>0</v>
      </c>
      <c r="S303" s="19" t="n">
        <f aca="false">IF(RESET=1,0,S303+N303)</f>
        <v>0</v>
      </c>
      <c r="T303" s="0" t="n">
        <f aca="false">IF(RESET=1,0,T303+IF(H303=0,1,0))</f>
        <v>0</v>
      </c>
      <c r="U303" s="0" t="n">
        <f aca="false">IF(RESET=1,0,U303+H303)</f>
        <v>0</v>
      </c>
      <c r="V303" s="19" t="n">
        <f aca="false">R303/(T303+0.00001)</f>
        <v>0</v>
      </c>
      <c r="W303" s="19" t="n">
        <f aca="false">S303/(U303+0.0001)</f>
        <v>0</v>
      </c>
      <c r="X303" s="47" t="e">
        <f aca="false">IF(Informed=1,K303,0)</f>
        <v>#N/A</v>
      </c>
      <c r="Y303" s="47" t="n">
        <f aca="false">IF(Informed=0,K303,0)</f>
        <v>0</v>
      </c>
      <c r="Z303" s="47" t="e">
        <f aca="false">IF(Informed=1,N303,0)</f>
        <v>#N/A</v>
      </c>
      <c r="AA303" s="47" t="n">
        <f aca="false">IF(Informed=0,N303,0)</f>
        <v>0</v>
      </c>
      <c r="AB303" s="51" t="e">
        <f aca="false">IF(Arterial=0,IF(Informed=1,1,0),0)</f>
        <v>#N/A</v>
      </c>
      <c r="AC303" s="51" t="e">
        <f aca="false">IF(Arterial=0,IF(Informed=0,1,0),0)</f>
        <v>#N/A</v>
      </c>
      <c r="AD303" s="51" t="e">
        <f aca="false">IF(Arterial=1,IF(Informed=1,1,0),0)</f>
        <v>#N/A</v>
      </c>
      <c r="AE303" s="51" t="e">
        <f aca="false">IF(Arterial=1,IF(Informed=0,1,0),0)</f>
        <v>#N/A</v>
      </c>
      <c r="AF303" s="44" t="e">
        <f aca="false">IF(AB303=1,(X303-G$1030)^2,0)</f>
        <v>#N/A</v>
      </c>
      <c r="AG303" s="44" t="e">
        <f aca="false">IF(AC303=1,(Y303-H$1030)^2,0)</f>
        <v>#N/A</v>
      </c>
      <c r="AH303" s="44" t="e">
        <f aca="false">IF(AD303=1,(Z303-I$1030)^2,0)</f>
        <v>#N/A</v>
      </c>
      <c r="AI303" s="44" t="e">
        <f aca="false">IF(AE303=1,(AA303-J$1030)^2,0)</f>
        <v>#N/A</v>
      </c>
    </row>
    <row r="304" customFormat="false" ht="12" hidden="false" customHeight="false" outlineLevel="0" collapsed="false">
      <c r="A304" s="29" t="n">
        <v>287</v>
      </c>
      <c r="B304" s="45" t="n">
        <f aca="true">IF(RAND()&lt;$D$8,1,0)</f>
        <v>1</v>
      </c>
      <c r="C304" s="34" t="n">
        <f aca="true">-LN(RAND())/$D$2</f>
        <v>3.64113569855435</v>
      </c>
      <c r="D304" s="46" t="n">
        <f aca="false">D303+C304</f>
        <v>453.15783752976</v>
      </c>
      <c r="E304" s="47" t="e">
        <f aca="false">MAX($D$3,(1+P303-VLOOKUP(VALUE(D304),$J$18:$Q303,7,TRUE()))*$D$3)</f>
        <v>#N/A</v>
      </c>
      <c r="F304" s="47" t="e">
        <f aca="false">MAX($D$4,(1+Q303-VLOOKUP(VALUE(D304),$M$18:$Q303,5,TRUE()))*$D$4)</f>
        <v>#N/A</v>
      </c>
      <c r="G304" s="48" t="n">
        <v>0.5</v>
      </c>
      <c r="H304" s="46" t="e">
        <f aca="true">IF((B304=1),(IF((F304&lt;E304),1,(IF((F304=E304),(IF(RAND()&lt;G304,1,0)),0)))),(IF((RAND()&lt;G304),1,0)))</f>
        <v>#N/A</v>
      </c>
      <c r="I304" s="46" t="e">
        <f aca="true">IF((H304=1),0,$D$3+$D$5*(RAND()-0.5))</f>
        <v>#N/A</v>
      </c>
      <c r="J304" s="46" t="e">
        <f aca="false">I304+MAX(D304,J303)</f>
        <v>#N/A</v>
      </c>
      <c r="K304" s="46" t="e">
        <f aca="false">IF((H304=0),J304-D304,0)</f>
        <v>#N/A</v>
      </c>
      <c r="L304" s="46" t="e">
        <f aca="true">IF(($H304=0),0,$D$4+$D$5*(RAND()-0.5))</f>
        <v>#N/A</v>
      </c>
      <c r="M304" s="46" t="e">
        <f aca="false">L304+MAX(D304,M303)</f>
        <v>#N/A</v>
      </c>
      <c r="N304" s="46" t="e">
        <f aca="false">IF((H304=1),M304-D304,0)</f>
        <v>#N/A</v>
      </c>
      <c r="O304" s="29" t="n">
        <v>287</v>
      </c>
      <c r="P304" s="49" t="e">
        <f aca="false">IF((Arterial=0),P303+1,P303)</f>
        <v>#N/A</v>
      </c>
      <c r="Q304" s="49" t="e">
        <f aca="false">IF((Arterial=1),Q303+1,Q303)</f>
        <v>#N/A</v>
      </c>
      <c r="R304" s="50" t="n">
        <f aca="false">IF((RESET=1),0,R304+K304)</f>
        <v>0</v>
      </c>
      <c r="S304" s="19" t="n">
        <f aca="false">IF(RESET=1,0,S304+N304)</f>
        <v>0</v>
      </c>
      <c r="T304" s="0" t="n">
        <f aca="false">IF(RESET=1,0,T304+IF(H304=0,1,0))</f>
        <v>0</v>
      </c>
      <c r="U304" s="0" t="n">
        <f aca="false">IF(RESET=1,0,U304+H304)</f>
        <v>0</v>
      </c>
      <c r="V304" s="19" t="n">
        <f aca="false">R304/(T304+0.00001)</f>
        <v>0</v>
      </c>
      <c r="W304" s="19" t="n">
        <f aca="false">S304/(U304+0.0001)</f>
        <v>0</v>
      </c>
      <c r="X304" s="47" t="e">
        <f aca="false">IF(Informed=1,K304,0)</f>
        <v>#N/A</v>
      </c>
      <c r="Y304" s="47" t="n">
        <f aca="false">IF(Informed=0,K304,0)</f>
        <v>0</v>
      </c>
      <c r="Z304" s="47" t="e">
        <f aca="false">IF(Informed=1,N304,0)</f>
        <v>#N/A</v>
      </c>
      <c r="AA304" s="47" t="n">
        <f aca="false">IF(Informed=0,N304,0)</f>
        <v>0</v>
      </c>
      <c r="AB304" s="51" t="e">
        <f aca="false">IF(Arterial=0,IF(Informed=1,1,0),0)</f>
        <v>#N/A</v>
      </c>
      <c r="AC304" s="51" t="e">
        <f aca="false">IF(Arterial=0,IF(Informed=0,1,0),0)</f>
        <v>#N/A</v>
      </c>
      <c r="AD304" s="51" t="e">
        <f aca="false">IF(Arterial=1,IF(Informed=1,1,0),0)</f>
        <v>#N/A</v>
      </c>
      <c r="AE304" s="51" t="e">
        <f aca="false">IF(Arterial=1,IF(Informed=0,1,0),0)</f>
        <v>#N/A</v>
      </c>
      <c r="AF304" s="44" t="e">
        <f aca="false">IF(AB304=1,(X304-G$1030)^2,0)</f>
        <v>#N/A</v>
      </c>
      <c r="AG304" s="44" t="e">
        <f aca="false">IF(AC304=1,(Y304-H$1030)^2,0)</f>
        <v>#N/A</v>
      </c>
      <c r="AH304" s="44" t="e">
        <f aca="false">IF(AD304=1,(Z304-I$1030)^2,0)</f>
        <v>#N/A</v>
      </c>
      <c r="AI304" s="44" t="e">
        <f aca="false">IF(AE304=1,(AA304-J$1030)^2,0)</f>
        <v>#N/A</v>
      </c>
    </row>
    <row r="305" customFormat="false" ht="12" hidden="false" customHeight="false" outlineLevel="0" collapsed="false">
      <c r="A305" s="29" t="n">
        <v>288</v>
      </c>
      <c r="B305" s="45" t="n">
        <f aca="true">IF(RAND()&lt;$D$8,1,0)</f>
        <v>1</v>
      </c>
      <c r="C305" s="34" t="n">
        <f aca="true">-LN(RAND())/$D$2</f>
        <v>0.459291296763046</v>
      </c>
      <c r="D305" s="46" t="n">
        <f aca="false">D304+C305</f>
        <v>453.617128826523</v>
      </c>
      <c r="E305" s="47" t="e">
        <f aca="false">MAX($D$3,(1+P304-VLOOKUP(VALUE(D305),$J$18:$Q304,7,TRUE()))*$D$3)</f>
        <v>#N/A</v>
      </c>
      <c r="F305" s="47" t="e">
        <f aca="false">MAX($D$4,(1+Q304-VLOOKUP(VALUE(D305),$M$18:$Q304,5,TRUE()))*$D$4)</f>
        <v>#N/A</v>
      </c>
      <c r="G305" s="48" t="n">
        <v>0.5</v>
      </c>
      <c r="H305" s="46" t="e">
        <f aca="true">IF((B305=1),(IF((F305&lt;E305),1,(IF((F305=E305),(IF(RAND()&lt;G305,1,0)),0)))),(IF((RAND()&lt;G305),1,0)))</f>
        <v>#N/A</v>
      </c>
      <c r="I305" s="46" t="e">
        <f aca="true">IF((H305=1),0,$D$3+$D$5*(RAND()-0.5))</f>
        <v>#N/A</v>
      </c>
      <c r="J305" s="46" t="e">
        <f aca="false">I305+MAX(D305,J304)</f>
        <v>#N/A</v>
      </c>
      <c r="K305" s="46" t="e">
        <f aca="false">IF((H305=0),J305-D305,0)</f>
        <v>#N/A</v>
      </c>
      <c r="L305" s="46" t="e">
        <f aca="true">IF(($H305=0),0,$D$4+$D$5*(RAND()-0.5))</f>
        <v>#N/A</v>
      </c>
      <c r="M305" s="46" t="e">
        <f aca="false">L305+MAX(D305,M304)</f>
        <v>#N/A</v>
      </c>
      <c r="N305" s="46" t="e">
        <f aca="false">IF((H305=1),M305-D305,0)</f>
        <v>#N/A</v>
      </c>
      <c r="O305" s="29" t="n">
        <v>288</v>
      </c>
      <c r="P305" s="49" t="e">
        <f aca="false">IF((Arterial=0),P304+1,P304)</f>
        <v>#N/A</v>
      </c>
      <c r="Q305" s="49" t="e">
        <f aca="false">IF((Arterial=1),Q304+1,Q304)</f>
        <v>#N/A</v>
      </c>
      <c r="R305" s="50" t="n">
        <f aca="false">IF((RESET=1),0,R305+K305)</f>
        <v>0</v>
      </c>
      <c r="S305" s="19" t="n">
        <f aca="false">IF(RESET=1,0,S305+N305)</f>
        <v>0</v>
      </c>
      <c r="T305" s="0" t="n">
        <f aca="false">IF(RESET=1,0,T305+IF(H305=0,1,0))</f>
        <v>0</v>
      </c>
      <c r="U305" s="0" t="n">
        <f aca="false">IF(RESET=1,0,U305+H305)</f>
        <v>0</v>
      </c>
      <c r="V305" s="19" t="n">
        <f aca="false">R305/(T305+0.00001)</f>
        <v>0</v>
      </c>
      <c r="W305" s="19" t="n">
        <f aca="false">S305/(U305+0.0001)</f>
        <v>0</v>
      </c>
      <c r="X305" s="47" t="e">
        <f aca="false">IF(Informed=1,K305,0)</f>
        <v>#N/A</v>
      </c>
      <c r="Y305" s="47" t="n">
        <f aca="false">IF(Informed=0,K305,0)</f>
        <v>0</v>
      </c>
      <c r="Z305" s="47" t="e">
        <f aca="false">IF(Informed=1,N305,0)</f>
        <v>#N/A</v>
      </c>
      <c r="AA305" s="47" t="n">
        <f aca="false">IF(Informed=0,N305,0)</f>
        <v>0</v>
      </c>
      <c r="AB305" s="51" t="e">
        <f aca="false">IF(Arterial=0,IF(Informed=1,1,0),0)</f>
        <v>#N/A</v>
      </c>
      <c r="AC305" s="51" t="e">
        <f aca="false">IF(Arterial=0,IF(Informed=0,1,0),0)</f>
        <v>#N/A</v>
      </c>
      <c r="AD305" s="51" t="e">
        <f aca="false">IF(Arterial=1,IF(Informed=1,1,0),0)</f>
        <v>#N/A</v>
      </c>
      <c r="AE305" s="51" t="e">
        <f aca="false">IF(Arterial=1,IF(Informed=0,1,0),0)</f>
        <v>#N/A</v>
      </c>
      <c r="AF305" s="44" t="e">
        <f aca="false">IF(AB305=1,(X305-G$1030)^2,0)</f>
        <v>#N/A</v>
      </c>
      <c r="AG305" s="44" t="e">
        <f aca="false">IF(AC305=1,(Y305-H$1030)^2,0)</f>
        <v>#N/A</v>
      </c>
      <c r="AH305" s="44" t="e">
        <f aca="false">IF(AD305=1,(Z305-I$1030)^2,0)</f>
        <v>#N/A</v>
      </c>
      <c r="AI305" s="44" t="e">
        <f aca="false">IF(AE305=1,(AA305-J$1030)^2,0)</f>
        <v>#N/A</v>
      </c>
    </row>
    <row r="306" customFormat="false" ht="12" hidden="false" customHeight="false" outlineLevel="0" collapsed="false">
      <c r="A306" s="29" t="n">
        <v>289</v>
      </c>
      <c r="B306" s="45" t="n">
        <f aca="true">IF(RAND()&lt;$D$8,1,0)</f>
        <v>1</v>
      </c>
      <c r="C306" s="34" t="n">
        <f aca="true">-LN(RAND())/$D$2</f>
        <v>1.15335125758906</v>
      </c>
      <c r="D306" s="46" t="n">
        <f aca="false">D305+C306</f>
        <v>454.770480084112</v>
      </c>
      <c r="E306" s="47" t="e">
        <f aca="false">MAX($D$3,(1+P305-VLOOKUP(VALUE(D306),$J$18:$Q305,7,TRUE()))*$D$3)</f>
        <v>#N/A</v>
      </c>
      <c r="F306" s="47" t="e">
        <f aca="false">MAX($D$4,(1+Q305-VLOOKUP(VALUE(D306),$M$18:$Q305,5,TRUE()))*$D$4)</f>
        <v>#N/A</v>
      </c>
      <c r="G306" s="48" t="n">
        <v>0.5</v>
      </c>
      <c r="H306" s="46" t="e">
        <f aca="true">IF((B306=1),(IF((F306&lt;E306),1,(IF((F306=E306),(IF(RAND()&lt;G306,1,0)),0)))),(IF((RAND()&lt;G306),1,0)))</f>
        <v>#N/A</v>
      </c>
      <c r="I306" s="46" t="e">
        <f aca="true">IF((H306=1),0,$D$3+$D$5*(RAND()-0.5))</f>
        <v>#N/A</v>
      </c>
      <c r="J306" s="46" t="e">
        <f aca="false">I306+MAX(D306,J305)</f>
        <v>#N/A</v>
      </c>
      <c r="K306" s="46" t="e">
        <f aca="false">IF((H306=0),J306-D306,0)</f>
        <v>#N/A</v>
      </c>
      <c r="L306" s="46" t="e">
        <f aca="true">IF(($H306=0),0,$D$4+$D$5*(RAND()-0.5))</f>
        <v>#N/A</v>
      </c>
      <c r="M306" s="46" t="e">
        <f aca="false">L306+MAX(D306,M305)</f>
        <v>#N/A</v>
      </c>
      <c r="N306" s="46" t="e">
        <f aca="false">IF((H306=1),M306-D306,0)</f>
        <v>#N/A</v>
      </c>
      <c r="O306" s="29" t="n">
        <v>289</v>
      </c>
      <c r="P306" s="49" t="e">
        <f aca="false">IF((Arterial=0),P305+1,P305)</f>
        <v>#N/A</v>
      </c>
      <c r="Q306" s="49" t="e">
        <f aca="false">IF((Arterial=1),Q305+1,Q305)</f>
        <v>#N/A</v>
      </c>
      <c r="R306" s="50" t="n">
        <f aca="false">IF((RESET=1),0,R306+K306)</f>
        <v>0</v>
      </c>
      <c r="S306" s="19" t="n">
        <f aca="false">IF(RESET=1,0,S306+N306)</f>
        <v>0</v>
      </c>
      <c r="T306" s="0" t="n">
        <f aca="false">IF(RESET=1,0,T306+IF(H306=0,1,0))</f>
        <v>0</v>
      </c>
      <c r="U306" s="0" t="n">
        <f aca="false">IF(RESET=1,0,U306+H306)</f>
        <v>0</v>
      </c>
      <c r="V306" s="19" t="n">
        <f aca="false">R306/(T306+0.00001)</f>
        <v>0</v>
      </c>
      <c r="W306" s="19" t="n">
        <f aca="false">S306/(U306+0.0001)</f>
        <v>0</v>
      </c>
      <c r="X306" s="47" t="e">
        <f aca="false">IF(Informed=1,K306,0)</f>
        <v>#N/A</v>
      </c>
      <c r="Y306" s="47" t="n">
        <f aca="false">IF(Informed=0,K306,0)</f>
        <v>0</v>
      </c>
      <c r="Z306" s="47" t="e">
        <f aca="false">IF(Informed=1,N306,0)</f>
        <v>#N/A</v>
      </c>
      <c r="AA306" s="47" t="n">
        <f aca="false">IF(Informed=0,N306,0)</f>
        <v>0</v>
      </c>
      <c r="AB306" s="51" t="e">
        <f aca="false">IF(Arterial=0,IF(Informed=1,1,0),0)</f>
        <v>#N/A</v>
      </c>
      <c r="AC306" s="51" t="e">
        <f aca="false">IF(Arterial=0,IF(Informed=0,1,0),0)</f>
        <v>#N/A</v>
      </c>
      <c r="AD306" s="51" t="e">
        <f aca="false">IF(Arterial=1,IF(Informed=1,1,0),0)</f>
        <v>#N/A</v>
      </c>
      <c r="AE306" s="51" t="e">
        <f aca="false">IF(Arterial=1,IF(Informed=0,1,0),0)</f>
        <v>#N/A</v>
      </c>
      <c r="AF306" s="44" t="e">
        <f aca="false">IF(AB306=1,(X306-G$1030)^2,0)</f>
        <v>#N/A</v>
      </c>
      <c r="AG306" s="44" t="e">
        <f aca="false">IF(AC306=1,(Y306-H$1030)^2,0)</f>
        <v>#N/A</v>
      </c>
      <c r="AH306" s="44" t="e">
        <f aca="false">IF(AD306=1,(Z306-I$1030)^2,0)</f>
        <v>#N/A</v>
      </c>
      <c r="AI306" s="44" t="e">
        <f aca="false">IF(AE306=1,(AA306-J$1030)^2,0)</f>
        <v>#N/A</v>
      </c>
    </row>
    <row r="307" customFormat="false" ht="12" hidden="false" customHeight="false" outlineLevel="0" collapsed="false">
      <c r="A307" s="29" t="n">
        <v>290</v>
      </c>
      <c r="B307" s="45" t="n">
        <f aca="true">IF(RAND()&lt;$D$8,1,0)</f>
        <v>1</v>
      </c>
      <c r="C307" s="34" t="n">
        <f aca="true">-LN(RAND())/$D$2</f>
        <v>2.16951971140129</v>
      </c>
      <c r="D307" s="46" t="n">
        <f aca="false">D306+C307</f>
        <v>456.939999795513</v>
      </c>
      <c r="E307" s="47" t="e">
        <f aca="false">MAX($D$3,(1+P306-VLOOKUP(VALUE(D307),$J$18:$Q306,7,TRUE()))*$D$3)</f>
        <v>#N/A</v>
      </c>
      <c r="F307" s="47" t="e">
        <f aca="false">MAX($D$4,(1+Q306-VLOOKUP(VALUE(D307),$M$18:$Q306,5,TRUE()))*$D$4)</f>
        <v>#N/A</v>
      </c>
      <c r="G307" s="48" t="n">
        <v>0.5</v>
      </c>
      <c r="H307" s="46" t="e">
        <f aca="true">IF((B307=1),(IF((F307&lt;E307),1,(IF((F307=E307),(IF(RAND()&lt;G307,1,0)),0)))),(IF((RAND()&lt;G307),1,0)))</f>
        <v>#N/A</v>
      </c>
      <c r="I307" s="46" t="e">
        <f aca="true">IF((H307=1),0,$D$3+$D$5*(RAND()-0.5))</f>
        <v>#N/A</v>
      </c>
      <c r="J307" s="46" t="e">
        <f aca="false">I307+MAX(D307,J306)</f>
        <v>#N/A</v>
      </c>
      <c r="K307" s="46" t="e">
        <f aca="false">IF((H307=0),J307-D307,0)</f>
        <v>#N/A</v>
      </c>
      <c r="L307" s="46" t="e">
        <f aca="true">IF(($H307=0),0,$D$4+$D$5*(RAND()-0.5))</f>
        <v>#N/A</v>
      </c>
      <c r="M307" s="46" t="e">
        <f aca="false">L307+MAX(D307,M306)</f>
        <v>#N/A</v>
      </c>
      <c r="N307" s="46" t="e">
        <f aca="false">IF((H307=1),M307-D307,0)</f>
        <v>#N/A</v>
      </c>
      <c r="O307" s="29" t="n">
        <v>290</v>
      </c>
      <c r="P307" s="49" t="e">
        <f aca="false">IF((Arterial=0),P306+1,P306)</f>
        <v>#N/A</v>
      </c>
      <c r="Q307" s="49" t="e">
        <f aca="false">IF((Arterial=1),Q306+1,Q306)</f>
        <v>#N/A</v>
      </c>
      <c r="R307" s="50" t="n">
        <f aca="false">IF((RESET=1),0,R307+K307)</f>
        <v>0</v>
      </c>
      <c r="S307" s="19" t="n">
        <f aca="false">IF(RESET=1,0,S307+N307)</f>
        <v>0</v>
      </c>
      <c r="T307" s="0" t="n">
        <f aca="false">IF(RESET=1,0,T307+IF(H307=0,1,0))</f>
        <v>0</v>
      </c>
      <c r="U307" s="0" t="n">
        <f aca="false">IF(RESET=1,0,U307+H307)</f>
        <v>0</v>
      </c>
      <c r="V307" s="19" t="n">
        <f aca="false">R307/(T307+0.00001)</f>
        <v>0</v>
      </c>
      <c r="W307" s="19" t="n">
        <f aca="false">S307/(U307+0.0001)</f>
        <v>0</v>
      </c>
      <c r="X307" s="47" t="e">
        <f aca="false">IF(Informed=1,K307,0)</f>
        <v>#N/A</v>
      </c>
      <c r="Y307" s="47" t="n">
        <f aca="false">IF(Informed=0,K307,0)</f>
        <v>0</v>
      </c>
      <c r="Z307" s="47" t="e">
        <f aca="false">IF(Informed=1,N307,0)</f>
        <v>#N/A</v>
      </c>
      <c r="AA307" s="47" t="n">
        <f aca="false">IF(Informed=0,N307,0)</f>
        <v>0</v>
      </c>
      <c r="AB307" s="51" t="e">
        <f aca="false">IF(Arterial=0,IF(Informed=1,1,0),0)</f>
        <v>#N/A</v>
      </c>
      <c r="AC307" s="51" t="e">
        <f aca="false">IF(Arterial=0,IF(Informed=0,1,0),0)</f>
        <v>#N/A</v>
      </c>
      <c r="AD307" s="51" t="e">
        <f aca="false">IF(Arterial=1,IF(Informed=1,1,0),0)</f>
        <v>#N/A</v>
      </c>
      <c r="AE307" s="51" t="e">
        <f aca="false">IF(Arterial=1,IF(Informed=0,1,0),0)</f>
        <v>#N/A</v>
      </c>
      <c r="AF307" s="44" t="e">
        <f aca="false">IF(AB307=1,(X307-G$1030)^2,0)</f>
        <v>#N/A</v>
      </c>
      <c r="AG307" s="44" t="e">
        <f aca="false">IF(AC307=1,(Y307-H$1030)^2,0)</f>
        <v>#N/A</v>
      </c>
      <c r="AH307" s="44" t="e">
        <f aca="false">IF(AD307=1,(Z307-I$1030)^2,0)</f>
        <v>#N/A</v>
      </c>
      <c r="AI307" s="44" t="e">
        <f aca="false">IF(AE307=1,(AA307-J$1030)^2,0)</f>
        <v>#N/A</v>
      </c>
    </row>
    <row r="308" customFormat="false" ht="12" hidden="false" customHeight="false" outlineLevel="0" collapsed="false">
      <c r="A308" s="29" t="n">
        <v>291</v>
      </c>
      <c r="B308" s="45" t="n">
        <f aca="true">IF(RAND()&lt;$D$8,1,0)</f>
        <v>1</v>
      </c>
      <c r="C308" s="34" t="n">
        <f aca="true">-LN(RAND())/$D$2</f>
        <v>0.255739675767212</v>
      </c>
      <c r="D308" s="46" t="n">
        <f aca="false">D307+C308</f>
        <v>457.19573947128</v>
      </c>
      <c r="E308" s="47" t="e">
        <f aca="false">MAX($D$3,(1+P307-VLOOKUP(VALUE(D308),$J$18:$Q307,7,TRUE()))*$D$3)</f>
        <v>#N/A</v>
      </c>
      <c r="F308" s="47" t="e">
        <f aca="false">MAX($D$4,(1+Q307-VLOOKUP(VALUE(D308),$M$18:$Q307,5,TRUE()))*$D$4)</f>
        <v>#N/A</v>
      </c>
      <c r="G308" s="48" t="n">
        <v>0.5</v>
      </c>
      <c r="H308" s="46" t="e">
        <f aca="true">IF((B308=1),(IF((F308&lt;E308),1,(IF((F308=E308),(IF(RAND()&lt;G308,1,0)),0)))),(IF((RAND()&lt;G308),1,0)))</f>
        <v>#N/A</v>
      </c>
      <c r="I308" s="46" t="e">
        <f aca="true">IF((H308=1),0,$D$3+$D$5*(RAND()-0.5))</f>
        <v>#N/A</v>
      </c>
      <c r="J308" s="46" t="e">
        <f aca="false">I308+MAX(D308,J307)</f>
        <v>#N/A</v>
      </c>
      <c r="K308" s="46" t="e">
        <f aca="false">IF((H308=0),J308-D308,0)</f>
        <v>#N/A</v>
      </c>
      <c r="L308" s="46" t="e">
        <f aca="true">IF(($H308=0),0,$D$4+$D$5*(RAND()-0.5))</f>
        <v>#N/A</v>
      </c>
      <c r="M308" s="46" t="e">
        <f aca="false">L308+MAX(D308,M307)</f>
        <v>#N/A</v>
      </c>
      <c r="N308" s="46" t="e">
        <f aca="false">IF((H308=1),M308-D308,0)</f>
        <v>#N/A</v>
      </c>
      <c r="O308" s="29" t="n">
        <v>291</v>
      </c>
      <c r="P308" s="49" t="e">
        <f aca="false">IF((Arterial=0),P307+1,P307)</f>
        <v>#N/A</v>
      </c>
      <c r="Q308" s="49" t="e">
        <f aca="false">IF((Arterial=1),Q307+1,Q307)</f>
        <v>#N/A</v>
      </c>
      <c r="R308" s="50" t="n">
        <f aca="false">IF((RESET=1),0,R308+K308)</f>
        <v>0</v>
      </c>
      <c r="S308" s="19" t="n">
        <f aca="false">IF(RESET=1,0,S308+N308)</f>
        <v>0</v>
      </c>
      <c r="T308" s="0" t="n">
        <f aca="false">IF(RESET=1,0,T308+IF(H308=0,1,0))</f>
        <v>0</v>
      </c>
      <c r="U308" s="0" t="n">
        <f aca="false">IF(RESET=1,0,U308+H308)</f>
        <v>0</v>
      </c>
      <c r="V308" s="19" t="n">
        <f aca="false">R308/(T308+0.00001)</f>
        <v>0</v>
      </c>
      <c r="W308" s="19" t="n">
        <f aca="false">S308/(U308+0.0001)</f>
        <v>0</v>
      </c>
      <c r="X308" s="47" t="e">
        <f aca="false">IF(Informed=1,K308,0)</f>
        <v>#N/A</v>
      </c>
      <c r="Y308" s="47" t="n">
        <f aca="false">IF(Informed=0,K308,0)</f>
        <v>0</v>
      </c>
      <c r="Z308" s="47" t="e">
        <f aca="false">IF(Informed=1,N308,0)</f>
        <v>#N/A</v>
      </c>
      <c r="AA308" s="47" t="n">
        <f aca="false">IF(Informed=0,N308,0)</f>
        <v>0</v>
      </c>
      <c r="AB308" s="51" t="e">
        <f aca="false">IF(Arterial=0,IF(Informed=1,1,0),0)</f>
        <v>#N/A</v>
      </c>
      <c r="AC308" s="51" t="e">
        <f aca="false">IF(Arterial=0,IF(Informed=0,1,0),0)</f>
        <v>#N/A</v>
      </c>
      <c r="AD308" s="51" t="e">
        <f aca="false">IF(Arterial=1,IF(Informed=1,1,0),0)</f>
        <v>#N/A</v>
      </c>
      <c r="AE308" s="51" t="e">
        <f aca="false">IF(Arterial=1,IF(Informed=0,1,0),0)</f>
        <v>#N/A</v>
      </c>
      <c r="AF308" s="44" t="e">
        <f aca="false">IF(AB308=1,(X308-G$1030)^2,0)</f>
        <v>#N/A</v>
      </c>
      <c r="AG308" s="44" t="e">
        <f aca="false">IF(AC308=1,(Y308-H$1030)^2,0)</f>
        <v>#N/A</v>
      </c>
      <c r="AH308" s="44" t="e">
        <f aca="false">IF(AD308=1,(Z308-I$1030)^2,0)</f>
        <v>#N/A</v>
      </c>
      <c r="AI308" s="44" t="e">
        <f aca="false">IF(AE308=1,(AA308-J$1030)^2,0)</f>
        <v>#N/A</v>
      </c>
    </row>
    <row r="309" customFormat="false" ht="12" hidden="false" customHeight="false" outlineLevel="0" collapsed="false">
      <c r="A309" s="29" t="n">
        <v>292</v>
      </c>
      <c r="B309" s="45" t="n">
        <f aca="true">IF(RAND()&lt;$D$8,1,0)</f>
        <v>1</v>
      </c>
      <c r="C309" s="34" t="n">
        <f aca="true">-LN(RAND())/$D$2</f>
        <v>0.813106595158897</v>
      </c>
      <c r="D309" s="46" t="n">
        <f aca="false">D308+C309</f>
        <v>458.008846066439</v>
      </c>
      <c r="E309" s="47" t="e">
        <f aca="false">MAX($D$3,(1+P308-VLOOKUP(VALUE(D309),$J$18:$Q308,7,TRUE()))*$D$3)</f>
        <v>#N/A</v>
      </c>
      <c r="F309" s="47" t="e">
        <f aca="false">MAX($D$4,(1+Q308-VLOOKUP(VALUE(D309),$M$18:$Q308,5,TRUE()))*$D$4)</f>
        <v>#N/A</v>
      </c>
      <c r="G309" s="48" t="n">
        <v>0.5</v>
      </c>
      <c r="H309" s="46" t="e">
        <f aca="true">IF((B309=1),(IF((F309&lt;E309),1,(IF((F309=E309),(IF(RAND()&lt;G309,1,0)),0)))),(IF((RAND()&lt;G309),1,0)))</f>
        <v>#N/A</v>
      </c>
      <c r="I309" s="46" t="e">
        <f aca="true">IF((H309=1),0,$D$3+$D$5*(RAND()-0.5))</f>
        <v>#N/A</v>
      </c>
      <c r="J309" s="46" t="e">
        <f aca="false">I309+MAX(D309,J308)</f>
        <v>#N/A</v>
      </c>
      <c r="K309" s="46" t="e">
        <f aca="false">IF((H309=0),J309-D309,0)</f>
        <v>#N/A</v>
      </c>
      <c r="L309" s="46" t="e">
        <f aca="true">IF(($H309=0),0,$D$4+$D$5*(RAND()-0.5))</f>
        <v>#N/A</v>
      </c>
      <c r="M309" s="46" t="e">
        <f aca="false">L309+MAX(D309,M308)</f>
        <v>#N/A</v>
      </c>
      <c r="N309" s="46" t="e">
        <f aca="false">IF((H309=1),M309-D309,0)</f>
        <v>#N/A</v>
      </c>
      <c r="O309" s="29" t="n">
        <v>292</v>
      </c>
      <c r="P309" s="49" t="e">
        <f aca="false">IF((Arterial=0),P308+1,P308)</f>
        <v>#N/A</v>
      </c>
      <c r="Q309" s="49" t="e">
        <f aca="false">IF((Arterial=1),Q308+1,Q308)</f>
        <v>#N/A</v>
      </c>
      <c r="R309" s="50" t="n">
        <f aca="false">IF((RESET=1),0,R309+K309)</f>
        <v>0</v>
      </c>
      <c r="S309" s="19" t="n">
        <f aca="false">IF(RESET=1,0,S309+N309)</f>
        <v>0</v>
      </c>
      <c r="T309" s="0" t="n">
        <f aca="false">IF(RESET=1,0,T309+IF(H309=0,1,0))</f>
        <v>0</v>
      </c>
      <c r="U309" s="0" t="n">
        <f aca="false">IF(RESET=1,0,U309+H309)</f>
        <v>0</v>
      </c>
      <c r="V309" s="19" t="n">
        <f aca="false">R309/(T309+0.00001)</f>
        <v>0</v>
      </c>
      <c r="W309" s="19" t="n">
        <f aca="false">S309/(U309+0.0001)</f>
        <v>0</v>
      </c>
      <c r="X309" s="47" t="e">
        <f aca="false">IF(Informed=1,K309,0)</f>
        <v>#N/A</v>
      </c>
      <c r="Y309" s="47" t="n">
        <f aca="false">IF(Informed=0,K309,0)</f>
        <v>0</v>
      </c>
      <c r="Z309" s="47" t="e">
        <f aca="false">IF(Informed=1,N309,0)</f>
        <v>#N/A</v>
      </c>
      <c r="AA309" s="47" t="n">
        <f aca="false">IF(Informed=0,N309,0)</f>
        <v>0</v>
      </c>
      <c r="AB309" s="51" t="e">
        <f aca="false">IF(Arterial=0,IF(Informed=1,1,0),0)</f>
        <v>#N/A</v>
      </c>
      <c r="AC309" s="51" t="e">
        <f aca="false">IF(Arterial=0,IF(Informed=0,1,0),0)</f>
        <v>#N/A</v>
      </c>
      <c r="AD309" s="51" t="e">
        <f aca="false">IF(Arterial=1,IF(Informed=1,1,0),0)</f>
        <v>#N/A</v>
      </c>
      <c r="AE309" s="51" t="e">
        <f aca="false">IF(Arterial=1,IF(Informed=0,1,0),0)</f>
        <v>#N/A</v>
      </c>
      <c r="AF309" s="44" t="e">
        <f aca="false">IF(AB309=1,(X309-G$1030)^2,0)</f>
        <v>#N/A</v>
      </c>
      <c r="AG309" s="44" t="e">
        <f aca="false">IF(AC309=1,(Y309-H$1030)^2,0)</f>
        <v>#N/A</v>
      </c>
      <c r="AH309" s="44" t="e">
        <f aca="false">IF(AD309=1,(Z309-I$1030)^2,0)</f>
        <v>#N/A</v>
      </c>
      <c r="AI309" s="44" t="e">
        <f aca="false">IF(AE309=1,(AA309-J$1030)^2,0)</f>
        <v>#N/A</v>
      </c>
    </row>
    <row r="310" customFormat="false" ht="12" hidden="false" customHeight="false" outlineLevel="0" collapsed="false">
      <c r="A310" s="29" t="n">
        <v>293</v>
      </c>
      <c r="B310" s="45" t="n">
        <f aca="true">IF(RAND()&lt;$D$8,1,0)</f>
        <v>1</v>
      </c>
      <c r="C310" s="34" t="n">
        <f aca="true">-LN(RAND())/$D$2</f>
        <v>0.445120610013574</v>
      </c>
      <c r="D310" s="46" t="n">
        <f aca="false">D309+C310</f>
        <v>458.453966676453</v>
      </c>
      <c r="E310" s="47" t="e">
        <f aca="false">MAX($D$3,(1+P309-VLOOKUP(VALUE(D310),$J$18:$Q309,7,TRUE()))*$D$3)</f>
        <v>#N/A</v>
      </c>
      <c r="F310" s="47" t="e">
        <f aca="false">MAX($D$4,(1+Q309-VLOOKUP(VALUE(D310),$M$18:$Q309,5,TRUE()))*$D$4)</f>
        <v>#N/A</v>
      </c>
      <c r="G310" s="48" t="n">
        <v>0.5</v>
      </c>
      <c r="H310" s="46" t="e">
        <f aca="true">IF((B310=1),(IF((F310&lt;E310),1,(IF((F310=E310),(IF(RAND()&lt;G310,1,0)),0)))),(IF((RAND()&lt;G310),1,0)))</f>
        <v>#N/A</v>
      </c>
      <c r="I310" s="46" t="e">
        <f aca="true">IF((H310=1),0,$D$3+$D$5*(RAND()-0.5))</f>
        <v>#N/A</v>
      </c>
      <c r="J310" s="46" t="e">
        <f aca="false">I310+MAX(D310,J309)</f>
        <v>#N/A</v>
      </c>
      <c r="K310" s="46" t="e">
        <f aca="false">IF((H310=0),J310-D310,0)</f>
        <v>#N/A</v>
      </c>
      <c r="L310" s="46" t="e">
        <f aca="true">IF(($H310=0),0,$D$4+$D$5*(RAND()-0.5))</f>
        <v>#N/A</v>
      </c>
      <c r="M310" s="46" t="e">
        <f aca="false">L310+MAX(D310,M309)</f>
        <v>#N/A</v>
      </c>
      <c r="N310" s="46" t="e">
        <f aca="false">IF((H310=1),M310-D310,0)</f>
        <v>#N/A</v>
      </c>
      <c r="O310" s="29" t="n">
        <v>293</v>
      </c>
      <c r="P310" s="49" t="e">
        <f aca="false">IF((Arterial=0),P309+1,P309)</f>
        <v>#N/A</v>
      </c>
      <c r="Q310" s="49" t="e">
        <f aca="false">IF((Arterial=1),Q309+1,Q309)</f>
        <v>#N/A</v>
      </c>
      <c r="R310" s="50" t="n">
        <f aca="false">IF((RESET=1),0,R310+K310)</f>
        <v>0</v>
      </c>
      <c r="S310" s="19" t="n">
        <f aca="false">IF(RESET=1,0,S310+N310)</f>
        <v>0</v>
      </c>
      <c r="T310" s="0" t="n">
        <f aca="false">IF(RESET=1,0,T310+IF(H310=0,1,0))</f>
        <v>0</v>
      </c>
      <c r="U310" s="0" t="n">
        <f aca="false">IF(RESET=1,0,U310+H310)</f>
        <v>0</v>
      </c>
      <c r="V310" s="19" t="n">
        <f aca="false">R310/(T310+0.00001)</f>
        <v>0</v>
      </c>
      <c r="W310" s="19" t="n">
        <f aca="false">S310/(U310+0.0001)</f>
        <v>0</v>
      </c>
      <c r="X310" s="47" t="e">
        <f aca="false">IF(Informed=1,K310,0)</f>
        <v>#N/A</v>
      </c>
      <c r="Y310" s="47" t="n">
        <f aca="false">IF(Informed=0,K310,0)</f>
        <v>0</v>
      </c>
      <c r="Z310" s="47" t="e">
        <f aca="false">IF(Informed=1,N310,0)</f>
        <v>#N/A</v>
      </c>
      <c r="AA310" s="47" t="n">
        <f aca="false">IF(Informed=0,N310,0)</f>
        <v>0</v>
      </c>
      <c r="AB310" s="51" t="e">
        <f aca="false">IF(Arterial=0,IF(Informed=1,1,0),0)</f>
        <v>#N/A</v>
      </c>
      <c r="AC310" s="51" t="e">
        <f aca="false">IF(Arterial=0,IF(Informed=0,1,0),0)</f>
        <v>#N/A</v>
      </c>
      <c r="AD310" s="51" t="e">
        <f aca="false">IF(Arterial=1,IF(Informed=1,1,0),0)</f>
        <v>#N/A</v>
      </c>
      <c r="AE310" s="51" t="e">
        <f aca="false">IF(Arterial=1,IF(Informed=0,1,0),0)</f>
        <v>#N/A</v>
      </c>
      <c r="AF310" s="44" t="e">
        <f aca="false">IF(AB310=1,(X310-G$1030)^2,0)</f>
        <v>#N/A</v>
      </c>
      <c r="AG310" s="44" t="e">
        <f aca="false">IF(AC310=1,(Y310-H$1030)^2,0)</f>
        <v>#N/A</v>
      </c>
      <c r="AH310" s="44" t="e">
        <f aca="false">IF(AD310=1,(Z310-I$1030)^2,0)</f>
        <v>#N/A</v>
      </c>
      <c r="AI310" s="44" t="e">
        <f aca="false">IF(AE310=1,(AA310-J$1030)^2,0)</f>
        <v>#N/A</v>
      </c>
    </row>
    <row r="311" customFormat="false" ht="12" hidden="false" customHeight="false" outlineLevel="0" collapsed="false">
      <c r="A311" s="29" t="n">
        <v>294</v>
      </c>
      <c r="B311" s="45" t="n">
        <f aca="true">IF(RAND()&lt;$D$8,1,0)</f>
        <v>1</v>
      </c>
      <c r="C311" s="34" t="n">
        <f aca="true">-LN(RAND())/$D$2</f>
        <v>2.62130618175576</v>
      </c>
      <c r="D311" s="46" t="n">
        <f aca="false">D310+C311</f>
        <v>461.075272858209</v>
      </c>
      <c r="E311" s="47" t="e">
        <f aca="false">MAX($D$3,(1+P310-VLOOKUP(VALUE(D311),$J$18:$Q310,7,TRUE()))*$D$3)</f>
        <v>#N/A</v>
      </c>
      <c r="F311" s="47" t="e">
        <f aca="false">MAX($D$4,(1+Q310-VLOOKUP(VALUE(D311),$M$18:$Q310,5,TRUE()))*$D$4)</f>
        <v>#N/A</v>
      </c>
      <c r="G311" s="48" t="n">
        <v>0.5</v>
      </c>
      <c r="H311" s="46" t="e">
        <f aca="true">IF((B311=1),(IF((F311&lt;E311),1,(IF((F311=E311),(IF(RAND()&lt;G311,1,0)),0)))),(IF((RAND()&lt;G311),1,0)))</f>
        <v>#N/A</v>
      </c>
      <c r="I311" s="46" t="e">
        <f aca="true">IF((H311=1),0,$D$3+$D$5*(RAND()-0.5))</f>
        <v>#N/A</v>
      </c>
      <c r="J311" s="46" t="e">
        <f aca="false">I311+MAX(D311,J310)</f>
        <v>#N/A</v>
      </c>
      <c r="K311" s="46" t="e">
        <f aca="false">IF((H311=0),J311-D311,0)</f>
        <v>#N/A</v>
      </c>
      <c r="L311" s="46" t="e">
        <f aca="true">IF(($H311=0),0,$D$4+$D$5*(RAND()-0.5))</f>
        <v>#N/A</v>
      </c>
      <c r="M311" s="46" t="e">
        <f aca="false">L311+MAX(D311,M310)</f>
        <v>#N/A</v>
      </c>
      <c r="N311" s="46" t="e">
        <f aca="false">IF((H311=1),M311-D311,0)</f>
        <v>#N/A</v>
      </c>
      <c r="O311" s="29" t="n">
        <v>294</v>
      </c>
      <c r="P311" s="49" t="e">
        <f aca="false">IF((Arterial=0),P310+1,P310)</f>
        <v>#N/A</v>
      </c>
      <c r="Q311" s="49" t="e">
        <f aca="false">IF((Arterial=1),Q310+1,Q310)</f>
        <v>#N/A</v>
      </c>
      <c r="R311" s="50" t="n">
        <f aca="false">IF((RESET=1),0,R311+K311)</f>
        <v>0</v>
      </c>
      <c r="S311" s="19" t="n">
        <f aca="false">IF(RESET=1,0,S311+N311)</f>
        <v>0</v>
      </c>
      <c r="T311" s="0" t="n">
        <f aca="false">IF(RESET=1,0,T311+IF(H311=0,1,0))</f>
        <v>0</v>
      </c>
      <c r="U311" s="0" t="n">
        <f aca="false">IF(RESET=1,0,U311+H311)</f>
        <v>0</v>
      </c>
      <c r="V311" s="19" t="n">
        <f aca="false">R311/(T311+0.00001)</f>
        <v>0</v>
      </c>
      <c r="W311" s="19" t="n">
        <f aca="false">S311/(U311+0.0001)</f>
        <v>0</v>
      </c>
      <c r="X311" s="47" t="e">
        <f aca="false">IF(Informed=1,K311,0)</f>
        <v>#N/A</v>
      </c>
      <c r="Y311" s="47" t="n">
        <f aca="false">IF(Informed=0,K311,0)</f>
        <v>0</v>
      </c>
      <c r="Z311" s="47" t="e">
        <f aca="false">IF(Informed=1,N311,0)</f>
        <v>#N/A</v>
      </c>
      <c r="AA311" s="47" t="n">
        <f aca="false">IF(Informed=0,N311,0)</f>
        <v>0</v>
      </c>
      <c r="AB311" s="51" t="e">
        <f aca="false">IF(Arterial=0,IF(Informed=1,1,0),0)</f>
        <v>#N/A</v>
      </c>
      <c r="AC311" s="51" t="e">
        <f aca="false">IF(Arterial=0,IF(Informed=0,1,0),0)</f>
        <v>#N/A</v>
      </c>
      <c r="AD311" s="51" t="e">
        <f aca="false">IF(Arterial=1,IF(Informed=1,1,0),0)</f>
        <v>#N/A</v>
      </c>
      <c r="AE311" s="51" t="e">
        <f aca="false">IF(Arterial=1,IF(Informed=0,1,0),0)</f>
        <v>#N/A</v>
      </c>
      <c r="AF311" s="44" t="e">
        <f aca="false">IF(AB311=1,(X311-G$1030)^2,0)</f>
        <v>#N/A</v>
      </c>
      <c r="AG311" s="44" t="e">
        <f aca="false">IF(AC311=1,(Y311-H$1030)^2,0)</f>
        <v>#N/A</v>
      </c>
      <c r="AH311" s="44" t="e">
        <f aca="false">IF(AD311=1,(Z311-I$1030)^2,0)</f>
        <v>#N/A</v>
      </c>
      <c r="AI311" s="44" t="e">
        <f aca="false">IF(AE311=1,(AA311-J$1030)^2,0)</f>
        <v>#N/A</v>
      </c>
    </row>
    <row r="312" customFormat="false" ht="12" hidden="false" customHeight="false" outlineLevel="0" collapsed="false">
      <c r="A312" s="29" t="n">
        <v>295</v>
      </c>
      <c r="B312" s="45" t="n">
        <f aca="true">IF(RAND()&lt;$D$8,1,0)</f>
        <v>1</v>
      </c>
      <c r="C312" s="34" t="n">
        <f aca="true">-LN(RAND())/$D$2</f>
        <v>0.0332331269861378</v>
      </c>
      <c r="D312" s="46" t="n">
        <f aca="false">D311+C312</f>
        <v>461.108505985195</v>
      </c>
      <c r="E312" s="47" t="e">
        <f aca="false">MAX($D$3,(1+P311-VLOOKUP(VALUE(D312),$J$18:$Q311,7,TRUE()))*$D$3)</f>
        <v>#N/A</v>
      </c>
      <c r="F312" s="47" t="e">
        <f aca="false">MAX($D$4,(1+Q311-VLOOKUP(VALUE(D312),$M$18:$Q311,5,TRUE()))*$D$4)</f>
        <v>#N/A</v>
      </c>
      <c r="G312" s="48" t="n">
        <v>0.5</v>
      </c>
      <c r="H312" s="46" t="e">
        <f aca="true">IF((B312=1),(IF((F312&lt;E312),1,(IF((F312=E312),(IF(RAND()&lt;G312,1,0)),0)))),(IF((RAND()&lt;G312),1,0)))</f>
        <v>#N/A</v>
      </c>
      <c r="I312" s="46" t="e">
        <f aca="true">IF((H312=1),0,$D$3+$D$5*(RAND()-0.5))</f>
        <v>#N/A</v>
      </c>
      <c r="J312" s="46" t="e">
        <f aca="false">I312+MAX(D312,J311)</f>
        <v>#N/A</v>
      </c>
      <c r="K312" s="46" t="e">
        <f aca="false">IF((H312=0),J312-D312,0)</f>
        <v>#N/A</v>
      </c>
      <c r="L312" s="46" t="e">
        <f aca="true">IF(($H312=0),0,$D$4+$D$5*(RAND()-0.5))</f>
        <v>#N/A</v>
      </c>
      <c r="M312" s="46" t="e">
        <f aca="false">L312+MAX(D312,M311)</f>
        <v>#N/A</v>
      </c>
      <c r="N312" s="46" t="e">
        <f aca="false">IF((H312=1),M312-D312,0)</f>
        <v>#N/A</v>
      </c>
      <c r="O312" s="29" t="n">
        <v>295</v>
      </c>
      <c r="P312" s="49" t="e">
        <f aca="false">IF((Arterial=0),P311+1,P311)</f>
        <v>#N/A</v>
      </c>
      <c r="Q312" s="49" t="e">
        <f aca="false">IF((Arterial=1),Q311+1,Q311)</f>
        <v>#N/A</v>
      </c>
      <c r="R312" s="50" t="n">
        <f aca="false">IF((RESET=1),0,R312+K312)</f>
        <v>0</v>
      </c>
      <c r="S312" s="19" t="n">
        <f aca="false">IF(RESET=1,0,S312+N312)</f>
        <v>0</v>
      </c>
      <c r="T312" s="0" t="n">
        <f aca="false">IF(RESET=1,0,T312+IF(H312=0,1,0))</f>
        <v>0</v>
      </c>
      <c r="U312" s="0" t="n">
        <f aca="false">IF(RESET=1,0,U312+H312)</f>
        <v>0</v>
      </c>
      <c r="V312" s="19" t="n">
        <f aca="false">R312/(T312+0.00001)</f>
        <v>0</v>
      </c>
      <c r="W312" s="19" t="n">
        <f aca="false">S312/(U312+0.0001)</f>
        <v>0</v>
      </c>
      <c r="X312" s="47" t="e">
        <f aca="false">IF(Informed=1,K312,0)</f>
        <v>#N/A</v>
      </c>
      <c r="Y312" s="47" t="n">
        <f aca="false">IF(Informed=0,K312,0)</f>
        <v>0</v>
      </c>
      <c r="Z312" s="47" t="e">
        <f aca="false">IF(Informed=1,N312,0)</f>
        <v>#N/A</v>
      </c>
      <c r="AA312" s="47" t="n">
        <f aca="false">IF(Informed=0,N312,0)</f>
        <v>0</v>
      </c>
      <c r="AB312" s="51" t="e">
        <f aca="false">IF(Arterial=0,IF(Informed=1,1,0),0)</f>
        <v>#N/A</v>
      </c>
      <c r="AC312" s="51" t="e">
        <f aca="false">IF(Arterial=0,IF(Informed=0,1,0),0)</f>
        <v>#N/A</v>
      </c>
      <c r="AD312" s="51" t="e">
        <f aca="false">IF(Arterial=1,IF(Informed=1,1,0),0)</f>
        <v>#N/A</v>
      </c>
      <c r="AE312" s="51" t="e">
        <f aca="false">IF(Arterial=1,IF(Informed=0,1,0),0)</f>
        <v>#N/A</v>
      </c>
      <c r="AF312" s="44" t="e">
        <f aca="false">IF(AB312=1,(X312-G$1030)^2,0)</f>
        <v>#N/A</v>
      </c>
      <c r="AG312" s="44" t="e">
        <f aca="false">IF(AC312=1,(Y312-H$1030)^2,0)</f>
        <v>#N/A</v>
      </c>
      <c r="AH312" s="44" t="e">
        <f aca="false">IF(AD312=1,(Z312-I$1030)^2,0)</f>
        <v>#N/A</v>
      </c>
      <c r="AI312" s="44" t="e">
        <f aca="false">IF(AE312=1,(AA312-J$1030)^2,0)</f>
        <v>#N/A</v>
      </c>
    </row>
    <row r="313" customFormat="false" ht="12" hidden="false" customHeight="false" outlineLevel="0" collapsed="false">
      <c r="A313" s="29" t="n">
        <v>296</v>
      </c>
      <c r="B313" s="45" t="n">
        <f aca="true">IF(RAND()&lt;$D$8,1,0)</f>
        <v>1</v>
      </c>
      <c r="C313" s="34" t="n">
        <f aca="true">-LN(RAND())/$D$2</f>
        <v>0.440360213161808</v>
      </c>
      <c r="D313" s="46" t="n">
        <f aca="false">D312+C313</f>
        <v>461.548866198356</v>
      </c>
      <c r="E313" s="47" t="e">
        <f aca="false">MAX($D$3,(1+P312-VLOOKUP(VALUE(D313),$J$18:$Q312,7,TRUE()))*$D$3)</f>
        <v>#N/A</v>
      </c>
      <c r="F313" s="47" t="e">
        <f aca="false">MAX($D$4,(1+Q312-VLOOKUP(VALUE(D313),$M$18:$Q312,5,TRUE()))*$D$4)</f>
        <v>#N/A</v>
      </c>
      <c r="G313" s="48" t="n">
        <v>0.5</v>
      </c>
      <c r="H313" s="46" t="e">
        <f aca="true">IF((B313=1),(IF((F313&lt;E313),1,(IF((F313=E313),(IF(RAND()&lt;G313,1,0)),0)))),(IF((RAND()&lt;G313),1,0)))</f>
        <v>#N/A</v>
      </c>
      <c r="I313" s="46" t="e">
        <f aca="true">IF((H313=1),0,$D$3+$D$5*(RAND()-0.5))</f>
        <v>#N/A</v>
      </c>
      <c r="J313" s="46" t="e">
        <f aca="false">I313+MAX(D313,J312)</f>
        <v>#N/A</v>
      </c>
      <c r="K313" s="46" t="e">
        <f aca="false">IF((H313=0),J313-D313,0)</f>
        <v>#N/A</v>
      </c>
      <c r="L313" s="46" t="e">
        <f aca="true">IF(($H313=0),0,$D$4+$D$5*(RAND()-0.5))</f>
        <v>#N/A</v>
      </c>
      <c r="M313" s="46" t="e">
        <f aca="false">L313+MAX(D313,M312)</f>
        <v>#N/A</v>
      </c>
      <c r="N313" s="46" t="e">
        <f aca="false">IF((H313=1),M313-D313,0)</f>
        <v>#N/A</v>
      </c>
      <c r="O313" s="29" t="n">
        <v>296</v>
      </c>
      <c r="P313" s="49" t="e">
        <f aca="false">IF((Arterial=0),P312+1,P312)</f>
        <v>#N/A</v>
      </c>
      <c r="Q313" s="49" t="e">
        <f aca="false">IF((Arterial=1),Q312+1,Q312)</f>
        <v>#N/A</v>
      </c>
      <c r="R313" s="50" t="n">
        <f aca="false">IF((RESET=1),0,R313+K313)</f>
        <v>0</v>
      </c>
      <c r="S313" s="19" t="n">
        <f aca="false">IF(RESET=1,0,S313+N313)</f>
        <v>0</v>
      </c>
      <c r="T313" s="0" t="n">
        <f aca="false">IF(RESET=1,0,T313+IF(H313=0,1,0))</f>
        <v>0</v>
      </c>
      <c r="U313" s="0" t="n">
        <f aca="false">IF(RESET=1,0,U313+H313)</f>
        <v>0</v>
      </c>
      <c r="V313" s="19" t="n">
        <f aca="false">R313/(T313+0.00001)</f>
        <v>0</v>
      </c>
      <c r="W313" s="19" t="n">
        <f aca="false">S313/(U313+0.0001)</f>
        <v>0</v>
      </c>
      <c r="X313" s="47" t="e">
        <f aca="false">IF(Informed=1,K313,0)</f>
        <v>#N/A</v>
      </c>
      <c r="Y313" s="47" t="n">
        <f aca="false">IF(Informed=0,K313,0)</f>
        <v>0</v>
      </c>
      <c r="Z313" s="47" t="e">
        <f aca="false">IF(Informed=1,N313,0)</f>
        <v>#N/A</v>
      </c>
      <c r="AA313" s="47" t="n">
        <f aca="false">IF(Informed=0,N313,0)</f>
        <v>0</v>
      </c>
      <c r="AB313" s="51" t="e">
        <f aca="false">IF(Arterial=0,IF(Informed=1,1,0),0)</f>
        <v>#N/A</v>
      </c>
      <c r="AC313" s="51" t="e">
        <f aca="false">IF(Arterial=0,IF(Informed=0,1,0),0)</f>
        <v>#N/A</v>
      </c>
      <c r="AD313" s="51" t="e">
        <f aca="false">IF(Arterial=1,IF(Informed=1,1,0),0)</f>
        <v>#N/A</v>
      </c>
      <c r="AE313" s="51" t="e">
        <f aca="false">IF(Arterial=1,IF(Informed=0,1,0),0)</f>
        <v>#N/A</v>
      </c>
      <c r="AF313" s="44" t="e">
        <f aca="false">IF(AB313=1,(X313-G$1030)^2,0)</f>
        <v>#N/A</v>
      </c>
      <c r="AG313" s="44" t="e">
        <f aca="false">IF(AC313=1,(Y313-H$1030)^2,0)</f>
        <v>#N/A</v>
      </c>
      <c r="AH313" s="44" t="e">
        <f aca="false">IF(AD313=1,(Z313-I$1030)^2,0)</f>
        <v>#N/A</v>
      </c>
      <c r="AI313" s="44" t="e">
        <f aca="false">IF(AE313=1,(AA313-J$1030)^2,0)</f>
        <v>#N/A</v>
      </c>
    </row>
    <row r="314" customFormat="false" ht="12" hidden="false" customHeight="false" outlineLevel="0" collapsed="false">
      <c r="A314" s="29" t="n">
        <v>297</v>
      </c>
      <c r="B314" s="45" t="n">
        <f aca="true">IF(RAND()&lt;$D$8,1,0)</f>
        <v>1</v>
      </c>
      <c r="C314" s="34" t="n">
        <f aca="true">-LN(RAND())/$D$2</f>
        <v>0.293103906685364</v>
      </c>
      <c r="D314" s="46" t="n">
        <f aca="false">D313+C314</f>
        <v>461.841970105042</v>
      </c>
      <c r="E314" s="47" t="e">
        <f aca="false">MAX($D$3,(1+P313-VLOOKUP(VALUE(D314),$J$18:$Q313,7,TRUE()))*$D$3)</f>
        <v>#N/A</v>
      </c>
      <c r="F314" s="47" t="e">
        <f aca="false">MAX($D$4,(1+Q313-VLOOKUP(VALUE(D314),$M$18:$Q313,5,TRUE()))*$D$4)</f>
        <v>#N/A</v>
      </c>
      <c r="G314" s="48" t="n">
        <v>0.5</v>
      </c>
      <c r="H314" s="46" t="e">
        <f aca="true">IF((B314=1),(IF((F314&lt;E314),1,(IF((F314=E314),(IF(RAND()&lt;G314,1,0)),0)))),(IF((RAND()&lt;G314),1,0)))</f>
        <v>#N/A</v>
      </c>
      <c r="I314" s="46" t="e">
        <f aca="true">IF((H314=1),0,$D$3+$D$5*(RAND()-0.5))</f>
        <v>#N/A</v>
      </c>
      <c r="J314" s="46" t="e">
        <f aca="false">I314+MAX(D314,J313)</f>
        <v>#N/A</v>
      </c>
      <c r="K314" s="46" t="e">
        <f aca="false">IF((H314=0),J314-D314,0)</f>
        <v>#N/A</v>
      </c>
      <c r="L314" s="46" t="e">
        <f aca="true">IF(($H314=0),0,$D$4+$D$5*(RAND()-0.5))</f>
        <v>#N/A</v>
      </c>
      <c r="M314" s="46" t="e">
        <f aca="false">L314+MAX(D314,M313)</f>
        <v>#N/A</v>
      </c>
      <c r="N314" s="46" t="e">
        <f aca="false">IF((H314=1),M314-D314,0)</f>
        <v>#N/A</v>
      </c>
      <c r="O314" s="29" t="n">
        <v>297</v>
      </c>
      <c r="P314" s="49" t="e">
        <f aca="false">IF((Arterial=0),P313+1,P313)</f>
        <v>#N/A</v>
      </c>
      <c r="Q314" s="49" t="e">
        <f aca="false">IF((Arterial=1),Q313+1,Q313)</f>
        <v>#N/A</v>
      </c>
      <c r="R314" s="50" t="n">
        <f aca="false">IF((RESET=1),0,R314+K314)</f>
        <v>0</v>
      </c>
      <c r="S314" s="19" t="n">
        <f aca="false">IF(RESET=1,0,S314+N314)</f>
        <v>0</v>
      </c>
      <c r="T314" s="0" t="n">
        <f aca="false">IF(RESET=1,0,T314+IF(H314=0,1,0))</f>
        <v>0</v>
      </c>
      <c r="U314" s="0" t="n">
        <f aca="false">IF(RESET=1,0,U314+H314)</f>
        <v>0</v>
      </c>
      <c r="V314" s="19" t="n">
        <f aca="false">R314/(T314+0.00001)</f>
        <v>0</v>
      </c>
      <c r="W314" s="19" t="n">
        <f aca="false">S314/(U314+0.0001)</f>
        <v>0</v>
      </c>
      <c r="X314" s="47" t="e">
        <f aca="false">IF(Informed=1,K314,0)</f>
        <v>#N/A</v>
      </c>
      <c r="Y314" s="47" t="n">
        <f aca="false">IF(Informed=0,K314,0)</f>
        <v>0</v>
      </c>
      <c r="Z314" s="47" t="e">
        <f aca="false">IF(Informed=1,N314,0)</f>
        <v>#N/A</v>
      </c>
      <c r="AA314" s="47" t="n">
        <f aca="false">IF(Informed=0,N314,0)</f>
        <v>0</v>
      </c>
      <c r="AB314" s="51" t="e">
        <f aca="false">IF(Arterial=0,IF(Informed=1,1,0),0)</f>
        <v>#N/A</v>
      </c>
      <c r="AC314" s="51" t="e">
        <f aca="false">IF(Arterial=0,IF(Informed=0,1,0),0)</f>
        <v>#N/A</v>
      </c>
      <c r="AD314" s="51" t="e">
        <f aca="false">IF(Arterial=1,IF(Informed=1,1,0),0)</f>
        <v>#N/A</v>
      </c>
      <c r="AE314" s="51" t="e">
        <f aca="false">IF(Arterial=1,IF(Informed=0,1,0),0)</f>
        <v>#N/A</v>
      </c>
      <c r="AF314" s="44" t="e">
        <f aca="false">IF(AB314=1,(X314-G$1030)^2,0)</f>
        <v>#N/A</v>
      </c>
      <c r="AG314" s="44" t="e">
        <f aca="false">IF(AC314=1,(Y314-H$1030)^2,0)</f>
        <v>#N/A</v>
      </c>
      <c r="AH314" s="44" t="e">
        <f aca="false">IF(AD314=1,(Z314-I$1030)^2,0)</f>
        <v>#N/A</v>
      </c>
      <c r="AI314" s="44" t="e">
        <f aca="false">IF(AE314=1,(AA314-J$1030)^2,0)</f>
        <v>#N/A</v>
      </c>
    </row>
    <row r="315" customFormat="false" ht="12" hidden="false" customHeight="false" outlineLevel="0" collapsed="false">
      <c r="A315" s="29" t="n">
        <v>298</v>
      </c>
      <c r="B315" s="45" t="n">
        <f aca="true">IF(RAND()&lt;$D$8,1,0)</f>
        <v>1</v>
      </c>
      <c r="C315" s="34" t="n">
        <f aca="true">-LN(RAND())/$D$2</f>
        <v>0.0119626648588765</v>
      </c>
      <c r="D315" s="46" t="n">
        <f aca="false">D314+C315</f>
        <v>461.853932769901</v>
      </c>
      <c r="E315" s="47" t="e">
        <f aca="false">MAX($D$3,(1+P314-VLOOKUP(VALUE(D315),$J$18:$Q314,7,TRUE()))*$D$3)</f>
        <v>#N/A</v>
      </c>
      <c r="F315" s="47" t="e">
        <f aca="false">MAX($D$4,(1+Q314-VLOOKUP(VALUE(D315),$M$18:$Q314,5,TRUE()))*$D$4)</f>
        <v>#N/A</v>
      </c>
      <c r="G315" s="48" t="n">
        <v>0.5</v>
      </c>
      <c r="H315" s="46" t="e">
        <f aca="true">IF((B315=1),(IF((F315&lt;E315),1,(IF((F315=E315),(IF(RAND()&lt;G315,1,0)),0)))),(IF((RAND()&lt;G315),1,0)))</f>
        <v>#N/A</v>
      </c>
      <c r="I315" s="46" t="e">
        <f aca="true">IF((H315=1),0,$D$3+$D$5*(RAND()-0.5))</f>
        <v>#N/A</v>
      </c>
      <c r="J315" s="46" t="e">
        <f aca="false">I315+MAX(D315,J314)</f>
        <v>#N/A</v>
      </c>
      <c r="K315" s="46" t="e">
        <f aca="false">IF((H315=0),J315-D315,0)</f>
        <v>#N/A</v>
      </c>
      <c r="L315" s="46" t="e">
        <f aca="true">IF(($H315=0),0,$D$4+$D$5*(RAND()-0.5))</f>
        <v>#N/A</v>
      </c>
      <c r="M315" s="46" t="e">
        <f aca="false">L315+MAX(D315,M314)</f>
        <v>#N/A</v>
      </c>
      <c r="N315" s="46" t="e">
        <f aca="false">IF((H315=1),M315-D315,0)</f>
        <v>#N/A</v>
      </c>
      <c r="O315" s="29" t="n">
        <v>298</v>
      </c>
      <c r="P315" s="49" t="e">
        <f aca="false">IF((Arterial=0),P314+1,P314)</f>
        <v>#N/A</v>
      </c>
      <c r="Q315" s="49" t="e">
        <f aca="false">IF((Arterial=1),Q314+1,Q314)</f>
        <v>#N/A</v>
      </c>
      <c r="R315" s="50" t="n">
        <f aca="false">IF((RESET=1),0,R315+K315)</f>
        <v>0</v>
      </c>
      <c r="S315" s="19" t="n">
        <f aca="false">IF(RESET=1,0,S315+N315)</f>
        <v>0</v>
      </c>
      <c r="T315" s="0" t="n">
        <f aca="false">IF(RESET=1,0,T315+IF(H315=0,1,0))</f>
        <v>0</v>
      </c>
      <c r="U315" s="0" t="n">
        <f aca="false">IF(RESET=1,0,U315+H315)</f>
        <v>0</v>
      </c>
      <c r="V315" s="19" t="n">
        <f aca="false">R315/(T315+0.00001)</f>
        <v>0</v>
      </c>
      <c r="W315" s="19" t="n">
        <f aca="false">S315/(U315+0.0001)</f>
        <v>0</v>
      </c>
      <c r="X315" s="47" t="e">
        <f aca="false">IF(Informed=1,K315,0)</f>
        <v>#N/A</v>
      </c>
      <c r="Y315" s="47" t="n">
        <f aca="false">IF(Informed=0,K315,0)</f>
        <v>0</v>
      </c>
      <c r="Z315" s="47" t="e">
        <f aca="false">IF(Informed=1,N315,0)</f>
        <v>#N/A</v>
      </c>
      <c r="AA315" s="47" t="n">
        <f aca="false">IF(Informed=0,N315,0)</f>
        <v>0</v>
      </c>
      <c r="AB315" s="51" t="e">
        <f aca="false">IF(Arterial=0,IF(Informed=1,1,0),0)</f>
        <v>#N/A</v>
      </c>
      <c r="AC315" s="51" t="e">
        <f aca="false">IF(Arterial=0,IF(Informed=0,1,0),0)</f>
        <v>#N/A</v>
      </c>
      <c r="AD315" s="51" t="e">
        <f aca="false">IF(Arterial=1,IF(Informed=1,1,0),0)</f>
        <v>#N/A</v>
      </c>
      <c r="AE315" s="51" t="e">
        <f aca="false">IF(Arterial=1,IF(Informed=0,1,0),0)</f>
        <v>#N/A</v>
      </c>
      <c r="AF315" s="44" t="e">
        <f aca="false">IF(AB315=1,(X315-G$1030)^2,0)</f>
        <v>#N/A</v>
      </c>
      <c r="AG315" s="44" t="e">
        <f aca="false">IF(AC315=1,(Y315-H$1030)^2,0)</f>
        <v>#N/A</v>
      </c>
      <c r="AH315" s="44" t="e">
        <f aca="false">IF(AD315=1,(Z315-I$1030)^2,0)</f>
        <v>#N/A</v>
      </c>
      <c r="AI315" s="44" t="e">
        <f aca="false">IF(AE315=1,(AA315-J$1030)^2,0)</f>
        <v>#N/A</v>
      </c>
    </row>
    <row r="316" customFormat="false" ht="12" hidden="false" customHeight="false" outlineLevel="0" collapsed="false">
      <c r="A316" s="29" t="n">
        <v>299</v>
      </c>
      <c r="B316" s="45" t="n">
        <f aca="true">IF(RAND()&lt;$D$8,1,0)</f>
        <v>1</v>
      </c>
      <c r="C316" s="34" t="n">
        <f aca="true">-LN(RAND())/$D$2</f>
        <v>5.31591999747927</v>
      </c>
      <c r="D316" s="46" t="n">
        <f aca="false">D315+C316</f>
        <v>467.16985276738</v>
      </c>
      <c r="E316" s="47" t="e">
        <f aca="false">MAX($D$3,(1+P315-VLOOKUP(VALUE(D316),$J$18:$Q315,7,TRUE()))*$D$3)</f>
        <v>#N/A</v>
      </c>
      <c r="F316" s="47" t="e">
        <f aca="false">MAX($D$4,(1+Q315-VLOOKUP(VALUE(D316),$M$18:$Q315,5,TRUE()))*$D$4)</f>
        <v>#N/A</v>
      </c>
      <c r="G316" s="48" t="n">
        <v>0.5</v>
      </c>
      <c r="H316" s="46" t="e">
        <f aca="true">IF((B316=1),(IF((F316&lt;E316),1,(IF((F316=E316),(IF(RAND()&lt;G316,1,0)),0)))),(IF((RAND()&lt;G316),1,0)))</f>
        <v>#N/A</v>
      </c>
      <c r="I316" s="46" t="e">
        <f aca="true">IF((H316=1),0,$D$3+$D$5*(RAND()-0.5))</f>
        <v>#N/A</v>
      </c>
      <c r="J316" s="46" t="e">
        <f aca="false">I316+MAX(D316,J315)</f>
        <v>#N/A</v>
      </c>
      <c r="K316" s="46" t="e">
        <f aca="false">IF((H316=0),J316-D316,0)</f>
        <v>#N/A</v>
      </c>
      <c r="L316" s="46" t="e">
        <f aca="true">IF(($H316=0),0,$D$4+$D$5*(RAND()-0.5))</f>
        <v>#N/A</v>
      </c>
      <c r="M316" s="46" t="e">
        <f aca="false">L316+MAX(D316,M315)</f>
        <v>#N/A</v>
      </c>
      <c r="N316" s="46" t="e">
        <f aca="false">IF((H316=1),M316-D316,0)</f>
        <v>#N/A</v>
      </c>
      <c r="O316" s="29" t="n">
        <v>299</v>
      </c>
      <c r="P316" s="49" t="e">
        <f aca="false">IF((Arterial=0),P315+1,P315)</f>
        <v>#N/A</v>
      </c>
      <c r="Q316" s="49" t="e">
        <f aca="false">IF((Arterial=1),Q315+1,Q315)</f>
        <v>#N/A</v>
      </c>
      <c r="R316" s="50" t="n">
        <f aca="false">IF((RESET=1),0,R316+K316)</f>
        <v>0</v>
      </c>
      <c r="S316" s="19" t="n">
        <f aca="false">IF(RESET=1,0,S316+N316)</f>
        <v>0</v>
      </c>
      <c r="T316" s="0" t="n">
        <f aca="false">IF(RESET=1,0,T316+IF(H316=0,1,0))</f>
        <v>0</v>
      </c>
      <c r="U316" s="0" t="n">
        <f aca="false">IF(RESET=1,0,U316+H316)</f>
        <v>0</v>
      </c>
      <c r="V316" s="19" t="n">
        <f aca="false">R316/(T316+0.00001)</f>
        <v>0</v>
      </c>
      <c r="W316" s="19" t="n">
        <f aca="false">S316/(U316+0.0001)</f>
        <v>0</v>
      </c>
      <c r="X316" s="47" t="e">
        <f aca="false">IF(Informed=1,K316,0)</f>
        <v>#N/A</v>
      </c>
      <c r="Y316" s="47" t="n">
        <f aca="false">IF(Informed=0,K316,0)</f>
        <v>0</v>
      </c>
      <c r="Z316" s="47" t="e">
        <f aca="false">IF(Informed=1,N316,0)</f>
        <v>#N/A</v>
      </c>
      <c r="AA316" s="47" t="n">
        <f aca="false">IF(Informed=0,N316,0)</f>
        <v>0</v>
      </c>
      <c r="AB316" s="51" t="e">
        <f aca="false">IF(Arterial=0,IF(Informed=1,1,0),0)</f>
        <v>#N/A</v>
      </c>
      <c r="AC316" s="51" t="e">
        <f aca="false">IF(Arterial=0,IF(Informed=0,1,0),0)</f>
        <v>#N/A</v>
      </c>
      <c r="AD316" s="51" t="e">
        <f aca="false">IF(Arterial=1,IF(Informed=1,1,0),0)</f>
        <v>#N/A</v>
      </c>
      <c r="AE316" s="51" t="e">
        <f aca="false">IF(Arterial=1,IF(Informed=0,1,0),0)</f>
        <v>#N/A</v>
      </c>
      <c r="AF316" s="44" t="e">
        <f aca="false">IF(AB316=1,(X316-G$1030)^2,0)</f>
        <v>#N/A</v>
      </c>
      <c r="AG316" s="44" t="e">
        <f aca="false">IF(AC316=1,(Y316-H$1030)^2,0)</f>
        <v>#N/A</v>
      </c>
      <c r="AH316" s="44" t="e">
        <f aca="false">IF(AD316=1,(Z316-I$1030)^2,0)</f>
        <v>#N/A</v>
      </c>
      <c r="AI316" s="44" t="e">
        <f aca="false">IF(AE316=1,(AA316-J$1030)^2,0)</f>
        <v>#N/A</v>
      </c>
    </row>
    <row r="317" customFormat="false" ht="12" hidden="false" customHeight="false" outlineLevel="0" collapsed="false">
      <c r="A317" s="29" t="n">
        <v>300</v>
      </c>
      <c r="B317" s="45" t="n">
        <f aca="true">IF(RAND()&lt;$D$8,1,0)</f>
        <v>1</v>
      </c>
      <c r="C317" s="34" t="n">
        <f aca="true">-LN(RAND())/$D$2</f>
        <v>0.951534233820459</v>
      </c>
      <c r="D317" s="46" t="n">
        <f aca="false">D316+C317</f>
        <v>468.1213870012</v>
      </c>
      <c r="E317" s="47" t="e">
        <f aca="false">MAX($D$3,(1+P316-VLOOKUP(VALUE(D317),$J$18:$Q316,7,TRUE()))*$D$3)</f>
        <v>#N/A</v>
      </c>
      <c r="F317" s="47" t="e">
        <f aca="false">MAX($D$4,(1+Q316-VLOOKUP(VALUE(D317),$M$18:$Q316,5,TRUE()))*$D$4)</f>
        <v>#N/A</v>
      </c>
      <c r="G317" s="48" t="n">
        <v>0.5</v>
      </c>
      <c r="H317" s="46" t="e">
        <f aca="true">IF((B317=1),(IF((F317&lt;E317),1,(IF((F317=E317),(IF(RAND()&lt;G317,1,0)),0)))),(IF((RAND()&lt;G317),1,0)))</f>
        <v>#N/A</v>
      </c>
      <c r="I317" s="46" t="e">
        <f aca="true">IF((H317=1),0,$D$3+$D$5*(RAND()-0.5))</f>
        <v>#N/A</v>
      </c>
      <c r="J317" s="46" t="e">
        <f aca="false">I317+MAX(D317,J316)</f>
        <v>#N/A</v>
      </c>
      <c r="K317" s="46" t="e">
        <f aca="false">IF((H317=0),J317-D317,0)</f>
        <v>#N/A</v>
      </c>
      <c r="L317" s="46" t="e">
        <f aca="true">IF(($H317=0),0,$D$4+$D$5*(RAND()-0.5))</f>
        <v>#N/A</v>
      </c>
      <c r="M317" s="46" t="e">
        <f aca="false">L317+MAX(D317,M316)</f>
        <v>#N/A</v>
      </c>
      <c r="N317" s="46" t="e">
        <f aca="false">IF((H317=1),M317-D317,0)</f>
        <v>#N/A</v>
      </c>
      <c r="O317" s="29" t="n">
        <v>300</v>
      </c>
      <c r="P317" s="49" t="e">
        <f aca="false">IF((Arterial=0),P316+1,P316)</f>
        <v>#N/A</v>
      </c>
      <c r="Q317" s="49" t="e">
        <f aca="false">IF((Arterial=1),Q316+1,Q316)</f>
        <v>#N/A</v>
      </c>
      <c r="R317" s="50" t="n">
        <f aca="false">IF((RESET=1),0,R317+K317)</f>
        <v>0</v>
      </c>
      <c r="S317" s="19" t="n">
        <f aca="false">IF(RESET=1,0,S317+N317)</f>
        <v>0</v>
      </c>
      <c r="T317" s="0" t="n">
        <f aca="false">IF(RESET=1,0,T317+IF(H317=0,1,0))</f>
        <v>0</v>
      </c>
      <c r="U317" s="0" t="n">
        <f aca="false">IF(RESET=1,0,U317+H317)</f>
        <v>0</v>
      </c>
      <c r="V317" s="19" t="n">
        <f aca="false">R317/(T317+0.00001)</f>
        <v>0</v>
      </c>
      <c r="W317" s="19" t="n">
        <f aca="false">S317/(U317+0.0001)</f>
        <v>0</v>
      </c>
      <c r="X317" s="47" t="e">
        <f aca="false">IF(Informed=1,K317,0)</f>
        <v>#N/A</v>
      </c>
      <c r="Y317" s="47" t="n">
        <f aca="false">IF(Informed=0,K317,0)</f>
        <v>0</v>
      </c>
      <c r="Z317" s="47" t="e">
        <f aca="false">IF(Informed=1,N317,0)</f>
        <v>#N/A</v>
      </c>
      <c r="AA317" s="47" t="n">
        <f aca="false">IF(Informed=0,N317,0)</f>
        <v>0</v>
      </c>
      <c r="AB317" s="51" t="e">
        <f aca="false">IF(Arterial=0,IF(Informed=1,1,0),0)</f>
        <v>#N/A</v>
      </c>
      <c r="AC317" s="51" t="e">
        <f aca="false">IF(Arterial=0,IF(Informed=0,1,0),0)</f>
        <v>#N/A</v>
      </c>
      <c r="AD317" s="51" t="e">
        <f aca="false">IF(Arterial=1,IF(Informed=1,1,0),0)</f>
        <v>#N/A</v>
      </c>
      <c r="AE317" s="51" t="e">
        <f aca="false">IF(Arterial=1,IF(Informed=0,1,0),0)</f>
        <v>#N/A</v>
      </c>
      <c r="AF317" s="44" t="e">
        <f aca="false">IF(AB317=1,(X317-G$1030)^2,0)</f>
        <v>#N/A</v>
      </c>
      <c r="AG317" s="44" t="e">
        <f aca="false">IF(AC317=1,(Y317-H$1030)^2,0)</f>
        <v>#N/A</v>
      </c>
      <c r="AH317" s="44" t="e">
        <f aca="false">IF(AD317=1,(Z317-I$1030)^2,0)</f>
        <v>#N/A</v>
      </c>
      <c r="AI317" s="44" t="e">
        <f aca="false">IF(AE317=1,(AA317-J$1030)^2,0)</f>
        <v>#N/A</v>
      </c>
    </row>
    <row r="318" customFormat="false" ht="12" hidden="false" customHeight="false" outlineLevel="0" collapsed="false">
      <c r="A318" s="29" t="n">
        <v>301</v>
      </c>
      <c r="B318" s="45" t="n">
        <f aca="true">IF(RAND()&lt;$D$8,1,0)</f>
        <v>1</v>
      </c>
      <c r="C318" s="34" t="n">
        <f aca="true">-LN(RAND())/$D$2</f>
        <v>5.24988616898901</v>
      </c>
      <c r="D318" s="46" t="n">
        <f aca="false">D317+C318</f>
        <v>473.371273170189</v>
      </c>
      <c r="E318" s="47" t="e">
        <f aca="false">MAX($D$3,(1+P317-VLOOKUP(VALUE(D318),$J$18:$Q317,7,TRUE()))*$D$3)</f>
        <v>#N/A</v>
      </c>
      <c r="F318" s="47" t="e">
        <f aca="false">MAX($D$4,(1+Q317-VLOOKUP(VALUE(D318),$M$18:$Q317,5,TRUE()))*$D$4)</f>
        <v>#N/A</v>
      </c>
      <c r="G318" s="48" t="n">
        <v>0.5</v>
      </c>
      <c r="H318" s="46" t="e">
        <f aca="true">IF((B318=1),(IF((F318&lt;E318),1,(IF((F318=E318),(IF(RAND()&lt;G318,1,0)),0)))),(IF((RAND()&lt;G318),1,0)))</f>
        <v>#N/A</v>
      </c>
      <c r="I318" s="46" t="e">
        <f aca="true">IF((H318=1),0,$D$3+$D$5*(RAND()-0.5))</f>
        <v>#N/A</v>
      </c>
      <c r="J318" s="46" t="e">
        <f aca="false">I318+MAX(D318,J317)</f>
        <v>#N/A</v>
      </c>
      <c r="K318" s="46" t="e">
        <f aca="false">IF((H318=0),J318-D318,0)</f>
        <v>#N/A</v>
      </c>
      <c r="L318" s="46" t="e">
        <f aca="true">IF(($H318=0),0,$D$4+$D$5*(RAND()-0.5))</f>
        <v>#N/A</v>
      </c>
      <c r="M318" s="46" t="e">
        <f aca="false">L318+MAX(D318,M317)</f>
        <v>#N/A</v>
      </c>
      <c r="N318" s="46" t="e">
        <f aca="false">IF((H318=1),M318-D318,0)</f>
        <v>#N/A</v>
      </c>
      <c r="O318" s="29" t="n">
        <v>301</v>
      </c>
      <c r="P318" s="49" t="e">
        <f aca="false">IF((Arterial=0),P317+1,P317)</f>
        <v>#N/A</v>
      </c>
      <c r="Q318" s="49" t="e">
        <f aca="false">IF((Arterial=1),Q317+1,Q317)</f>
        <v>#N/A</v>
      </c>
      <c r="R318" s="50" t="n">
        <f aca="false">IF((RESET=1),0,R318+K318)</f>
        <v>0</v>
      </c>
      <c r="S318" s="19" t="n">
        <f aca="false">IF(RESET=1,0,S318+N318)</f>
        <v>0</v>
      </c>
      <c r="T318" s="0" t="n">
        <f aca="false">IF(RESET=1,0,T318+IF(H318=0,1,0))</f>
        <v>0</v>
      </c>
      <c r="U318" s="0" t="n">
        <f aca="false">IF(RESET=1,0,U318+H318)</f>
        <v>0</v>
      </c>
      <c r="V318" s="19" t="n">
        <f aca="false">R318/(T318+0.00001)</f>
        <v>0</v>
      </c>
      <c r="W318" s="19" t="n">
        <f aca="false">S318/(U318+0.0001)</f>
        <v>0</v>
      </c>
      <c r="X318" s="47" t="e">
        <f aca="false">IF(Informed=1,K318,0)</f>
        <v>#N/A</v>
      </c>
      <c r="Y318" s="47" t="n">
        <f aca="false">IF(Informed=0,K318,0)</f>
        <v>0</v>
      </c>
      <c r="Z318" s="47" t="e">
        <f aca="false">IF(Informed=1,N318,0)</f>
        <v>#N/A</v>
      </c>
      <c r="AA318" s="47" t="n">
        <f aca="false">IF(Informed=0,N318,0)</f>
        <v>0</v>
      </c>
      <c r="AB318" s="51" t="e">
        <f aca="false">IF(Arterial=0,IF(Informed=1,1,0),0)</f>
        <v>#N/A</v>
      </c>
      <c r="AC318" s="51" t="e">
        <f aca="false">IF(Arterial=0,IF(Informed=0,1,0),0)</f>
        <v>#N/A</v>
      </c>
      <c r="AD318" s="51" t="e">
        <f aca="false">IF(Arterial=1,IF(Informed=1,1,0),0)</f>
        <v>#N/A</v>
      </c>
      <c r="AE318" s="51" t="e">
        <f aca="false">IF(Arterial=1,IF(Informed=0,1,0),0)</f>
        <v>#N/A</v>
      </c>
      <c r="AF318" s="44" t="e">
        <f aca="false">IF(AB318=1,(X318-G$1030)^2,0)</f>
        <v>#N/A</v>
      </c>
      <c r="AG318" s="44" t="e">
        <f aca="false">IF(AC318=1,(Y318-H$1030)^2,0)</f>
        <v>#N/A</v>
      </c>
      <c r="AH318" s="44" t="e">
        <f aca="false">IF(AD318=1,(Z318-I$1030)^2,0)</f>
        <v>#N/A</v>
      </c>
      <c r="AI318" s="44" t="e">
        <f aca="false">IF(AE318=1,(AA318-J$1030)^2,0)</f>
        <v>#N/A</v>
      </c>
    </row>
    <row r="319" customFormat="false" ht="12" hidden="false" customHeight="false" outlineLevel="0" collapsed="false">
      <c r="A319" s="29" t="n">
        <v>302</v>
      </c>
      <c r="B319" s="45" t="n">
        <f aca="true">IF(RAND()&lt;$D$8,1,0)</f>
        <v>1</v>
      </c>
      <c r="C319" s="34" t="n">
        <f aca="true">-LN(RAND())/$D$2</f>
        <v>0.464304129238087</v>
      </c>
      <c r="D319" s="46" t="n">
        <f aca="false">D318+C319</f>
        <v>473.835577299428</v>
      </c>
      <c r="E319" s="47" t="e">
        <f aca="false">MAX($D$3,(1+P318-VLOOKUP(VALUE(D319),$J$18:$Q318,7,TRUE()))*$D$3)</f>
        <v>#N/A</v>
      </c>
      <c r="F319" s="47" t="e">
        <f aca="false">MAX($D$4,(1+Q318-VLOOKUP(VALUE(D319),$M$18:$Q318,5,TRUE()))*$D$4)</f>
        <v>#N/A</v>
      </c>
      <c r="G319" s="48" t="n">
        <v>0.5</v>
      </c>
      <c r="H319" s="46" t="e">
        <f aca="true">IF((B319=1),(IF((F319&lt;E319),1,(IF((F319=E319),(IF(RAND()&lt;G319,1,0)),0)))),(IF((RAND()&lt;G319),1,0)))</f>
        <v>#N/A</v>
      </c>
      <c r="I319" s="46" t="e">
        <f aca="true">IF((H319=1),0,$D$3+$D$5*(RAND()-0.5))</f>
        <v>#N/A</v>
      </c>
      <c r="J319" s="46" t="e">
        <f aca="false">I319+MAX(D319,J318)</f>
        <v>#N/A</v>
      </c>
      <c r="K319" s="46" t="e">
        <f aca="false">IF((H319=0),J319-D319,0)</f>
        <v>#N/A</v>
      </c>
      <c r="L319" s="46" t="e">
        <f aca="true">IF(($H319=0),0,$D$4+$D$5*(RAND()-0.5))</f>
        <v>#N/A</v>
      </c>
      <c r="M319" s="46" t="e">
        <f aca="false">L319+MAX(D319,M318)</f>
        <v>#N/A</v>
      </c>
      <c r="N319" s="46" t="e">
        <f aca="false">IF((H319=1),M319-D319,0)</f>
        <v>#N/A</v>
      </c>
      <c r="O319" s="29" t="n">
        <v>302</v>
      </c>
      <c r="P319" s="49" t="e">
        <f aca="false">IF((Arterial=0),P318+1,P318)</f>
        <v>#N/A</v>
      </c>
      <c r="Q319" s="49" t="e">
        <f aca="false">IF((Arterial=1),Q318+1,Q318)</f>
        <v>#N/A</v>
      </c>
      <c r="R319" s="50" t="n">
        <f aca="false">IF((RESET=1),0,R319+K319)</f>
        <v>0</v>
      </c>
      <c r="S319" s="19" t="n">
        <f aca="false">IF(RESET=1,0,S319+N319)</f>
        <v>0</v>
      </c>
      <c r="T319" s="0" t="n">
        <f aca="false">IF(RESET=1,0,T319+IF(H319=0,1,0))</f>
        <v>0</v>
      </c>
      <c r="U319" s="0" t="n">
        <f aca="false">IF(RESET=1,0,U319+H319)</f>
        <v>0</v>
      </c>
      <c r="V319" s="19" t="n">
        <f aca="false">R319/(T319+0.00001)</f>
        <v>0</v>
      </c>
      <c r="W319" s="19" t="n">
        <f aca="false">S319/(U319+0.0001)</f>
        <v>0</v>
      </c>
      <c r="X319" s="47" t="e">
        <f aca="false">IF(Informed=1,K319,0)</f>
        <v>#N/A</v>
      </c>
      <c r="Y319" s="47" t="n">
        <f aca="false">IF(Informed=0,K319,0)</f>
        <v>0</v>
      </c>
      <c r="Z319" s="47" t="e">
        <f aca="false">IF(Informed=1,N319,0)</f>
        <v>#N/A</v>
      </c>
      <c r="AA319" s="47" t="n">
        <f aca="false">IF(Informed=0,N319,0)</f>
        <v>0</v>
      </c>
      <c r="AB319" s="51" t="e">
        <f aca="false">IF(Arterial=0,IF(Informed=1,1,0),0)</f>
        <v>#N/A</v>
      </c>
      <c r="AC319" s="51" t="e">
        <f aca="false">IF(Arterial=0,IF(Informed=0,1,0),0)</f>
        <v>#N/A</v>
      </c>
      <c r="AD319" s="51" t="e">
        <f aca="false">IF(Arterial=1,IF(Informed=1,1,0),0)</f>
        <v>#N/A</v>
      </c>
      <c r="AE319" s="51" t="e">
        <f aca="false">IF(Arterial=1,IF(Informed=0,1,0),0)</f>
        <v>#N/A</v>
      </c>
      <c r="AF319" s="44" t="e">
        <f aca="false">IF(AB319=1,(X319-G$1030)^2,0)</f>
        <v>#N/A</v>
      </c>
      <c r="AG319" s="44" t="e">
        <f aca="false">IF(AC319=1,(Y319-H$1030)^2,0)</f>
        <v>#N/A</v>
      </c>
      <c r="AH319" s="44" t="e">
        <f aca="false">IF(AD319=1,(Z319-I$1030)^2,0)</f>
        <v>#N/A</v>
      </c>
      <c r="AI319" s="44" t="e">
        <f aca="false">IF(AE319=1,(AA319-J$1030)^2,0)</f>
        <v>#N/A</v>
      </c>
    </row>
    <row r="320" customFormat="false" ht="12" hidden="false" customHeight="false" outlineLevel="0" collapsed="false">
      <c r="A320" s="29" t="n">
        <v>303</v>
      </c>
      <c r="B320" s="45" t="n">
        <f aca="true">IF(RAND()&lt;$D$8,1,0)</f>
        <v>1</v>
      </c>
      <c r="C320" s="34" t="n">
        <f aca="true">-LN(RAND())/$D$2</f>
        <v>9.15117627040888</v>
      </c>
      <c r="D320" s="46" t="n">
        <f aca="false">D319+C320</f>
        <v>482.986753569836</v>
      </c>
      <c r="E320" s="47" t="e">
        <f aca="false">MAX($D$3,(1+P319-VLOOKUP(VALUE(D320),$J$18:$Q319,7,TRUE()))*$D$3)</f>
        <v>#N/A</v>
      </c>
      <c r="F320" s="47" t="e">
        <f aca="false">MAX($D$4,(1+Q319-VLOOKUP(VALUE(D320),$M$18:$Q319,5,TRUE()))*$D$4)</f>
        <v>#N/A</v>
      </c>
      <c r="G320" s="48" t="n">
        <v>0.5</v>
      </c>
      <c r="H320" s="46" t="e">
        <f aca="true">IF((B320=1),(IF((F320&lt;E320),1,(IF((F320=E320),(IF(RAND()&lt;G320,1,0)),0)))),(IF((RAND()&lt;G320),1,0)))</f>
        <v>#N/A</v>
      </c>
      <c r="I320" s="46" t="e">
        <f aca="true">IF((H320=1),0,$D$3+$D$5*(RAND()-0.5))</f>
        <v>#N/A</v>
      </c>
      <c r="J320" s="46" t="e">
        <f aca="false">I320+MAX(D320,J319)</f>
        <v>#N/A</v>
      </c>
      <c r="K320" s="46" t="e">
        <f aca="false">IF((H320=0),J320-D320,0)</f>
        <v>#N/A</v>
      </c>
      <c r="L320" s="46" t="e">
        <f aca="true">IF(($H320=0),0,$D$4+$D$5*(RAND()-0.5))</f>
        <v>#N/A</v>
      </c>
      <c r="M320" s="46" t="e">
        <f aca="false">L320+MAX(D320,M319)</f>
        <v>#N/A</v>
      </c>
      <c r="N320" s="46" t="e">
        <f aca="false">IF((H320=1),M320-D320,0)</f>
        <v>#N/A</v>
      </c>
      <c r="O320" s="29" t="n">
        <v>303</v>
      </c>
      <c r="P320" s="49" t="e">
        <f aca="false">IF((Arterial=0),P319+1,P319)</f>
        <v>#N/A</v>
      </c>
      <c r="Q320" s="49" t="e">
        <f aca="false">IF((Arterial=1),Q319+1,Q319)</f>
        <v>#N/A</v>
      </c>
      <c r="R320" s="50" t="n">
        <f aca="false">IF((RESET=1),0,R320+K320)</f>
        <v>0</v>
      </c>
      <c r="S320" s="19" t="n">
        <f aca="false">IF(RESET=1,0,S320+N320)</f>
        <v>0</v>
      </c>
      <c r="T320" s="0" t="n">
        <f aca="false">IF(RESET=1,0,T320+IF(H320=0,1,0))</f>
        <v>0</v>
      </c>
      <c r="U320" s="0" t="n">
        <f aca="false">IF(RESET=1,0,U320+H320)</f>
        <v>0</v>
      </c>
      <c r="V320" s="19" t="n">
        <f aca="false">R320/(T320+0.00001)</f>
        <v>0</v>
      </c>
      <c r="W320" s="19" t="n">
        <f aca="false">S320/(U320+0.0001)</f>
        <v>0</v>
      </c>
      <c r="X320" s="47" t="e">
        <f aca="false">IF(Informed=1,K320,0)</f>
        <v>#N/A</v>
      </c>
      <c r="Y320" s="47" t="n">
        <f aca="false">IF(Informed=0,K320,0)</f>
        <v>0</v>
      </c>
      <c r="Z320" s="47" t="e">
        <f aca="false">IF(Informed=1,N320,0)</f>
        <v>#N/A</v>
      </c>
      <c r="AA320" s="47" t="n">
        <f aca="false">IF(Informed=0,N320,0)</f>
        <v>0</v>
      </c>
      <c r="AB320" s="51" t="e">
        <f aca="false">IF(Arterial=0,IF(Informed=1,1,0),0)</f>
        <v>#N/A</v>
      </c>
      <c r="AC320" s="51" t="e">
        <f aca="false">IF(Arterial=0,IF(Informed=0,1,0),0)</f>
        <v>#N/A</v>
      </c>
      <c r="AD320" s="51" t="e">
        <f aca="false">IF(Arterial=1,IF(Informed=1,1,0),0)</f>
        <v>#N/A</v>
      </c>
      <c r="AE320" s="51" t="e">
        <f aca="false">IF(Arterial=1,IF(Informed=0,1,0),0)</f>
        <v>#N/A</v>
      </c>
      <c r="AF320" s="44" t="e">
        <f aca="false">IF(AB320=1,(X320-G$1030)^2,0)</f>
        <v>#N/A</v>
      </c>
      <c r="AG320" s="44" t="e">
        <f aca="false">IF(AC320=1,(Y320-H$1030)^2,0)</f>
        <v>#N/A</v>
      </c>
      <c r="AH320" s="44" t="e">
        <f aca="false">IF(AD320=1,(Z320-I$1030)^2,0)</f>
        <v>#N/A</v>
      </c>
      <c r="AI320" s="44" t="e">
        <f aca="false">IF(AE320=1,(AA320-J$1030)^2,0)</f>
        <v>#N/A</v>
      </c>
    </row>
    <row r="321" customFormat="false" ht="12" hidden="false" customHeight="false" outlineLevel="0" collapsed="false">
      <c r="A321" s="29" t="n">
        <v>304</v>
      </c>
      <c r="B321" s="45" t="n">
        <f aca="true">IF(RAND()&lt;$D$8,1,0)</f>
        <v>1</v>
      </c>
      <c r="C321" s="34" t="n">
        <f aca="true">-LN(RAND())/$D$2</f>
        <v>4.46384958440404</v>
      </c>
      <c r="D321" s="46" t="n">
        <f aca="false">D320+C321</f>
        <v>487.45060315424</v>
      </c>
      <c r="E321" s="47" t="e">
        <f aca="false">MAX($D$3,(1+P320-VLOOKUP(VALUE(D321),$J$18:$Q320,7,TRUE()))*$D$3)</f>
        <v>#N/A</v>
      </c>
      <c r="F321" s="47" t="e">
        <f aca="false">MAX($D$4,(1+Q320-VLOOKUP(VALUE(D321),$M$18:$Q320,5,TRUE()))*$D$4)</f>
        <v>#N/A</v>
      </c>
      <c r="G321" s="48" t="n">
        <v>0.5</v>
      </c>
      <c r="H321" s="46" t="e">
        <f aca="true">IF((B321=1),(IF((F321&lt;E321),1,(IF((F321=E321),(IF(RAND()&lt;G321,1,0)),0)))),(IF((RAND()&lt;G321),1,0)))</f>
        <v>#N/A</v>
      </c>
      <c r="I321" s="46" t="e">
        <f aca="true">IF((H321=1),0,$D$3+$D$5*(RAND()-0.5))</f>
        <v>#N/A</v>
      </c>
      <c r="J321" s="46" t="e">
        <f aca="false">I321+MAX(D321,J320)</f>
        <v>#N/A</v>
      </c>
      <c r="K321" s="46" t="e">
        <f aca="false">IF((H321=0),J321-D321,0)</f>
        <v>#N/A</v>
      </c>
      <c r="L321" s="46" t="e">
        <f aca="true">IF(($H321=0),0,$D$4+$D$5*(RAND()-0.5))</f>
        <v>#N/A</v>
      </c>
      <c r="M321" s="46" t="e">
        <f aca="false">L321+MAX(D321,M320)</f>
        <v>#N/A</v>
      </c>
      <c r="N321" s="46" t="e">
        <f aca="false">IF((H321=1),M321-D321,0)</f>
        <v>#N/A</v>
      </c>
      <c r="O321" s="29" t="n">
        <v>304</v>
      </c>
      <c r="P321" s="49" t="e">
        <f aca="false">IF((Arterial=0),P320+1,P320)</f>
        <v>#N/A</v>
      </c>
      <c r="Q321" s="49" t="e">
        <f aca="false">IF((Arterial=1),Q320+1,Q320)</f>
        <v>#N/A</v>
      </c>
      <c r="R321" s="50" t="n">
        <f aca="false">IF((RESET=1),0,R321+K321)</f>
        <v>0</v>
      </c>
      <c r="S321" s="19" t="n">
        <f aca="false">IF(RESET=1,0,S321+N321)</f>
        <v>0</v>
      </c>
      <c r="T321" s="0" t="n">
        <f aca="false">IF(RESET=1,0,T321+IF(H321=0,1,0))</f>
        <v>0</v>
      </c>
      <c r="U321" s="0" t="n">
        <f aca="false">IF(RESET=1,0,U321+H321)</f>
        <v>0</v>
      </c>
      <c r="V321" s="19" t="n">
        <f aca="false">R321/(T321+0.00001)</f>
        <v>0</v>
      </c>
      <c r="W321" s="19" t="n">
        <f aca="false">S321/(U321+0.0001)</f>
        <v>0</v>
      </c>
      <c r="X321" s="47" t="e">
        <f aca="false">IF(Informed=1,K321,0)</f>
        <v>#N/A</v>
      </c>
      <c r="Y321" s="47" t="n">
        <f aca="false">IF(Informed=0,K321,0)</f>
        <v>0</v>
      </c>
      <c r="Z321" s="47" t="e">
        <f aca="false">IF(Informed=1,N321,0)</f>
        <v>#N/A</v>
      </c>
      <c r="AA321" s="47" t="n">
        <f aca="false">IF(Informed=0,N321,0)</f>
        <v>0</v>
      </c>
      <c r="AB321" s="51" t="e">
        <f aca="false">IF(Arterial=0,IF(Informed=1,1,0),0)</f>
        <v>#N/A</v>
      </c>
      <c r="AC321" s="51" t="e">
        <f aca="false">IF(Arterial=0,IF(Informed=0,1,0),0)</f>
        <v>#N/A</v>
      </c>
      <c r="AD321" s="51" t="e">
        <f aca="false">IF(Arterial=1,IF(Informed=1,1,0),0)</f>
        <v>#N/A</v>
      </c>
      <c r="AE321" s="51" t="e">
        <f aca="false">IF(Arterial=1,IF(Informed=0,1,0),0)</f>
        <v>#N/A</v>
      </c>
      <c r="AF321" s="44" t="e">
        <f aca="false">IF(AB321=1,(X321-G$1030)^2,0)</f>
        <v>#N/A</v>
      </c>
      <c r="AG321" s="44" t="e">
        <f aca="false">IF(AC321=1,(Y321-H$1030)^2,0)</f>
        <v>#N/A</v>
      </c>
      <c r="AH321" s="44" t="e">
        <f aca="false">IF(AD321=1,(Z321-I$1030)^2,0)</f>
        <v>#N/A</v>
      </c>
      <c r="AI321" s="44" t="e">
        <f aca="false">IF(AE321=1,(AA321-J$1030)^2,0)</f>
        <v>#N/A</v>
      </c>
    </row>
    <row r="322" customFormat="false" ht="12" hidden="false" customHeight="false" outlineLevel="0" collapsed="false">
      <c r="A322" s="29" t="n">
        <v>305</v>
      </c>
      <c r="B322" s="45" t="n">
        <f aca="true">IF(RAND()&lt;$D$8,1,0)</f>
        <v>1</v>
      </c>
      <c r="C322" s="34" t="n">
        <f aca="true">-LN(RAND())/$D$2</f>
        <v>0.0349382089614117</v>
      </c>
      <c r="D322" s="46" t="n">
        <f aca="false">D321+C322</f>
        <v>487.485541363202</v>
      </c>
      <c r="E322" s="47" t="e">
        <f aca="false">MAX($D$3,(1+P321-VLOOKUP(VALUE(D322),$J$18:$Q321,7,TRUE()))*$D$3)</f>
        <v>#N/A</v>
      </c>
      <c r="F322" s="47" t="e">
        <f aca="false">MAX($D$4,(1+Q321-VLOOKUP(VALUE(D322),$M$18:$Q321,5,TRUE()))*$D$4)</f>
        <v>#N/A</v>
      </c>
      <c r="G322" s="48" t="n">
        <v>0.5</v>
      </c>
      <c r="H322" s="46" t="e">
        <f aca="true">IF((B322=1),(IF((F322&lt;E322),1,(IF((F322=E322),(IF(RAND()&lt;G322,1,0)),0)))),(IF((RAND()&lt;G322),1,0)))</f>
        <v>#N/A</v>
      </c>
      <c r="I322" s="46" t="e">
        <f aca="true">IF((H322=1),0,$D$3+$D$5*(RAND()-0.5))</f>
        <v>#N/A</v>
      </c>
      <c r="J322" s="46" t="e">
        <f aca="false">I322+MAX(D322,J321)</f>
        <v>#N/A</v>
      </c>
      <c r="K322" s="46" t="e">
        <f aca="false">IF((H322=0),J322-D322,0)</f>
        <v>#N/A</v>
      </c>
      <c r="L322" s="46" t="e">
        <f aca="true">IF(($H322=0),0,$D$4+$D$5*(RAND()-0.5))</f>
        <v>#N/A</v>
      </c>
      <c r="M322" s="46" t="e">
        <f aca="false">L322+MAX(D322,M321)</f>
        <v>#N/A</v>
      </c>
      <c r="N322" s="46" t="e">
        <f aca="false">IF((H322=1),M322-D322,0)</f>
        <v>#N/A</v>
      </c>
      <c r="O322" s="29" t="n">
        <v>305</v>
      </c>
      <c r="P322" s="49" t="e">
        <f aca="false">IF((Arterial=0),P321+1,P321)</f>
        <v>#N/A</v>
      </c>
      <c r="Q322" s="49" t="e">
        <f aca="false">IF((Arterial=1),Q321+1,Q321)</f>
        <v>#N/A</v>
      </c>
      <c r="R322" s="50" t="n">
        <f aca="false">IF((RESET=1),0,R322+K322)</f>
        <v>0</v>
      </c>
      <c r="S322" s="19" t="n">
        <f aca="false">IF(RESET=1,0,S322+N322)</f>
        <v>0</v>
      </c>
      <c r="T322" s="0" t="n">
        <f aca="false">IF(RESET=1,0,T322+IF(H322=0,1,0))</f>
        <v>0</v>
      </c>
      <c r="U322" s="0" t="n">
        <f aca="false">IF(RESET=1,0,U322+H322)</f>
        <v>0</v>
      </c>
      <c r="V322" s="19" t="n">
        <f aca="false">R322/(T322+0.00001)</f>
        <v>0</v>
      </c>
      <c r="W322" s="19" t="n">
        <f aca="false">S322/(U322+0.0001)</f>
        <v>0</v>
      </c>
      <c r="X322" s="47" t="e">
        <f aca="false">IF(Informed=1,K322,0)</f>
        <v>#N/A</v>
      </c>
      <c r="Y322" s="47" t="n">
        <f aca="false">IF(Informed=0,K322,0)</f>
        <v>0</v>
      </c>
      <c r="Z322" s="47" t="e">
        <f aca="false">IF(Informed=1,N322,0)</f>
        <v>#N/A</v>
      </c>
      <c r="AA322" s="47" t="n">
        <f aca="false">IF(Informed=0,N322,0)</f>
        <v>0</v>
      </c>
      <c r="AB322" s="51" t="e">
        <f aca="false">IF(Arterial=0,IF(Informed=1,1,0),0)</f>
        <v>#N/A</v>
      </c>
      <c r="AC322" s="51" t="e">
        <f aca="false">IF(Arterial=0,IF(Informed=0,1,0),0)</f>
        <v>#N/A</v>
      </c>
      <c r="AD322" s="51" t="e">
        <f aca="false">IF(Arterial=1,IF(Informed=1,1,0),0)</f>
        <v>#N/A</v>
      </c>
      <c r="AE322" s="51" t="e">
        <f aca="false">IF(Arterial=1,IF(Informed=0,1,0),0)</f>
        <v>#N/A</v>
      </c>
      <c r="AF322" s="44" t="e">
        <f aca="false">IF(AB322=1,(X322-G$1030)^2,0)</f>
        <v>#N/A</v>
      </c>
      <c r="AG322" s="44" t="e">
        <f aca="false">IF(AC322=1,(Y322-H$1030)^2,0)</f>
        <v>#N/A</v>
      </c>
      <c r="AH322" s="44" t="e">
        <f aca="false">IF(AD322=1,(Z322-I$1030)^2,0)</f>
        <v>#N/A</v>
      </c>
      <c r="AI322" s="44" t="e">
        <f aca="false">IF(AE322=1,(AA322-J$1030)^2,0)</f>
        <v>#N/A</v>
      </c>
    </row>
    <row r="323" customFormat="false" ht="12" hidden="false" customHeight="false" outlineLevel="0" collapsed="false">
      <c r="A323" s="29" t="n">
        <v>306</v>
      </c>
      <c r="B323" s="45" t="n">
        <f aca="true">IF(RAND()&lt;$D$8,1,0)</f>
        <v>1</v>
      </c>
      <c r="C323" s="34" t="n">
        <f aca="true">-LN(RAND())/$D$2</f>
        <v>0.596117641685648</v>
      </c>
      <c r="D323" s="46" t="n">
        <f aca="false">D322+C323</f>
        <v>488.081659004887</v>
      </c>
      <c r="E323" s="47" t="e">
        <f aca="false">MAX($D$3,(1+P322-VLOOKUP(VALUE(D323),$J$18:$Q322,7,TRUE()))*$D$3)</f>
        <v>#N/A</v>
      </c>
      <c r="F323" s="47" t="e">
        <f aca="false">MAX($D$4,(1+Q322-VLOOKUP(VALUE(D323),$M$18:$Q322,5,TRUE()))*$D$4)</f>
        <v>#N/A</v>
      </c>
      <c r="G323" s="48" t="n">
        <v>0.5</v>
      </c>
      <c r="H323" s="46" t="e">
        <f aca="true">IF((B323=1),(IF((F323&lt;E323),1,(IF((F323=E323),(IF(RAND()&lt;G323,1,0)),0)))),(IF((RAND()&lt;G323),1,0)))</f>
        <v>#N/A</v>
      </c>
      <c r="I323" s="46" t="e">
        <f aca="true">IF((H323=1),0,$D$3+$D$5*(RAND()-0.5))</f>
        <v>#N/A</v>
      </c>
      <c r="J323" s="46" t="e">
        <f aca="false">I323+MAX(D323,J322)</f>
        <v>#N/A</v>
      </c>
      <c r="K323" s="46" t="e">
        <f aca="false">IF((H323=0),J323-D323,0)</f>
        <v>#N/A</v>
      </c>
      <c r="L323" s="46" t="e">
        <f aca="true">IF(($H323=0),0,$D$4+$D$5*(RAND()-0.5))</f>
        <v>#N/A</v>
      </c>
      <c r="M323" s="46" t="e">
        <f aca="false">L323+MAX(D323,M322)</f>
        <v>#N/A</v>
      </c>
      <c r="N323" s="46" t="e">
        <f aca="false">IF((H323=1),M323-D323,0)</f>
        <v>#N/A</v>
      </c>
      <c r="O323" s="29" t="n">
        <v>306</v>
      </c>
      <c r="P323" s="49" t="e">
        <f aca="false">IF((Arterial=0),P322+1,P322)</f>
        <v>#N/A</v>
      </c>
      <c r="Q323" s="49" t="e">
        <f aca="false">IF((Arterial=1),Q322+1,Q322)</f>
        <v>#N/A</v>
      </c>
      <c r="R323" s="50" t="n">
        <f aca="false">IF((RESET=1),0,R323+K323)</f>
        <v>0</v>
      </c>
      <c r="S323" s="19" t="n">
        <f aca="false">IF(RESET=1,0,S323+N323)</f>
        <v>0</v>
      </c>
      <c r="T323" s="0" t="n">
        <f aca="false">IF(RESET=1,0,T323+IF(H323=0,1,0))</f>
        <v>0</v>
      </c>
      <c r="U323" s="0" t="n">
        <f aca="false">IF(RESET=1,0,U323+H323)</f>
        <v>0</v>
      </c>
      <c r="V323" s="19" t="n">
        <f aca="false">R323/(T323+0.00001)</f>
        <v>0</v>
      </c>
      <c r="W323" s="19" t="n">
        <f aca="false">S323/(U323+0.0001)</f>
        <v>0</v>
      </c>
      <c r="X323" s="47" t="e">
        <f aca="false">IF(Informed=1,K323,0)</f>
        <v>#N/A</v>
      </c>
      <c r="Y323" s="47" t="n">
        <f aca="false">IF(Informed=0,K323,0)</f>
        <v>0</v>
      </c>
      <c r="Z323" s="47" t="e">
        <f aca="false">IF(Informed=1,N323,0)</f>
        <v>#N/A</v>
      </c>
      <c r="AA323" s="47" t="n">
        <f aca="false">IF(Informed=0,N323,0)</f>
        <v>0</v>
      </c>
      <c r="AB323" s="51" t="e">
        <f aca="false">IF(Arterial=0,IF(Informed=1,1,0),0)</f>
        <v>#N/A</v>
      </c>
      <c r="AC323" s="51" t="e">
        <f aca="false">IF(Arterial=0,IF(Informed=0,1,0),0)</f>
        <v>#N/A</v>
      </c>
      <c r="AD323" s="51" t="e">
        <f aca="false">IF(Arterial=1,IF(Informed=1,1,0),0)</f>
        <v>#N/A</v>
      </c>
      <c r="AE323" s="51" t="e">
        <f aca="false">IF(Arterial=1,IF(Informed=0,1,0),0)</f>
        <v>#N/A</v>
      </c>
      <c r="AF323" s="44" t="e">
        <f aca="false">IF(AB323=1,(X323-G$1030)^2,0)</f>
        <v>#N/A</v>
      </c>
      <c r="AG323" s="44" t="e">
        <f aca="false">IF(AC323=1,(Y323-H$1030)^2,0)</f>
        <v>#N/A</v>
      </c>
      <c r="AH323" s="44" t="e">
        <f aca="false">IF(AD323=1,(Z323-I$1030)^2,0)</f>
        <v>#N/A</v>
      </c>
      <c r="AI323" s="44" t="e">
        <f aca="false">IF(AE323=1,(AA323-J$1030)^2,0)</f>
        <v>#N/A</v>
      </c>
    </row>
    <row r="324" customFormat="false" ht="12" hidden="false" customHeight="false" outlineLevel="0" collapsed="false">
      <c r="A324" s="29" t="n">
        <v>307</v>
      </c>
      <c r="B324" s="45" t="n">
        <f aca="true">IF(RAND()&lt;$D$8,1,0)</f>
        <v>1</v>
      </c>
      <c r="C324" s="34" t="n">
        <f aca="true">-LN(RAND())/$D$2</f>
        <v>0.308570937288038</v>
      </c>
      <c r="D324" s="46" t="n">
        <f aca="false">D323+C324</f>
        <v>488.390229942176</v>
      </c>
      <c r="E324" s="47" t="e">
        <f aca="false">MAX($D$3,(1+P323-VLOOKUP(VALUE(D324),$J$18:$Q323,7,TRUE()))*$D$3)</f>
        <v>#N/A</v>
      </c>
      <c r="F324" s="47" t="e">
        <f aca="false">MAX($D$4,(1+Q323-VLOOKUP(VALUE(D324),$M$18:$Q323,5,TRUE()))*$D$4)</f>
        <v>#N/A</v>
      </c>
      <c r="G324" s="48" t="n">
        <v>0.5</v>
      </c>
      <c r="H324" s="46" t="e">
        <f aca="true">IF((B324=1),(IF((F324&lt;E324),1,(IF((F324=E324),(IF(RAND()&lt;G324,1,0)),0)))),(IF((RAND()&lt;G324),1,0)))</f>
        <v>#N/A</v>
      </c>
      <c r="I324" s="46" t="e">
        <f aca="true">IF((H324=1),0,$D$3+$D$5*(RAND()-0.5))</f>
        <v>#N/A</v>
      </c>
      <c r="J324" s="46" t="e">
        <f aca="false">I324+MAX(D324,J323)</f>
        <v>#N/A</v>
      </c>
      <c r="K324" s="46" t="e">
        <f aca="false">IF((H324=0),J324-D324,0)</f>
        <v>#N/A</v>
      </c>
      <c r="L324" s="46" t="e">
        <f aca="true">IF(($H324=0),0,$D$4+$D$5*(RAND()-0.5))</f>
        <v>#N/A</v>
      </c>
      <c r="M324" s="46" t="e">
        <f aca="false">L324+MAX(D324,M323)</f>
        <v>#N/A</v>
      </c>
      <c r="N324" s="46" t="e">
        <f aca="false">IF((H324=1),M324-D324,0)</f>
        <v>#N/A</v>
      </c>
      <c r="O324" s="29" t="n">
        <v>307</v>
      </c>
      <c r="P324" s="49" t="e">
        <f aca="false">IF((Arterial=0),P323+1,P323)</f>
        <v>#N/A</v>
      </c>
      <c r="Q324" s="49" t="e">
        <f aca="false">IF((Arterial=1),Q323+1,Q323)</f>
        <v>#N/A</v>
      </c>
      <c r="R324" s="50" t="n">
        <f aca="false">IF((RESET=1),0,R324+K324)</f>
        <v>0</v>
      </c>
      <c r="S324" s="19" t="n">
        <f aca="false">IF(RESET=1,0,S324+N324)</f>
        <v>0</v>
      </c>
      <c r="T324" s="0" t="n">
        <f aca="false">IF(RESET=1,0,T324+IF(H324=0,1,0))</f>
        <v>0</v>
      </c>
      <c r="U324" s="0" t="n">
        <f aca="false">IF(RESET=1,0,U324+H324)</f>
        <v>0</v>
      </c>
      <c r="V324" s="19" t="n">
        <f aca="false">R324/(T324+0.00001)</f>
        <v>0</v>
      </c>
      <c r="W324" s="19" t="n">
        <f aca="false">S324/(U324+0.0001)</f>
        <v>0</v>
      </c>
      <c r="X324" s="47" t="e">
        <f aca="false">IF(Informed=1,K324,0)</f>
        <v>#N/A</v>
      </c>
      <c r="Y324" s="47" t="n">
        <f aca="false">IF(Informed=0,K324,0)</f>
        <v>0</v>
      </c>
      <c r="Z324" s="47" t="e">
        <f aca="false">IF(Informed=1,N324,0)</f>
        <v>#N/A</v>
      </c>
      <c r="AA324" s="47" t="n">
        <f aca="false">IF(Informed=0,N324,0)</f>
        <v>0</v>
      </c>
      <c r="AB324" s="51" t="e">
        <f aca="false">IF(Arterial=0,IF(Informed=1,1,0),0)</f>
        <v>#N/A</v>
      </c>
      <c r="AC324" s="51" t="e">
        <f aca="false">IF(Arterial=0,IF(Informed=0,1,0),0)</f>
        <v>#N/A</v>
      </c>
      <c r="AD324" s="51" t="e">
        <f aca="false">IF(Arterial=1,IF(Informed=1,1,0),0)</f>
        <v>#N/A</v>
      </c>
      <c r="AE324" s="51" t="e">
        <f aca="false">IF(Arterial=1,IF(Informed=0,1,0),0)</f>
        <v>#N/A</v>
      </c>
      <c r="AF324" s="44" t="e">
        <f aca="false">IF(AB324=1,(X324-G$1030)^2,0)</f>
        <v>#N/A</v>
      </c>
      <c r="AG324" s="44" t="e">
        <f aca="false">IF(AC324=1,(Y324-H$1030)^2,0)</f>
        <v>#N/A</v>
      </c>
      <c r="AH324" s="44" t="e">
        <f aca="false">IF(AD324=1,(Z324-I$1030)^2,0)</f>
        <v>#N/A</v>
      </c>
      <c r="AI324" s="44" t="e">
        <f aca="false">IF(AE324=1,(AA324-J$1030)^2,0)</f>
        <v>#N/A</v>
      </c>
    </row>
    <row r="325" customFormat="false" ht="12" hidden="false" customHeight="false" outlineLevel="0" collapsed="false">
      <c r="A325" s="29" t="n">
        <v>308</v>
      </c>
      <c r="B325" s="45" t="n">
        <f aca="true">IF(RAND()&lt;$D$8,1,0)</f>
        <v>1</v>
      </c>
      <c r="C325" s="34" t="n">
        <f aca="true">-LN(RAND())/$D$2</f>
        <v>2.67493603654131</v>
      </c>
      <c r="D325" s="46" t="n">
        <f aca="false">D324+C325</f>
        <v>491.065165978717</v>
      </c>
      <c r="E325" s="47" t="e">
        <f aca="false">MAX($D$3,(1+P324-VLOOKUP(VALUE(D325),$J$18:$Q324,7,TRUE()))*$D$3)</f>
        <v>#N/A</v>
      </c>
      <c r="F325" s="47" t="e">
        <f aca="false">MAX($D$4,(1+Q324-VLOOKUP(VALUE(D325),$M$18:$Q324,5,TRUE()))*$D$4)</f>
        <v>#N/A</v>
      </c>
      <c r="G325" s="48" t="n">
        <v>0.5</v>
      </c>
      <c r="H325" s="46" t="e">
        <f aca="true">IF((B325=1),(IF((F325&lt;E325),1,(IF((F325=E325),(IF(RAND()&lt;G325,1,0)),0)))),(IF((RAND()&lt;G325),1,0)))</f>
        <v>#N/A</v>
      </c>
      <c r="I325" s="46" t="e">
        <f aca="true">IF((H325=1),0,$D$3+$D$5*(RAND()-0.5))</f>
        <v>#N/A</v>
      </c>
      <c r="J325" s="46" t="e">
        <f aca="false">I325+MAX(D325,J324)</f>
        <v>#N/A</v>
      </c>
      <c r="K325" s="46" t="e">
        <f aca="false">IF((H325=0),J325-D325,0)</f>
        <v>#N/A</v>
      </c>
      <c r="L325" s="46" t="e">
        <f aca="true">IF(($H325=0),0,$D$4+$D$5*(RAND()-0.5))</f>
        <v>#N/A</v>
      </c>
      <c r="M325" s="46" t="e">
        <f aca="false">L325+MAX(D325,M324)</f>
        <v>#N/A</v>
      </c>
      <c r="N325" s="46" t="e">
        <f aca="false">IF((H325=1),M325-D325,0)</f>
        <v>#N/A</v>
      </c>
      <c r="O325" s="29" t="n">
        <v>308</v>
      </c>
      <c r="P325" s="49" t="e">
        <f aca="false">IF((Arterial=0),P324+1,P324)</f>
        <v>#N/A</v>
      </c>
      <c r="Q325" s="49" t="e">
        <f aca="false">IF((Arterial=1),Q324+1,Q324)</f>
        <v>#N/A</v>
      </c>
      <c r="R325" s="50" t="n">
        <f aca="false">IF((RESET=1),0,R325+K325)</f>
        <v>0</v>
      </c>
      <c r="S325" s="19" t="n">
        <f aca="false">IF(RESET=1,0,S325+N325)</f>
        <v>0</v>
      </c>
      <c r="T325" s="0" t="n">
        <f aca="false">IF(RESET=1,0,T325+IF(H325=0,1,0))</f>
        <v>0</v>
      </c>
      <c r="U325" s="0" t="n">
        <f aca="false">IF(RESET=1,0,U325+H325)</f>
        <v>0</v>
      </c>
      <c r="V325" s="19" t="n">
        <f aca="false">R325/(T325+0.00001)</f>
        <v>0</v>
      </c>
      <c r="W325" s="19" t="n">
        <f aca="false">S325/(U325+0.0001)</f>
        <v>0</v>
      </c>
      <c r="X325" s="47" t="e">
        <f aca="false">IF(Informed=1,K325,0)</f>
        <v>#N/A</v>
      </c>
      <c r="Y325" s="47" t="n">
        <f aca="false">IF(Informed=0,K325,0)</f>
        <v>0</v>
      </c>
      <c r="Z325" s="47" t="e">
        <f aca="false">IF(Informed=1,N325,0)</f>
        <v>#N/A</v>
      </c>
      <c r="AA325" s="47" t="n">
        <f aca="false">IF(Informed=0,N325,0)</f>
        <v>0</v>
      </c>
      <c r="AB325" s="51" t="e">
        <f aca="false">IF(Arterial=0,IF(Informed=1,1,0),0)</f>
        <v>#N/A</v>
      </c>
      <c r="AC325" s="51" t="e">
        <f aca="false">IF(Arterial=0,IF(Informed=0,1,0),0)</f>
        <v>#N/A</v>
      </c>
      <c r="AD325" s="51" t="e">
        <f aca="false">IF(Arterial=1,IF(Informed=1,1,0),0)</f>
        <v>#N/A</v>
      </c>
      <c r="AE325" s="51" t="e">
        <f aca="false">IF(Arterial=1,IF(Informed=0,1,0),0)</f>
        <v>#N/A</v>
      </c>
      <c r="AF325" s="44" t="e">
        <f aca="false">IF(AB325=1,(X325-G$1030)^2,0)</f>
        <v>#N/A</v>
      </c>
      <c r="AG325" s="44" t="e">
        <f aca="false">IF(AC325=1,(Y325-H$1030)^2,0)</f>
        <v>#N/A</v>
      </c>
      <c r="AH325" s="44" t="e">
        <f aca="false">IF(AD325=1,(Z325-I$1030)^2,0)</f>
        <v>#N/A</v>
      </c>
      <c r="AI325" s="44" t="e">
        <f aca="false">IF(AE325=1,(AA325-J$1030)^2,0)</f>
        <v>#N/A</v>
      </c>
    </row>
    <row r="326" customFormat="false" ht="12" hidden="false" customHeight="false" outlineLevel="0" collapsed="false">
      <c r="A326" s="29" t="n">
        <v>309</v>
      </c>
      <c r="B326" s="45" t="n">
        <f aca="true">IF(RAND()&lt;$D$8,1,0)</f>
        <v>1</v>
      </c>
      <c r="C326" s="34" t="n">
        <f aca="true">-LN(RAND())/$D$2</f>
        <v>0.761804690630251</v>
      </c>
      <c r="D326" s="46" t="n">
        <f aca="false">D325+C326</f>
        <v>491.826970669347</v>
      </c>
      <c r="E326" s="47" t="e">
        <f aca="false">MAX($D$3,(1+P325-VLOOKUP(VALUE(D326),$J$18:$Q325,7,TRUE()))*$D$3)</f>
        <v>#N/A</v>
      </c>
      <c r="F326" s="47" t="e">
        <f aca="false">MAX($D$4,(1+Q325-VLOOKUP(VALUE(D326),$M$18:$Q325,5,TRUE()))*$D$4)</f>
        <v>#N/A</v>
      </c>
      <c r="G326" s="48" t="n">
        <v>0.5</v>
      </c>
      <c r="H326" s="46" t="e">
        <f aca="true">IF((B326=1),(IF((F326&lt;E326),1,(IF((F326=E326),(IF(RAND()&lt;G326,1,0)),0)))),(IF((RAND()&lt;G326),1,0)))</f>
        <v>#N/A</v>
      </c>
      <c r="I326" s="46" t="e">
        <f aca="true">IF((H326=1),0,$D$3+$D$5*(RAND()-0.5))</f>
        <v>#N/A</v>
      </c>
      <c r="J326" s="46" t="e">
        <f aca="false">I326+MAX(D326,J325)</f>
        <v>#N/A</v>
      </c>
      <c r="K326" s="46" t="e">
        <f aca="false">IF((H326=0),J326-D326,0)</f>
        <v>#N/A</v>
      </c>
      <c r="L326" s="46" t="e">
        <f aca="true">IF(($H326=0),0,$D$4+$D$5*(RAND()-0.5))</f>
        <v>#N/A</v>
      </c>
      <c r="M326" s="46" t="e">
        <f aca="false">L326+MAX(D326,M325)</f>
        <v>#N/A</v>
      </c>
      <c r="N326" s="46" t="e">
        <f aca="false">IF((H326=1),M326-D326,0)</f>
        <v>#N/A</v>
      </c>
      <c r="O326" s="29" t="n">
        <v>309</v>
      </c>
      <c r="P326" s="49" t="e">
        <f aca="false">IF((Arterial=0),P325+1,P325)</f>
        <v>#N/A</v>
      </c>
      <c r="Q326" s="49" t="e">
        <f aca="false">IF((Arterial=1),Q325+1,Q325)</f>
        <v>#N/A</v>
      </c>
      <c r="R326" s="50" t="n">
        <f aca="false">IF((RESET=1),0,R326+K326)</f>
        <v>0</v>
      </c>
      <c r="S326" s="19" t="n">
        <f aca="false">IF(RESET=1,0,S326+N326)</f>
        <v>0</v>
      </c>
      <c r="T326" s="0" t="n">
        <f aca="false">IF(RESET=1,0,T326+IF(H326=0,1,0))</f>
        <v>0</v>
      </c>
      <c r="U326" s="0" t="n">
        <f aca="false">IF(RESET=1,0,U326+H326)</f>
        <v>0</v>
      </c>
      <c r="V326" s="19" t="n">
        <f aca="false">R326/(T326+0.00001)</f>
        <v>0</v>
      </c>
      <c r="W326" s="19" t="n">
        <f aca="false">S326/(U326+0.0001)</f>
        <v>0</v>
      </c>
      <c r="X326" s="47" t="e">
        <f aca="false">IF(Informed=1,K326,0)</f>
        <v>#N/A</v>
      </c>
      <c r="Y326" s="47" t="n">
        <f aca="false">IF(Informed=0,K326,0)</f>
        <v>0</v>
      </c>
      <c r="Z326" s="47" t="e">
        <f aca="false">IF(Informed=1,N326,0)</f>
        <v>#N/A</v>
      </c>
      <c r="AA326" s="47" t="n">
        <f aca="false">IF(Informed=0,N326,0)</f>
        <v>0</v>
      </c>
      <c r="AB326" s="51" t="e">
        <f aca="false">IF(Arterial=0,IF(Informed=1,1,0),0)</f>
        <v>#N/A</v>
      </c>
      <c r="AC326" s="51" t="e">
        <f aca="false">IF(Arterial=0,IF(Informed=0,1,0),0)</f>
        <v>#N/A</v>
      </c>
      <c r="AD326" s="51" t="e">
        <f aca="false">IF(Arterial=1,IF(Informed=1,1,0),0)</f>
        <v>#N/A</v>
      </c>
      <c r="AE326" s="51" t="e">
        <f aca="false">IF(Arterial=1,IF(Informed=0,1,0),0)</f>
        <v>#N/A</v>
      </c>
      <c r="AF326" s="44" t="e">
        <f aca="false">IF(AB326=1,(X326-G$1030)^2,0)</f>
        <v>#N/A</v>
      </c>
      <c r="AG326" s="44" t="e">
        <f aca="false">IF(AC326=1,(Y326-H$1030)^2,0)</f>
        <v>#N/A</v>
      </c>
      <c r="AH326" s="44" t="e">
        <f aca="false">IF(AD326=1,(Z326-I$1030)^2,0)</f>
        <v>#N/A</v>
      </c>
      <c r="AI326" s="44" t="e">
        <f aca="false">IF(AE326=1,(AA326-J$1030)^2,0)</f>
        <v>#N/A</v>
      </c>
    </row>
    <row r="327" customFormat="false" ht="12" hidden="false" customHeight="false" outlineLevel="0" collapsed="false">
      <c r="A327" s="29" t="n">
        <v>310</v>
      </c>
      <c r="B327" s="45" t="n">
        <f aca="true">IF(RAND()&lt;$D$8,1,0)</f>
        <v>1</v>
      </c>
      <c r="C327" s="34" t="n">
        <f aca="true">-LN(RAND())/$D$2</f>
        <v>0.294523834214274</v>
      </c>
      <c r="D327" s="46" t="n">
        <f aca="false">D326+C327</f>
        <v>492.121494503561</v>
      </c>
      <c r="E327" s="47" t="e">
        <f aca="false">MAX($D$3,(1+P326-VLOOKUP(VALUE(D327),$J$18:$Q326,7,TRUE()))*$D$3)</f>
        <v>#N/A</v>
      </c>
      <c r="F327" s="47" t="e">
        <f aca="false">MAX($D$4,(1+Q326-VLOOKUP(VALUE(D327),$M$18:$Q326,5,TRUE()))*$D$4)</f>
        <v>#N/A</v>
      </c>
      <c r="G327" s="48" t="n">
        <v>0.5</v>
      </c>
      <c r="H327" s="46" t="e">
        <f aca="true">IF((B327=1),(IF((F327&lt;E327),1,(IF((F327=E327),(IF(RAND()&lt;G327,1,0)),0)))),(IF((RAND()&lt;G327),1,0)))</f>
        <v>#N/A</v>
      </c>
      <c r="I327" s="46" t="e">
        <f aca="true">IF((H327=1),0,$D$3+$D$5*(RAND()-0.5))</f>
        <v>#N/A</v>
      </c>
      <c r="J327" s="46" t="e">
        <f aca="false">I327+MAX(D327,J326)</f>
        <v>#N/A</v>
      </c>
      <c r="K327" s="46" t="e">
        <f aca="false">IF((H327=0),J327-D327,0)</f>
        <v>#N/A</v>
      </c>
      <c r="L327" s="46" t="e">
        <f aca="true">IF(($H327=0),0,$D$4+$D$5*(RAND()-0.5))</f>
        <v>#N/A</v>
      </c>
      <c r="M327" s="46" t="e">
        <f aca="false">L327+MAX(D327,M326)</f>
        <v>#N/A</v>
      </c>
      <c r="N327" s="46" t="e">
        <f aca="false">IF((H327=1),M327-D327,0)</f>
        <v>#N/A</v>
      </c>
      <c r="O327" s="29" t="n">
        <v>310</v>
      </c>
      <c r="P327" s="49" t="e">
        <f aca="false">IF((Arterial=0),P326+1,P326)</f>
        <v>#N/A</v>
      </c>
      <c r="Q327" s="49" t="e">
        <f aca="false">IF((Arterial=1),Q326+1,Q326)</f>
        <v>#N/A</v>
      </c>
      <c r="R327" s="50" t="n">
        <f aca="false">IF((RESET=1),0,R327+K327)</f>
        <v>0</v>
      </c>
      <c r="S327" s="19" t="n">
        <f aca="false">IF(RESET=1,0,S327+N327)</f>
        <v>0</v>
      </c>
      <c r="T327" s="0" t="n">
        <f aca="false">IF(RESET=1,0,T327+IF(H327=0,1,0))</f>
        <v>0</v>
      </c>
      <c r="U327" s="0" t="n">
        <f aca="false">IF(RESET=1,0,U327+H327)</f>
        <v>0</v>
      </c>
      <c r="V327" s="19" t="n">
        <f aca="false">R327/(T327+0.00001)</f>
        <v>0</v>
      </c>
      <c r="W327" s="19" t="n">
        <f aca="false">S327/(U327+0.0001)</f>
        <v>0</v>
      </c>
      <c r="X327" s="47" t="e">
        <f aca="false">IF(Informed=1,K327,0)</f>
        <v>#N/A</v>
      </c>
      <c r="Y327" s="47" t="n">
        <f aca="false">IF(Informed=0,K327,0)</f>
        <v>0</v>
      </c>
      <c r="Z327" s="47" t="e">
        <f aca="false">IF(Informed=1,N327,0)</f>
        <v>#N/A</v>
      </c>
      <c r="AA327" s="47" t="n">
        <f aca="false">IF(Informed=0,N327,0)</f>
        <v>0</v>
      </c>
      <c r="AB327" s="51" t="e">
        <f aca="false">IF(Arterial=0,IF(Informed=1,1,0),0)</f>
        <v>#N/A</v>
      </c>
      <c r="AC327" s="51" t="e">
        <f aca="false">IF(Arterial=0,IF(Informed=0,1,0),0)</f>
        <v>#N/A</v>
      </c>
      <c r="AD327" s="51" t="e">
        <f aca="false">IF(Arterial=1,IF(Informed=1,1,0),0)</f>
        <v>#N/A</v>
      </c>
      <c r="AE327" s="51" t="e">
        <f aca="false">IF(Arterial=1,IF(Informed=0,1,0),0)</f>
        <v>#N/A</v>
      </c>
      <c r="AF327" s="44" t="e">
        <f aca="false">IF(AB327=1,(X327-G$1030)^2,0)</f>
        <v>#N/A</v>
      </c>
      <c r="AG327" s="44" t="e">
        <f aca="false">IF(AC327=1,(Y327-H$1030)^2,0)</f>
        <v>#N/A</v>
      </c>
      <c r="AH327" s="44" t="e">
        <f aca="false">IF(AD327=1,(Z327-I$1030)^2,0)</f>
        <v>#N/A</v>
      </c>
      <c r="AI327" s="44" t="e">
        <f aca="false">IF(AE327=1,(AA327-J$1030)^2,0)</f>
        <v>#N/A</v>
      </c>
    </row>
    <row r="328" customFormat="false" ht="12" hidden="false" customHeight="false" outlineLevel="0" collapsed="false">
      <c r="A328" s="29" t="n">
        <v>311</v>
      </c>
      <c r="B328" s="45" t="n">
        <f aca="true">IF(RAND()&lt;$D$8,1,0)</f>
        <v>1</v>
      </c>
      <c r="C328" s="34" t="n">
        <f aca="true">-LN(RAND())/$D$2</f>
        <v>1.11964858510944</v>
      </c>
      <c r="D328" s="46" t="n">
        <f aca="false">D327+C328</f>
        <v>493.241143088671</v>
      </c>
      <c r="E328" s="47" t="e">
        <f aca="false">MAX($D$3,(1+P327-VLOOKUP(VALUE(D328),$J$18:$Q327,7,TRUE()))*$D$3)</f>
        <v>#N/A</v>
      </c>
      <c r="F328" s="47" t="e">
        <f aca="false">MAX($D$4,(1+Q327-VLOOKUP(VALUE(D328),$M$18:$Q327,5,TRUE()))*$D$4)</f>
        <v>#N/A</v>
      </c>
      <c r="G328" s="48" t="n">
        <v>0.5</v>
      </c>
      <c r="H328" s="46" t="e">
        <f aca="true">IF((B328=1),(IF((F328&lt;E328),1,(IF((F328=E328),(IF(RAND()&lt;G328,1,0)),0)))),(IF((RAND()&lt;G328),1,0)))</f>
        <v>#N/A</v>
      </c>
      <c r="I328" s="46" t="e">
        <f aca="true">IF((H328=1),0,$D$3+$D$5*(RAND()-0.5))</f>
        <v>#N/A</v>
      </c>
      <c r="J328" s="46" t="e">
        <f aca="false">I328+MAX(D328,J327)</f>
        <v>#N/A</v>
      </c>
      <c r="K328" s="46" t="e">
        <f aca="false">IF((H328=0),J328-D328,0)</f>
        <v>#N/A</v>
      </c>
      <c r="L328" s="46" t="e">
        <f aca="true">IF(($H328=0),0,$D$4+$D$5*(RAND()-0.5))</f>
        <v>#N/A</v>
      </c>
      <c r="M328" s="46" t="e">
        <f aca="false">L328+MAX(D328,M327)</f>
        <v>#N/A</v>
      </c>
      <c r="N328" s="46" t="e">
        <f aca="false">IF((H328=1),M328-D328,0)</f>
        <v>#N/A</v>
      </c>
      <c r="O328" s="29" t="n">
        <v>311</v>
      </c>
      <c r="P328" s="49" t="e">
        <f aca="false">IF((Arterial=0),P327+1,P327)</f>
        <v>#N/A</v>
      </c>
      <c r="Q328" s="49" t="e">
        <f aca="false">IF((Arterial=1),Q327+1,Q327)</f>
        <v>#N/A</v>
      </c>
      <c r="R328" s="50" t="n">
        <f aca="false">IF((RESET=1),0,R328+K328)</f>
        <v>0</v>
      </c>
      <c r="S328" s="19" t="n">
        <f aca="false">IF(RESET=1,0,S328+N328)</f>
        <v>0</v>
      </c>
      <c r="T328" s="0" t="n">
        <f aca="false">IF(RESET=1,0,T328+IF(H328=0,1,0))</f>
        <v>0</v>
      </c>
      <c r="U328" s="0" t="n">
        <f aca="false">IF(RESET=1,0,U328+H328)</f>
        <v>0</v>
      </c>
      <c r="V328" s="19" t="n">
        <f aca="false">R328/(T328+0.00001)</f>
        <v>0</v>
      </c>
      <c r="W328" s="19" t="n">
        <f aca="false">S328/(U328+0.0001)</f>
        <v>0</v>
      </c>
      <c r="X328" s="47" t="e">
        <f aca="false">IF(Informed=1,K328,0)</f>
        <v>#N/A</v>
      </c>
      <c r="Y328" s="47" t="n">
        <f aca="false">IF(Informed=0,K328,0)</f>
        <v>0</v>
      </c>
      <c r="Z328" s="47" t="e">
        <f aca="false">IF(Informed=1,N328,0)</f>
        <v>#N/A</v>
      </c>
      <c r="AA328" s="47" t="n">
        <f aca="false">IF(Informed=0,N328,0)</f>
        <v>0</v>
      </c>
      <c r="AB328" s="51" t="e">
        <f aca="false">IF(Arterial=0,IF(Informed=1,1,0),0)</f>
        <v>#N/A</v>
      </c>
      <c r="AC328" s="51" t="e">
        <f aca="false">IF(Arterial=0,IF(Informed=0,1,0),0)</f>
        <v>#N/A</v>
      </c>
      <c r="AD328" s="51" t="e">
        <f aca="false">IF(Arterial=1,IF(Informed=1,1,0),0)</f>
        <v>#N/A</v>
      </c>
      <c r="AE328" s="51" t="e">
        <f aca="false">IF(Arterial=1,IF(Informed=0,1,0),0)</f>
        <v>#N/A</v>
      </c>
      <c r="AF328" s="44" t="e">
        <f aca="false">IF(AB328=1,(X328-G$1030)^2,0)</f>
        <v>#N/A</v>
      </c>
      <c r="AG328" s="44" t="e">
        <f aca="false">IF(AC328=1,(Y328-H$1030)^2,0)</f>
        <v>#N/A</v>
      </c>
      <c r="AH328" s="44" t="e">
        <f aca="false">IF(AD328=1,(Z328-I$1030)^2,0)</f>
        <v>#N/A</v>
      </c>
      <c r="AI328" s="44" t="e">
        <f aca="false">IF(AE328=1,(AA328-J$1030)^2,0)</f>
        <v>#N/A</v>
      </c>
    </row>
    <row r="329" customFormat="false" ht="12" hidden="false" customHeight="false" outlineLevel="0" collapsed="false">
      <c r="A329" s="29" t="n">
        <v>312</v>
      </c>
      <c r="B329" s="45" t="n">
        <f aca="true">IF(RAND()&lt;$D$8,1,0)</f>
        <v>1</v>
      </c>
      <c r="C329" s="34" t="n">
        <f aca="true">-LN(RAND())/$D$2</f>
        <v>2.82183707445709</v>
      </c>
      <c r="D329" s="46" t="n">
        <f aca="false">D328+C329</f>
        <v>496.062980163128</v>
      </c>
      <c r="E329" s="47" t="e">
        <f aca="false">MAX($D$3,(1+P328-VLOOKUP(VALUE(D329),$J$18:$Q328,7,TRUE()))*$D$3)</f>
        <v>#N/A</v>
      </c>
      <c r="F329" s="47" t="e">
        <f aca="false">MAX($D$4,(1+Q328-VLOOKUP(VALUE(D329),$M$18:$Q328,5,TRUE()))*$D$4)</f>
        <v>#N/A</v>
      </c>
      <c r="G329" s="48" t="n">
        <v>0.5</v>
      </c>
      <c r="H329" s="46" t="e">
        <f aca="true">IF((B329=1),(IF((F329&lt;E329),1,(IF((F329=E329),(IF(RAND()&lt;G329,1,0)),0)))),(IF((RAND()&lt;G329),1,0)))</f>
        <v>#N/A</v>
      </c>
      <c r="I329" s="46" t="e">
        <f aca="true">IF((H329=1),0,$D$3+$D$5*(RAND()-0.5))</f>
        <v>#N/A</v>
      </c>
      <c r="J329" s="46" t="e">
        <f aca="false">I329+MAX(D329,J328)</f>
        <v>#N/A</v>
      </c>
      <c r="K329" s="46" t="e">
        <f aca="false">IF((H329=0),J329-D329,0)</f>
        <v>#N/A</v>
      </c>
      <c r="L329" s="46" t="e">
        <f aca="true">IF(($H329=0),0,$D$4+$D$5*(RAND()-0.5))</f>
        <v>#N/A</v>
      </c>
      <c r="M329" s="46" t="e">
        <f aca="false">L329+MAX(D329,M328)</f>
        <v>#N/A</v>
      </c>
      <c r="N329" s="46" t="e">
        <f aca="false">IF((H329=1),M329-D329,0)</f>
        <v>#N/A</v>
      </c>
      <c r="O329" s="29" t="n">
        <v>312</v>
      </c>
      <c r="P329" s="49" t="e">
        <f aca="false">IF((Arterial=0),P328+1,P328)</f>
        <v>#N/A</v>
      </c>
      <c r="Q329" s="49" t="e">
        <f aca="false">IF((Arterial=1),Q328+1,Q328)</f>
        <v>#N/A</v>
      </c>
      <c r="R329" s="50" t="n">
        <f aca="false">IF((RESET=1),0,R329+K329)</f>
        <v>0</v>
      </c>
      <c r="S329" s="19" t="n">
        <f aca="false">IF(RESET=1,0,S329+N329)</f>
        <v>0</v>
      </c>
      <c r="T329" s="0" t="n">
        <f aca="false">IF(RESET=1,0,T329+IF(H329=0,1,0))</f>
        <v>0</v>
      </c>
      <c r="U329" s="0" t="n">
        <f aca="false">IF(RESET=1,0,U329+H329)</f>
        <v>0</v>
      </c>
      <c r="V329" s="19" t="n">
        <f aca="false">R329/(T329+0.00001)</f>
        <v>0</v>
      </c>
      <c r="W329" s="19" t="n">
        <f aca="false">S329/(U329+0.0001)</f>
        <v>0</v>
      </c>
      <c r="X329" s="47" t="e">
        <f aca="false">IF(Informed=1,K329,0)</f>
        <v>#N/A</v>
      </c>
      <c r="Y329" s="47" t="n">
        <f aca="false">IF(Informed=0,K329,0)</f>
        <v>0</v>
      </c>
      <c r="Z329" s="47" t="e">
        <f aca="false">IF(Informed=1,N329,0)</f>
        <v>#N/A</v>
      </c>
      <c r="AA329" s="47" t="n">
        <f aca="false">IF(Informed=0,N329,0)</f>
        <v>0</v>
      </c>
      <c r="AB329" s="51" t="e">
        <f aca="false">IF(Arterial=0,IF(Informed=1,1,0),0)</f>
        <v>#N/A</v>
      </c>
      <c r="AC329" s="51" t="e">
        <f aca="false">IF(Arterial=0,IF(Informed=0,1,0),0)</f>
        <v>#N/A</v>
      </c>
      <c r="AD329" s="51" t="e">
        <f aca="false">IF(Arterial=1,IF(Informed=1,1,0),0)</f>
        <v>#N/A</v>
      </c>
      <c r="AE329" s="51" t="e">
        <f aca="false">IF(Arterial=1,IF(Informed=0,1,0),0)</f>
        <v>#N/A</v>
      </c>
      <c r="AF329" s="44" t="e">
        <f aca="false">IF(AB329=1,(X329-G$1030)^2,0)</f>
        <v>#N/A</v>
      </c>
      <c r="AG329" s="44" t="e">
        <f aca="false">IF(AC329=1,(Y329-H$1030)^2,0)</f>
        <v>#N/A</v>
      </c>
      <c r="AH329" s="44" t="e">
        <f aca="false">IF(AD329=1,(Z329-I$1030)^2,0)</f>
        <v>#N/A</v>
      </c>
      <c r="AI329" s="44" t="e">
        <f aca="false">IF(AE329=1,(AA329-J$1030)^2,0)</f>
        <v>#N/A</v>
      </c>
    </row>
    <row r="330" customFormat="false" ht="12" hidden="false" customHeight="false" outlineLevel="0" collapsed="false">
      <c r="A330" s="29" t="n">
        <v>313</v>
      </c>
      <c r="B330" s="45" t="n">
        <f aca="true">IF(RAND()&lt;$D$8,1,0)</f>
        <v>1</v>
      </c>
      <c r="C330" s="34" t="n">
        <f aca="true">-LN(RAND())/$D$2</f>
        <v>0.0448031428471013</v>
      </c>
      <c r="D330" s="46" t="n">
        <f aca="false">D329+C330</f>
        <v>496.107783305975</v>
      </c>
      <c r="E330" s="47" t="e">
        <f aca="false">MAX($D$3,(1+P329-VLOOKUP(VALUE(D330),$J$18:$Q329,7,TRUE()))*$D$3)</f>
        <v>#N/A</v>
      </c>
      <c r="F330" s="47" t="e">
        <f aca="false">MAX($D$4,(1+Q329-VLOOKUP(VALUE(D330),$M$18:$Q329,5,TRUE()))*$D$4)</f>
        <v>#N/A</v>
      </c>
      <c r="G330" s="48" t="n">
        <v>0.5</v>
      </c>
      <c r="H330" s="46" t="e">
        <f aca="true">IF((B330=1),(IF((F330&lt;E330),1,(IF((F330=E330),(IF(RAND()&lt;G330,1,0)),0)))),(IF((RAND()&lt;G330),1,0)))</f>
        <v>#N/A</v>
      </c>
      <c r="I330" s="46" t="e">
        <f aca="true">IF((H330=1),0,$D$3+$D$5*(RAND()-0.5))</f>
        <v>#N/A</v>
      </c>
      <c r="J330" s="46" t="e">
        <f aca="false">I330+MAX(D330,J329)</f>
        <v>#N/A</v>
      </c>
      <c r="K330" s="46" t="e">
        <f aca="false">IF((H330=0),J330-D330,0)</f>
        <v>#N/A</v>
      </c>
      <c r="L330" s="46" t="e">
        <f aca="true">IF(($H330=0),0,$D$4+$D$5*(RAND()-0.5))</f>
        <v>#N/A</v>
      </c>
      <c r="M330" s="46" t="e">
        <f aca="false">L330+MAX(D330,M329)</f>
        <v>#N/A</v>
      </c>
      <c r="N330" s="46" t="e">
        <f aca="false">IF((H330=1),M330-D330,0)</f>
        <v>#N/A</v>
      </c>
      <c r="O330" s="29" t="n">
        <v>313</v>
      </c>
      <c r="P330" s="49" t="e">
        <f aca="false">IF((Arterial=0),P329+1,P329)</f>
        <v>#N/A</v>
      </c>
      <c r="Q330" s="49" t="e">
        <f aca="false">IF((Arterial=1),Q329+1,Q329)</f>
        <v>#N/A</v>
      </c>
      <c r="R330" s="50" t="n">
        <f aca="false">IF((RESET=1),0,R330+K330)</f>
        <v>0</v>
      </c>
      <c r="S330" s="19" t="n">
        <f aca="false">IF(RESET=1,0,S330+N330)</f>
        <v>0</v>
      </c>
      <c r="T330" s="0" t="n">
        <f aca="false">IF(RESET=1,0,T330+IF(H330=0,1,0))</f>
        <v>0</v>
      </c>
      <c r="U330" s="0" t="n">
        <f aca="false">IF(RESET=1,0,U330+H330)</f>
        <v>0</v>
      </c>
      <c r="V330" s="19" t="n">
        <f aca="false">R330/(T330+0.00001)</f>
        <v>0</v>
      </c>
      <c r="W330" s="19" t="n">
        <f aca="false">S330/(U330+0.0001)</f>
        <v>0</v>
      </c>
      <c r="X330" s="47" t="e">
        <f aca="false">IF(Informed=1,K330,0)</f>
        <v>#N/A</v>
      </c>
      <c r="Y330" s="47" t="n">
        <f aca="false">IF(Informed=0,K330,0)</f>
        <v>0</v>
      </c>
      <c r="Z330" s="47" t="e">
        <f aca="false">IF(Informed=1,N330,0)</f>
        <v>#N/A</v>
      </c>
      <c r="AA330" s="47" t="n">
        <f aca="false">IF(Informed=0,N330,0)</f>
        <v>0</v>
      </c>
      <c r="AB330" s="51" t="e">
        <f aca="false">IF(Arterial=0,IF(Informed=1,1,0),0)</f>
        <v>#N/A</v>
      </c>
      <c r="AC330" s="51" t="e">
        <f aca="false">IF(Arterial=0,IF(Informed=0,1,0),0)</f>
        <v>#N/A</v>
      </c>
      <c r="AD330" s="51" t="e">
        <f aca="false">IF(Arterial=1,IF(Informed=1,1,0),0)</f>
        <v>#N/A</v>
      </c>
      <c r="AE330" s="51" t="e">
        <f aca="false">IF(Arterial=1,IF(Informed=0,1,0),0)</f>
        <v>#N/A</v>
      </c>
      <c r="AF330" s="44" t="e">
        <f aca="false">IF(AB330=1,(X330-G$1030)^2,0)</f>
        <v>#N/A</v>
      </c>
      <c r="AG330" s="44" t="e">
        <f aca="false">IF(AC330=1,(Y330-H$1030)^2,0)</f>
        <v>#N/A</v>
      </c>
      <c r="AH330" s="44" t="e">
        <f aca="false">IF(AD330=1,(Z330-I$1030)^2,0)</f>
        <v>#N/A</v>
      </c>
      <c r="AI330" s="44" t="e">
        <f aca="false">IF(AE330=1,(AA330-J$1030)^2,0)</f>
        <v>#N/A</v>
      </c>
    </row>
    <row r="331" customFormat="false" ht="12" hidden="false" customHeight="false" outlineLevel="0" collapsed="false">
      <c r="A331" s="29" t="n">
        <v>314</v>
      </c>
      <c r="B331" s="45" t="n">
        <f aca="true">IF(RAND()&lt;$D$8,1,0)</f>
        <v>1</v>
      </c>
      <c r="C331" s="34" t="n">
        <f aca="true">-LN(RAND())/$D$2</f>
        <v>2.34340319541246</v>
      </c>
      <c r="D331" s="46" t="n">
        <f aca="false">D330+C331</f>
        <v>498.451186501387</v>
      </c>
      <c r="E331" s="47" t="e">
        <f aca="false">MAX($D$3,(1+P330-VLOOKUP(VALUE(D331),$J$18:$Q330,7,TRUE()))*$D$3)</f>
        <v>#N/A</v>
      </c>
      <c r="F331" s="47" t="e">
        <f aca="false">MAX($D$4,(1+Q330-VLOOKUP(VALUE(D331),$M$18:$Q330,5,TRUE()))*$D$4)</f>
        <v>#N/A</v>
      </c>
      <c r="G331" s="48" t="n">
        <v>0.5</v>
      </c>
      <c r="H331" s="46" t="e">
        <f aca="true">IF((B331=1),(IF((F331&lt;E331),1,(IF((F331=E331),(IF(RAND()&lt;G331,1,0)),0)))),(IF((RAND()&lt;G331),1,0)))</f>
        <v>#N/A</v>
      </c>
      <c r="I331" s="46" t="e">
        <f aca="true">IF((H331=1),0,$D$3+$D$5*(RAND()-0.5))</f>
        <v>#N/A</v>
      </c>
      <c r="J331" s="46" t="e">
        <f aca="false">I331+MAX(D331,J330)</f>
        <v>#N/A</v>
      </c>
      <c r="K331" s="46" t="e">
        <f aca="false">IF((H331=0),J331-D331,0)</f>
        <v>#N/A</v>
      </c>
      <c r="L331" s="46" t="e">
        <f aca="true">IF(($H331=0),0,$D$4+$D$5*(RAND()-0.5))</f>
        <v>#N/A</v>
      </c>
      <c r="M331" s="46" t="e">
        <f aca="false">L331+MAX(D331,M330)</f>
        <v>#N/A</v>
      </c>
      <c r="N331" s="46" t="e">
        <f aca="false">IF((H331=1),M331-D331,0)</f>
        <v>#N/A</v>
      </c>
      <c r="O331" s="29" t="n">
        <v>314</v>
      </c>
      <c r="P331" s="49" t="e">
        <f aca="false">IF((Arterial=0),P330+1,P330)</f>
        <v>#N/A</v>
      </c>
      <c r="Q331" s="49" t="e">
        <f aca="false">IF((Arterial=1),Q330+1,Q330)</f>
        <v>#N/A</v>
      </c>
      <c r="R331" s="50" t="n">
        <f aca="false">IF((RESET=1),0,R331+K331)</f>
        <v>0</v>
      </c>
      <c r="S331" s="19" t="n">
        <f aca="false">IF(RESET=1,0,S331+N331)</f>
        <v>0</v>
      </c>
      <c r="T331" s="0" t="n">
        <f aca="false">IF(RESET=1,0,T331+IF(H331=0,1,0))</f>
        <v>0</v>
      </c>
      <c r="U331" s="0" t="n">
        <f aca="false">IF(RESET=1,0,U331+H331)</f>
        <v>0</v>
      </c>
      <c r="V331" s="19" t="n">
        <f aca="false">R331/(T331+0.00001)</f>
        <v>0</v>
      </c>
      <c r="W331" s="19" t="n">
        <f aca="false">S331/(U331+0.0001)</f>
        <v>0</v>
      </c>
      <c r="X331" s="47" t="e">
        <f aca="false">IF(Informed=1,K331,0)</f>
        <v>#N/A</v>
      </c>
      <c r="Y331" s="47" t="n">
        <f aca="false">IF(Informed=0,K331,0)</f>
        <v>0</v>
      </c>
      <c r="Z331" s="47" t="e">
        <f aca="false">IF(Informed=1,N331,0)</f>
        <v>#N/A</v>
      </c>
      <c r="AA331" s="47" t="n">
        <f aca="false">IF(Informed=0,N331,0)</f>
        <v>0</v>
      </c>
      <c r="AB331" s="51" t="e">
        <f aca="false">IF(Arterial=0,IF(Informed=1,1,0),0)</f>
        <v>#N/A</v>
      </c>
      <c r="AC331" s="51" t="e">
        <f aca="false">IF(Arterial=0,IF(Informed=0,1,0),0)</f>
        <v>#N/A</v>
      </c>
      <c r="AD331" s="51" t="e">
        <f aca="false">IF(Arterial=1,IF(Informed=1,1,0),0)</f>
        <v>#N/A</v>
      </c>
      <c r="AE331" s="51" t="e">
        <f aca="false">IF(Arterial=1,IF(Informed=0,1,0),0)</f>
        <v>#N/A</v>
      </c>
      <c r="AF331" s="44" t="e">
        <f aca="false">IF(AB331=1,(X331-G$1030)^2,0)</f>
        <v>#N/A</v>
      </c>
      <c r="AG331" s="44" t="e">
        <f aca="false">IF(AC331=1,(Y331-H$1030)^2,0)</f>
        <v>#N/A</v>
      </c>
      <c r="AH331" s="44" t="e">
        <f aca="false">IF(AD331=1,(Z331-I$1030)^2,0)</f>
        <v>#N/A</v>
      </c>
      <c r="AI331" s="44" t="e">
        <f aca="false">IF(AE331=1,(AA331-J$1030)^2,0)</f>
        <v>#N/A</v>
      </c>
    </row>
    <row r="332" customFormat="false" ht="12" hidden="false" customHeight="false" outlineLevel="0" collapsed="false">
      <c r="A332" s="29" t="n">
        <v>315</v>
      </c>
      <c r="B332" s="45" t="n">
        <f aca="true">IF(RAND()&lt;$D$8,1,0)</f>
        <v>1</v>
      </c>
      <c r="C332" s="34" t="n">
        <f aca="true">-LN(RAND())/$D$2</f>
        <v>0.150292878459584</v>
      </c>
      <c r="D332" s="46" t="n">
        <f aca="false">D331+C332</f>
        <v>498.601479379847</v>
      </c>
      <c r="E332" s="47" t="e">
        <f aca="false">MAX($D$3,(1+P331-VLOOKUP(VALUE(D332),$J$18:$Q331,7,TRUE()))*$D$3)</f>
        <v>#N/A</v>
      </c>
      <c r="F332" s="47" t="e">
        <f aca="false">MAX($D$4,(1+Q331-VLOOKUP(VALUE(D332),$M$18:$Q331,5,TRUE()))*$D$4)</f>
        <v>#N/A</v>
      </c>
      <c r="G332" s="48" t="n">
        <v>0.5</v>
      </c>
      <c r="H332" s="46" t="e">
        <f aca="true">IF((B332=1),(IF((F332&lt;E332),1,(IF((F332=E332),(IF(RAND()&lt;G332,1,0)),0)))),(IF((RAND()&lt;G332),1,0)))</f>
        <v>#N/A</v>
      </c>
      <c r="I332" s="46" t="e">
        <f aca="true">IF((H332=1),0,$D$3+$D$5*(RAND()-0.5))</f>
        <v>#N/A</v>
      </c>
      <c r="J332" s="46" t="e">
        <f aca="false">I332+MAX(D332,J331)</f>
        <v>#N/A</v>
      </c>
      <c r="K332" s="46" t="e">
        <f aca="false">IF((H332=0),J332-D332,0)</f>
        <v>#N/A</v>
      </c>
      <c r="L332" s="46" t="e">
        <f aca="true">IF(($H332=0),0,$D$4+$D$5*(RAND()-0.5))</f>
        <v>#N/A</v>
      </c>
      <c r="M332" s="46" t="e">
        <f aca="false">L332+MAX(D332,M331)</f>
        <v>#N/A</v>
      </c>
      <c r="N332" s="46" t="e">
        <f aca="false">IF((H332=1),M332-D332,0)</f>
        <v>#N/A</v>
      </c>
      <c r="O332" s="29" t="n">
        <v>315</v>
      </c>
      <c r="P332" s="49" t="e">
        <f aca="false">IF((Arterial=0),P331+1,P331)</f>
        <v>#N/A</v>
      </c>
      <c r="Q332" s="49" t="e">
        <f aca="false">IF((Arterial=1),Q331+1,Q331)</f>
        <v>#N/A</v>
      </c>
      <c r="R332" s="50" t="n">
        <f aca="false">IF((RESET=1),0,R332+K332)</f>
        <v>0</v>
      </c>
      <c r="S332" s="19" t="n">
        <f aca="false">IF(RESET=1,0,S332+N332)</f>
        <v>0</v>
      </c>
      <c r="T332" s="0" t="n">
        <f aca="false">IF(RESET=1,0,T332+IF(H332=0,1,0))</f>
        <v>0</v>
      </c>
      <c r="U332" s="0" t="n">
        <f aca="false">IF(RESET=1,0,U332+H332)</f>
        <v>0</v>
      </c>
      <c r="V332" s="19" t="n">
        <f aca="false">R332/(T332+0.00001)</f>
        <v>0</v>
      </c>
      <c r="W332" s="19" t="n">
        <f aca="false">S332/(U332+0.0001)</f>
        <v>0</v>
      </c>
      <c r="X332" s="47" t="e">
        <f aca="false">IF(Informed=1,K332,0)</f>
        <v>#N/A</v>
      </c>
      <c r="Y332" s="47" t="n">
        <f aca="false">IF(Informed=0,K332,0)</f>
        <v>0</v>
      </c>
      <c r="Z332" s="47" t="e">
        <f aca="false">IF(Informed=1,N332,0)</f>
        <v>#N/A</v>
      </c>
      <c r="AA332" s="47" t="n">
        <f aca="false">IF(Informed=0,N332,0)</f>
        <v>0</v>
      </c>
      <c r="AB332" s="51" t="e">
        <f aca="false">IF(Arterial=0,IF(Informed=1,1,0),0)</f>
        <v>#N/A</v>
      </c>
      <c r="AC332" s="51" t="e">
        <f aca="false">IF(Arterial=0,IF(Informed=0,1,0),0)</f>
        <v>#N/A</v>
      </c>
      <c r="AD332" s="51" t="e">
        <f aca="false">IF(Arterial=1,IF(Informed=1,1,0),0)</f>
        <v>#N/A</v>
      </c>
      <c r="AE332" s="51" t="e">
        <f aca="false">IF(Arterial=1,IF(Informed=0,1,0),0)</f>
        <v>#N/A</v>
      </c>
      <c r="AF332" s="44" t="e">
        <f aca="false">IF(AB332=1,(X332-G$1030)^2,0)</f>
        <v>#N/A</v>
      </c>
      <c r="AG332" s="44" t="e">
        <f aca="false">IF(AC332=1,(Y332-H$1030)^2,0)</f>
        <v>#N/A</v>
      </c>
      <c r="AH332" s="44" t="e">
        <f aca="false">IF(AD332=1,(Z332-I$1030)^2,0)</f>
        <v>#N/A</v>
      </c>
      <c r="AI332" s="44" t="e">
        <f aca="false">IF(AE332=1,(AA332-J$1030)^2,0)</f>
        <v>#N/A</v>
      </c>
    </row>
    <row r="333" customFormat="false" ht="12" hidden="false" customHeight="false" outlineLevel="0" collapsed="false">
      <c r="A333" s="29" t="n">
        <v>316</v>
      </c>
      <c r="B333" s="45" t="n">
        <f aca="true">IF(RAND()&lt;$D$8,1,0)</f>
        <v>1</v>
      </c>
      <c r="C333" s="34" t="n">
        <f aca="true">-LN(RAND())/$D$2</f>
        <v>2.20751133776334</v>
      </c>
      <c r="D333" s="46" t="n">
        <f aca="false">D332+C333</f>
        <v>500.80899071761</v>
      </c>
      <c r="E333" s="47" t="e">
        <f aca="false">MAX($D$3,(1+P332-VLOOKUP(VALUE(D333),$J$18:$Q332,7,TRUE()))*$D$3)</f>
        <v>#N/A</v>
      </c>
      <c r="F333" s="47" t="e">
        <f aca="false">MAX($D$4,(1+Q332-VLOOKUP(VALUE(D333),$M$18:$Q332,5,TRUE()))*$D$4)</f>
        <v>#N/A</v>
      </c>
      <c r="G333" s="48" t="n">
        <v>0.5</v>
      </c>
      <c r="H333" s="46" t="e">
        <f aca="true">IF((B333=1),(IF((F333&lt;E333),1,(IF((F333=E333),(IF(RAND()&lt;G333,1,0)),0)))),(IF((RAND()&lt;G333),1,0)))</f>
        <v>#N/A</v>
      </c>
      <c r="I333" s="46" t="e">
        <f aca="true">IF((H333=1),0,$D$3+$D$5*(RAND()-0.5))</f>
        <v>#N/A</v>
      </c>
      <c r="J333" s="46" t="e">
        <f aca="false">I333+MAX(D333,J332)</f>
        <v>#N/A</v>
      </c>
      <c r="K333" s="46" t="e">
        <f aca="false">IF((H333=0),J333-D333,0)</f>
        <v>#N/A</v>
      </c>
      <c r="L333" s="46" t="e">
        <f aca="true">IF(($H333=0),0,$D$4+$D$5*(RAND()-0.5))</f>
        <v>#N/A</v>
      </c>
      <c r="M333" s="46" t="e">
        <f aca="false">L333+MAX(D333,M332)</f>
        <v>#N/A</v>
      </c>
      <c r="N333" s="46" t="e">
        <f aca="false">IF((H333=1),M333-D333,0)</f>
        <v>#N/A</v>
      </c>
      <c r="O333" s="29" t="n">
        <v>316</v>
      </c>
      <c r="P333" s="49" t="e">
        <f aca="false">IF((Arterial=0),P332+1,P332)</f>
        <v>#N/A</v>
      </c>
      <c r="Q333" s="49" t="e">
        <f aca="false">IF((Arterial=1),Q332+1,Q332)</f>
        <v>#N/A</v>
      </c>
      <c r="R333" s="50" t="n">
        <f aca="false">IF((RESET=1),0,R333+K333)</f>
        <v>0</v>
      </c>
      <c r="S333" s="19" t="n">
        <f aca="false">IF(RESET=1,0,S333+N333)</f>
        <v>0</v>
      </c>
      <c r="T333" s="0" t="n">
        <f aca="false">IF(RESET=1,0,T333+IF(H333=0,1,0))</f>
        <v>0</v>
      </c>
      <c r="U333" s="0" t="n">
        <f aca="false">IF(RESET=1,0,U333+H333)</f>
        <v>0</v>
      </c>
      <c r="V333" s="19" t="n">
        <f aca="false">R333/(T333+0.00001)</f>
        <v>0</v>
      </c>
      <c r="W333" s="19" t="n">
        <f aca="false">S333/(U333+0.0001)</f>
        <v>0</v>
      </c>
      <c r="X333" s="47" t="e">
        <f aca="false">IF(Informed=1,K333,0)</f>
        <v>#N/A</v>
      </c>
      <c r="Y333" s="47" t="n">
        <f aca="false">IF(Informed=0,K333,0)</f>
        <v>0</v>
      </c>
      <c r="Z333" s="47" t="e">
        <f aca="false">IF(Informed=1,N333,0)</f>
        <v>#N/A</v>
      </c>
      <c r="AA333" s="47" t="n">
        <f aca="false">IF(Informed=0,N333,0)</f>
        <v>0</v>
      </c>
      <c r="AB333" s="51" t="e">
        <f aca="false">IF(Arterial=0,IF(Informed=1,1,0),0)</f>
        <v>#N/A</v>
      </c>
      <c r="AC333" s="51" t="e">
        <f aca="false">IF(Arterial=0,IF(Informed=0,1,0),0)</f>
        <v>#N/A</v>
      </c>
      <c r="AD333" s="51" t="e">
        <f aca="false">IF(Arterial=1,IF(Informed=1,1,0),0)</f>
        <v>#N/A</v>
      </c>
      <c r="AE333" s="51" t="e">
        <f aca="false">IF(Arterial=1,IF(Informed=0,1,0),0)</f>
        <v>#N/A</v>
      </c>
      <c r="AF333" s="44" t="e">
        <f aca="false">IF(AB333=1,(X333-G$1030)^2,0)</f>
        <v>#N/A</v>
      </c>
      <c r="AG333" s="44" t="e">
        <f aca="false">IF(AC333=1,(Y333-H$1030)^2,0)</f>
        <v>#N/A</v>
      </c>
      <c r="AH333" s="44" t="e">
        <f aca="false">IF(AD333=1,(Z333-I$1030)^2,0)</f>
        <v>#N/A</v>
      </c>
      <c r="AI333" s="44" t="e">
        <f aca="false">IF(AE333=1,(AA333-J$1030)^2,0)</f>
        <v>#N/A</v>
      </c>
    </row>
    <row r="334" customFormat="false" ht="12" hidden="false" customHeight="false" outlineLevel="0" collapsed="false">
      <c r="A334" s="29" t="n">
        <v>317</v>
      </c>
      <c r="B334" s="45" t="n">
        <f aca="true">IF(RAND()&lt;$D$8,1,0)</f>
        <v>1</v>
      </c>
      <c r="C334" s="34" t="n">
        <f aca="true">-LN(RAND())/$D$2</f>
        <v>0.964951341487509</v>
      </c>
      <c r="D334" s="46" t="n">
        <f aca="false">D333+C334</f>
        <v>501.773942059098</v>
      </c>
      <c r="E334" s="47" t="e">
        <f aca="false">MAX($D$3,(1+P333-VLOOKUP(VALUE(D334),$J$18:$Q333,7,TRUE()))*$D$3)</f>
        <v>#N/A</v>
      </c>
      <c r="F334" s="47" t="e">
        <f aca="false">MAX($D$4,(1+Q333-VLOOKUP(VALUE(D334),$M$18:$Q333,5,TRUE()))*$D$4)</f>
        <v>#N/A</v>
      </c>
      <c r="G334" s="48" t="n">
        <v>0.5</v>
      </c>
      <c r="H334" s="46" t="e">
        <f aca="true">IF((B334=1),(IF((F334&lt;E334),1,(IF((F334=E334),(IF(RAND()&lt;G334,1,0)),0)))),(IF((RAND()&lt;G334),1,0)))</f>
        <v>#N/A</v>
      </c>
      <c r="I334" s="46" t="e">
        <f aca="true">IF((H334=1),0,$D$3+$D$5*(RAND()-0.5))</f>
        <v>#N/A</v>
      </c>
      <c r="J334" s="46" t="e">
        <f aca="false">I334+MAX(D334,J333)</f>
        <v>#N/A</v>
      </c>
      <c r="K334" s="46" t="e">
        <f aca="false">IF((H334=0),J334-D334,0)</f>
        <v>#N/A</v>
      </c>
      <c r="L334" s="46" t="e">
        <f aca="true">IF(($H334=0),0,$D$4+$D$5*(RAND()-0.5))</f>
        <v>#N/A</v>
      </c>
      <c r="M334" s="46" t="e">
        <f aca="false">L334+MAX(D334,M333)</f>
        <v>#N/A</v>
      </c>
      <c r="N334" s="46" t="e">
        <f aca="false">IF((H334=1),M334-D334,0)</f>
        <v>#N/A</v>
      </c>
      <c r="O334" s="29" t="n">
        <v>317</v>
      </c>
      <c r="P334" s="49" t="e">
        <f aca="false">IF((Arterial=0),P333+1,P333)</f>
        <v>#N/A</v>
      </c>
      <c r="Q334" s="49" t="e">
        <f aca="false">IF((Arterial=1),Q333+1,Q333)</f>
        <v>#N/A</v>
      </c>
      <c r="R334" s="50" t="n">
        <f aca="false">IF((RESET=1),0,R334+K334)</f>
        <v>0</v>
      </c>
      <c r="S334" s="19" t="n">
        <f aca="false">IF(RESET=1,0,S334+N334)</f>
        <v>0</v>
      </c>
      <c r="T334" s="0" t="n">
        <f aca="false">IF(RESET=1,0,T334+IF(H334=0,1,0))</f>
        <v>0</v>
      </c>
      <c r="U334" s="0" t="n">
        <f aca="false">IF(RESET=1,0,U334+H334)</f>
        <v>0</v>
      </c>
      <c r="V334" s="19" t="n">
        <f aca="false">R334/(T334+0.00001)</f>
        <v>0</v>
      </c>
      <c r="W334" s="19" t="n">
        <f aca="false">S334/(U334+0.0001)</f>
        <v>0</v>
      </c>
      <c r="X334" s="47" t="e">
        <f aca="false">IF(Informed=1,K334,0)</f>
        <v>#N/A</v>
      </c>
      <c r="Y334" s="47" t="n">
        <f aca="false">IF(Informed=0,K334,0)</f>
        <v>0</v>
      </c>
      <c r="Z334" s="47" t="e">
        <f aca="false">IF(Informed=1,N334,0)</f>
        <v>#N/A</v>
      </c>
      <c r="AA334" s="47" t="n">
        <f aca="false">IF(Informed=0,N334,0)</f>
        <v>0</v>
      </c>
      <c r="AB334" s="51" t="e">
        <f aca="false">IF(Arterial=0,IF(Informed=1,1,0),0)</f>
        <v>#N/A</v>
      </c>
      <c r="AC334" s="51" t="e">
        <f aca="false">IF(Arterial=0,IF(Informed=0,1,0),0)</f>
        <v>#N/A</v>
      </c>
      <c r="AD334" s="51" t="e">
        <f aca="false">IF(Arterial=1,IF(Informed=1,1,0),0)</f>
        <v>#N/A</v>
      </c>
      <c r="AE334" s="51" t="e">
        <f aca="false">IF(Arterial=1,IF(Informed=0,1,0),0)</f>
        <v>#N/A</v>
      </c>
      <c r="AF334" s="44" t="e">
        <f aca="false">IF(AB334=1,(X334-G$1030)^2,0)</f>
        <v>#N/A</v>
      </c>
      <c r="AG334" s="44" t="e">
        <f aca="false">IF(AC334=1,(Y334-H$1030)^2,0)</f>
        <v>#N/A</v>
      </c>
      <c r="AH334" s="44" t="e">
        <f aca="false">IF(AD334=1,(Z334-I$1030)^2,0)</f>
        <v>#N/A</v>
      </c>
      <c r="AI334" s="44" t="e">
        <f aca="false">IF(AE334=1,(AA334-J$1030)^2,0)</f>
        <v>#N/A</v>
      </c>
    </row>
    <row r="335" customFormat="false" ht="12" hidden="false" customHeight="false" outlineLevel="0" collapsed="false">
      <c r="A335" s="29" t="n">
        <v>318</v>
      </c>
      <c r="B335" s="45" t="n">
        <f aca="true">IF(RAND()&lt;$D$8,1,0)</f>
        <v>1</v>
      </c>
      <c r="C335" s="34" t="n">
        <f aca="true">-LN(RAND())/$D$2</f>
        <v>0.591013494531157</v>
      </c>
      <c r="D335" s="46" t="n">
        <f aca="false">D334+C335</f>
        <v>502.364955553629</v>
      </c>
      <c r="E335" s="47" t="e">
        <f aca="false">MAX($D$3,(1+P334-VLOOKUP(VALUE(D335),$J$18:$Q334,7,TRUE()))*$D$3)</f>
        <v>#N/A</v>
      </c>
      <c r="F335" s="47" t="e">
        <f aca="false">MAX($D$4,(1+Q334-VLOOKUP(VALUE(D335),$M$18:$Q334,5,TRUE()))*$D$4)</f>
        <v>#N/A</v>
      </c>
      <c r="G335" s="48" t="n">
        <v>0.5</v>
      </c>
      <c r="H335" s="46" t="e">
        <f aca="true">IF((B335=1),(IF((F335&lt;E335),1,(IF((F335=E335),(IF(RAND()&lt;G335,1,0)),0)))),(IF((RAND()&lt;G335),1,0)))</f>
        <v>#N/A</v>
      </c>
      <c r="I335" s="46" t="e">
        <f aca="true">IF((H335=1),0,$D$3+$D$5*(RAND()-0.5))</f>
        <v>#N/A</v>
      </c>
      <c r="J335" s="46" t="e">
        <f aca="false">I335+MAX(D335,J334)</f>
        <v>#N/A</v>
      </c>
      <c r="K335" s="46" t="e">
        <f aca="false">IF((H335=0),J335-D335,0)</f>
        <v>#N/A</v>
      </c>
      <c r="L335" s="46" t="e">
        <f aca="true">IF(($H335=0),0,$D$4+$D$5*(RAND()-0.5))</f>
        <v>#N/A</v>
      </c>
      <c r="M335" s="46" t="e">
        <f aca="false">L335+MAX(D335,M334)</f>
        <v>#N/A</v>
      </c>
      <c r="N335" s="46" t="e">
        <f aca="false">IF((H335=1),M335-D335,0)</f>
        <v>#N/A</v>
      </c>
      <c r="O335" s="29" t="n">
        <v>318</v>
      </c>
      <c r="P335" s="49" t="e">
        <f aca="false">IF((Arterial=0),P334+1,P334)</f>
        <v>#N/A</v>
      </c>
      <c r="Q335" s="49" t="e">
        <f aca="false">IF((Arterial=1),Q334+1,Q334)</f>
        <v>#N/A</v>
      </c>
      <c r="R335" s="50" t="n">
        <f aca="false">IF((RESET=1),0,R335+K335)</f>
        <v>0</v>
      </c>
      <c r="S335" s="19" t="n">
        <f aca="false">IF(RESET=1,0,S335+N335)</f>
        <v>0</v>
      </c>
      <c r="T335" s="0" t="n">
        <f aca="false">IF(RESET=1,0,T335+IF(H335=0,1,0))</f>
        <v>0</v>
      </c>
      <c r="U335" s="0" t="n">
        <f aca="false">IF(RESET=1,0,U335+H335)</f>
        <v>0</v>
      </c>
      <c r="V335" s="19" t="n">
        <f aca="false">R335/(T335+0.00001)</f>
        <v>0</v>
      </c>
      <c r="W335" s="19" t="n">
        <f aca="false">S335/(U335+0.0001)</f>
        <v>0</v>
      </c>
      <c r="X335" s="47" t="e">
        <f aca="false">IF(Informed=1,K335,0)</f>
        <v>#N/A</v>
      </c>
      <c r="Y335" s="47" t="n">
        <f aca="false">IF(Informed=0,K335,0)</f>
        <v>0</v>
      </c>
      <c r="Z335" s="47" t="e">
        <f aca="false">IF(Informed=1,N335,0)</f>
        <v>#N/A</v>
      </c>
      <c r="AA335" s="47" t="n">
        <f aca="false">IF(Informed=0,N335,0)</f>
        <v>0</v>
      </c>
      <c r="AB335" s="51" t="e">
        <f aca="false">IF(Arterial=0,IF(Informed=1,1,0),0)</f>
        <v>#N/A</v>
      </c>
      <c r="AC335" s="51" t="e">
        <f aca="false">IF(Arterial=0,IF(Informed=0,1,0),0)</f>
        <v>#N/A</v>
      </c>
      <c r="AD335" s="51" t="e">
        <f aca="false">IF(Arterial=1,IF(Informed=1,1,0),0)</f>
        <v>#N/A</v>
      </c>
      <c r="AE335" s="51" t="e">
        <f aca="false">IF(Arterial=1,IF(Informed=0,1,0),0)</f>
        <v>#N/A</v>
      </c>
      <c r="AF335" s="44" t="e">
        <f aca="false">IF(AB335=1,(X335-G$1030)^2,0)</f>
        <v>#N/A</v>
      </c>
      <c r="AG335" s="44" t="e">
        <f aca="false">IF(AC335=1,(Y335-H$1030)^2,0)</f>
        <v>#N/A</v>
      </c>
      <c r="AH335" s="44" t="e">
        <f aca="false">IF(AD335=1,(Z335-I$1030)^2,0)</f>
        <v>#N/A</v>
      </c>
      <c r="AI335" s="44" t="e">
        <f aca="false">IF(AE335=1,(AA335-J$1030)^2,0)</f>
        <v>#N/A</v>
      </c>
    </row>
    <row r="336" customFormat="false" ht="12" hidden="false" customHeight="false" outlineLevel="0" collapsed="false">
      <c r="A336" s="29" t="n">
        <v>319</v>
      </c>
      <c r="B336" s="45" t="n">
        <f aca="true">IF(RAND()&lt;$D$8,1,0)</f>
        <v>1</v>
      </c>
      <c r="C336" s="34" t="n">
        <f aca="true">-LN(RAND())/$D$2</f>
        <v>0.463489964934496</v>
      </c>
      <c r="D336" s="46" t="n">
        <f aca="false">D335+C336</f>
        <v>502.828445518564</v>
      </c>
      <c r="E336" s="47" t="e">
        <f aca="false">MAX($D$3,(1+P335-VLOOKUP(VALUE(D336),$J$18:$Q335,7,TRUE()))*$D$3)</f>
        <v>#N/A</v>
      </c>
      <c r="F336" s="47" t="e">
        <f aca="false">MAX($D$4,(1+Q335-VLOOKUP(VALUE(D336),$M$18:$Q335,5,TRUE()))*$D$4)</f>
        <v>#N/A</v>
      </c>
      <c r="G336" s="48" t="n">
        <v>0.5</v>
      </c>
      <c r="H336" s="46" t="e">
        <f aca="true">IF((B336=1),(IF((F336&lt;E336),1,(IF((F336=E336),(IF(RAND()&lt;G336,1,0)),0)))),(IF((RAND()&lt;G336),1,0)))</f>
        <v>#N/A</v>
      </c>
      <c r="I336" s="46" t="e">
        <f aca="true">IF((H336=1),0,$D$3+$D$5*(RAND()-0.5))</f>
        <v>#N/A</v>
      </c>
      <c r="J336" s="46" t="e">
        <f aca="false">I336+MAX(D336,J335)</f>
        <v>#N/A</v>
      </c>
      <c r="K336" s="46" t="e">
        <f aca="false">IF((H336=0),J336-D336,0)</f>
        <v>#N/A</v>
      </c>
      <c r="L336" s="46" t="e">
        <f aca="true">IF(($H336=0),0,$D$4+$D$5*(RAND()-0.5))</f>
        <v>#N/A</v>
      </c>
      <c r="M336" s="46" t="e">
        <f aca="false">L336+MAX(D336,M335)</f>
        <v>#N/A</v>
      </c>
      <c r="N336" s="46" t="e">
        <f aca="false">IF((H336=1),M336-D336,0)</f>
        <v>#N/A</v>
      </c>
      <c r="O336" s="29" t="n">
        <v>319</v>
      </c>
      <c r="P336" s="49" t="e">
        <f aca="false">IF((Arterial=0),P335+1,P335)</f>
        <v>#N/A</v>
      </c>
      <c r="Q336" s="49" t="e">
        <f aca="false">IF((Arterial=1),Q335+1,Q335)</f>
        <v>#N/A</v>
      </c>
      <c r="R336" s="50" t="n">
        <f aca="false">IF((RESET=1),0,R336+K336)</f>
        <v>0</v>
      </c>
      <c r="S336" s="19" t="n">
        <f aca="false">IF(RESET=1,0,S336+N336)</f>
        <v>0</v>
      </c>
      <c r="T336" s="0" t="n">
        <f aca="false">IF(RESET=1,0,T336+IF(H336=0,1,0))</f>
        <v>0</v>
      </c>
      <c r="U336" s="0" t="n">
        <f aca="false">IF(RESET=1,0,U336+H336)</f>
        <v>0</v>
      </c>
      <c r="V336" s="19" t="n">
        <f aca="false">R336/(T336+0.00001)</f>
        <v>0</v>
      </c>
      <c r="W336" s="19" t="n">
        <f aca="false">S336/(U336+0.0001)</f>
        <v>0</v>
      </c>
      <c r="X336" s="47" t="e">
        <f aca="false">IF(Informed=1,K336,0)</f>
        <v>#N/A</v>
      </c>
      <c r="Y336" s="47" t="n">
        <f aca="false">IF(Informed=0,K336,0)</f>
        <v>0</v>
      </c>
      <c r="Z336" s="47" t="e">
        <f aca="false">IF(Informed=1,N336,0)</f>
        <v>#N/A</v>
      </c>
      <c r="AA336" s="47" t="n">
        <f aca="false">IF(Informed=0,N336,0)</f>
        <v>0</v>
      </c>
      <c r="AB336" s="51" t="e">
        <f aca="false">IF(Arterial=0,IF(Informed=1,1,0),0)</f>
        <v>#N/A</v>
      </c>
      <c r="AC336" s="51" t="e">
        <f aca="false">IF(Arterial=0,IF(Informed=0,1,0),0)</f>
        <v>#N/A</v>
      </c>
      <c r="AD336" s="51" t="e">
        <f aca="false">IF(Arterial=1,IF(Informed=1,1,0),0)</f>
        <v>#N/A</v>
      </c>
      <c r="AE336" s="51" t="e">
        <f aca="false">IF(Arterial=1,IF(Informed=0,1,0),0)</f>
        <v>#N/A</v>
      </c>
      <c r="AF336" s="44" t="e">
        <f aca="false">IF(AB336=1,(X336-G$1030)^2,0)</f>
        <v>#N/A</v>
      </c>
      <c r="AG336" s="44" t="e">
        <f aca="false">IF(AC336=1,(Y336-H$1030)^2,0)</f>
        <v>#N/A</v>
      </c>
      <c r="AH336" s="44" t="e">
        <f aca="false">IF(AD336=1,(Z336-I$1030)^2,0)</f>
        <v>#N/A</v>
      </c>
      <c r="AI336" s="44" t="e">
        <f aca="false">IF(AE336=1,(AA336-J$1030)^2,0)</f>
        <v>#N/A</v>
      </c>
    </row>
    <row r="337" customFormat="false" ht="12" hidden="false" customHeight="false" outlineLevel="0" collapsed="false">
      <c r="A337" s="29" t="n">
        <v>320</v>
      </c>
      <c r="B337" s="45" t="n">
        <f aca="true">IF(RAND()&lt;$D$8,1,0)</f>
        <v>1</v>
      </c>
      <c r="C337" s="34" t="n">
        <f aca="true">-LN(RAND())/$D$2</f>
        <v>1.25662129158187</v>
      </c>
      <c r="D337" s="46" t="n">
        <f aca="false">D336+C337</f>
        <v>504.085066810145</v>
      </c>
      <c r="E337" s="47" t="e">
        <f aca="false">MAX($D$3,(1+P336-VLOOKUP(VALUE(D337),$J$18:$Q336,7,TRUE()))*$D$3)</f>
        <v>#N/A</v>
      </c>
      <c r="F337" s="47" t="e">
        <f aca="false">MAX($D$4,(1+Q336-VLOOKUP(VALUE(D337),$M$18:$Q336,5,TRUE()))*$D$4)</f>
        <v>#N/A</v>
      </c>
      <c r="G337" s="48" t="n">
        <v>0.5</v>
      </c>
      <c r="H337" s="46" t="e">
        <f aca="true">IF((B337=1),(IF((F337&lt;E337),1,(IF((F337=E337),(IF(RAND()&lt;G337,1,0)),0)))),(IF((RAND()&lt;G337),1,0)))</f>
        <v>#N/A</v>
      </c>
      <c r="I337" s="46" t="e">
        <f aca="true">IF((H337=1),0,$D$3+$D$5*(RAND()-0.5))</f>
        <v>#N/A</v>
      </c>
      <c r="J337" s="46" t="e">
        <f aca="false">I337+MAX(D337,J336)</f>
        <v>#N/A</v>
      </c>
      <c r="K337" s="46" t="e">
        <f aca="false">IF((H337=0),J337-D337,0)</f>
        <v>#N/A</v>
      </c>
      <c r="L337" s="46" t="e">
        <f aca="true">IF(($H337=0),0,$D$4+$D$5*(RAND()-0.5))</f>
        <v>#N/A</v>
      </c>
      <c r="M337" s="46" t="e">
        <f aca="false">L337+MAX(D337,M336)</f>
        <v>#N/A</v>
      </c>
      <c r="N337" s="46" t="e">
        <f aca="false">IF((H337=1),M337-D337,0)</f>
        <v>#N/A</v>
      </c>
      <c r="O337" s="29" t="n">
        <v>320</v>
      </c>
      <c r="P337" s="49" t="e">
        <f aca="false">IF((Arterial=0),P336+1,P336)</f>
        <v>#N/A</v>
      </c>
      <c r="Q337" s="49" t="e">
        <f aca="false">IF((Arterial=1),Q336+1,Q336)</f>
        <v>#N/A</v>
      </c>
      <c r="R337" s="50" t="n">
        <f aca="false">IF((RESET=1),0,R337+K337)</f>
        <v>0</v>
      </c>
      <c r="S337" s="19" t="n">
        <f aca="false">IF(RESET=1,0,S337+N337)</f>
        <v>0</v>
      </c>
      <c r="T337" s="0" t="n">
        <f aca="false">IF(RESET=1,0,T337+IF(H337=0,1,0))</f>
        <v>0</v>
      </c>
      <c r="U337" s="0" t="n">
        <f aca="false">IF(RESET=1,0,U337+H337)</f>
        <v>0</v>
      </c>
      <c r="V337" s="19" t="n">
        <f aca="false">R337/(T337+0.00001)</f>
        <v>0</v>
      </c>
      <c r="W337" s="19" t="n">
        <f aca="false">S337/(U337+0.0001)</f>
        <v>0</v>
      </c>
      <c r="X337" s="47" t="e">
        <f aca="false">IF(Informed=1,K337,0)</f>
        <v>#N/A</v>
      </c>
      <c r="Y337" s="47" t="n">
        <f aca="false">IF(Informed=0,K337,0)</f>
        <v>0</v>
      </c>
      <c r="Z337" s="47" t="e">
        <f aca="false">IF(Informed=1,N337,0)</f>
        <v>#N/A</v>
      </c>
      <c r="AA337" s="47" t="n">
        <f aca="false">IF(Informed=0,N337,0)</f>
        <v>0</v>
      </c>
      <c r="AB337" s="51" t="e">
        <f aca="false">IF(Arterial=0,IF(Informed=1,1,0),0)</f>
        <v>#N/A</v>
      </c>
      <c r="AC337" s="51" t="e">
        <f aca="false">IF(Arterial=0,IF(Informed=0,1,0),0)</f>
        <v>#N/A</v>
      </c>
      <c r="AD337" s="51" t="e">
        <f aca="false">IF(Arterial=1,IF(Informed=1,1,0),0)</f>
        <v>#N/A</v>
      </c>
      <c r="AE337" s="51" t="e">
        <f aca="false">IF(Arterial=1,IF(Informed=0,1,0),0)</f>
        <v>#N/A</v>
      </c>
      <c r="AF337" s="44" t="e">
        <f aca="false">IF(AB337=1,(X337-G$1030)^2,0)</f>
        <v>#N/A</v>
      </c>
      <c r="AG337" s="44" t="e">
        <f aca="false">IF(AC337=1,(Y337-H$1030)^2,0)</f>
        <v>#N/A</v>
      </c>
      <c r="AH337" s="44" t="e">
        <f aca="false">IF(AD337=1,(Z337-I$1030)^2,0)</f>
        <v>#N/A</v>
      </c>
      <c r="AI337" s="44" t="e">
        <f aca="false">IF(AE337=1,(AA337-J$1030)^2,0)</f>
        <v>#N/A</v>
      </c>
    </row>
    <row r="338" customFormat="false" ht="12" hidden="false" customHeight="false" outlineLevel="0" collapsed="false">
      <c r="A338" s="29" t="n">
        <v>321</v>
      </c>
      <c r="B338" s="45" t="n">
        <f aca="true">IF(RAND()&lt;$D$8,1,0)</f>
        <v>1</v>
      </c>
      <c r="C338" s="34" t="n">
        <f aca="true">-LN(RAND())/$D$2</f>
        <v>1.38758727585851</v>
      </c>
      <c r="D338" s="46" t="n">
        <f aca="false">D337+C338</f>
        <v>505.472654086004</v>
      </c>
      <c r="E338" s="47" t="e">
        <f aca="false">MAX($D$3,(1+P337-VLOOKUP(VALUE(D338),$J$18:$Q337,7,TRUE()))*$D$3)</f>
        <v>#N/A</v>
      </c>
      <c r="F338" s="47" t="e">
        <f aca="false">MAX($D$4,(1+Q337-VLOOKUP(VALUE(D338),$M$18:$Q337,5,TRUE()))*$D$4)</f>
        <v>#N/A</v>
      </c>
      <c r="G338" s="48" t="n">
        <v>0.5</v>
      </c>
      <c r="H338" s="46" t="e">
        <f aca="true">IF((B338=1),(IF((F338&lt;E338),1,(IF((F338=E338),(IF(RAND()&lt;G338,1,0)),0)))),(IF((RAND()&lt;G338),1,0)))</f>
        <v>#N/A</v>
      </c>
      <c r="I338" s="46" t="e">
        <f aca="true">IF((H338=1),0,$D$3+$D$5*(RAND()-0.5))</f>
        <v>#N/A</v>
      </c>
      <c r="J338" s="46" t="e">
        <f aca="false">I338+MAX(D338,J337)</f>
        <v>#N/A</v>
      </c>
      <c r="K338" s="46" t="e">
        <f aca="false">IF((H338=0),J338-D338,0)</f>
        <v>#N/A</v>
      </c>
      <c r="L338" s="46" t="e">
        <f aca="true">IF(($H338=0),0,$D$4+$D$5*(RAND()-0.5))</f>
        <v>#N/A</v>
      </c>
      <c r="M338" s="46" t="e">
        <f aca="false">L338+MAX(D338,M337)</f>
        <v>#N/A</v>
      </c>
      <c r="N338" s="46" t="e">
        <f aca="false">IF((H338=1),M338-D338,0)</f>
        <v>#N/A</v>
      </c>
      <c r="O338" s="29" t="n">
        <v>321</v>
      </c>
      <c r="P338" s="49" t="e">
        <f aca="false">IF((Arterial=0),P337+1,P337)</f>
        <v>#N/A</v>
      </c>
      <c r="Q338" s="49" t="e">
        <f aca="false">IF((Arterial=1),Q337+1,Q337)</f>
        <v>#N/A</v>
      </c>
      <c r="R338" s="50" t="n">
        <f aca="false">IF((RESET=1),0,R338+K338)</f>
        <v>0</v>
      </c>
      <c r="S338" s="19" t="n">
        <f aca="false">IF(RESET=1,0,S338+N338)</f>
        <v>0</v>
      </c>
      <c r="T338" s="0" t="n">
        <f aca="false">IF(RESET=1,0,T338+IF(H338=0,1,0))</f>
        <v>0</v>
      </c>
      <c r="U338" s="0" t="n">
        <f aca="false">IF(RESET=1,0,U338+H338)</f>
        <v>0</v>
      </c>
      <c r="V338" s="19" t="n">
        <f aca="false">R338/(T338+0.00001)</f>
        <v>0</v>
      </c>
      <c r="W338" s="19" t="n">
        <f aca="false">S338/(U338+0.0001)</f>
        <v>0</v>
      </c>
      <c r="X338" s="47" t="e">
        <f aca="false">IF(Informed=1,K338,0)</f>
        <v>#N/A</v>
      </c>
      <c r="Y338" s="47" t="n">
        <f aca="false">IF(Informed=0,K338,0)</f>
        <v>0</v>
      </c>
      <c r="Z338" s="47" t="e">
        <f aca="false">IF(Informed=1,N338,0)</f>
        <v>#N/A</v>
      </c>
      <c r="AA338" s="47" t="n">
        <f aca="false">IF(Informed=0,N338,0)</f>
        <v>0</v>
      </c>
      <c r="AB338" s="51" t="e">
        <f aca="false">IF(Arterial=0,IF(Informed=1,1,0),0)</f>
        <v>#N/A</v>
      </c>
      <c r="AC338" s="51" t="e">
        <f aca="false">IF(Arterial=0,IF(Informed=0,1,0),0)</f>
        <v>#N/A</v>
      </c>
      <c r="AD338" s="51" t="e">
        <f aca="false">IF(Arterial=1,IF(Informed=1,1,0),0)</f>
        <v>#N/A</v>
      </c>
      <c r="AE338" s="51" t="e">
        <f aca="false">IF(Arterial=1,IF(Informed=0,1,0),0)</f>
        <v>#N/A</v>
      </c>
      <c r="AF338" s="44" t="e">
        <f aca="false">IF(AB338=1,(X338-G$1030)^2,0)</f>
        <v>#N/A</v>
      </c>
      <c r="AG338" s="44" t="e">
        <f aca="false">IF(AC338=1,(Y338-H$1030)^2,0)</f>
        <v>#N/A</v>
      </c>
      <c r="AH338" s="44" t="e">
        <f aca="false">IF(AD338=1,(Z338-I$1030)^2,0)</f>
        <v>#N/A</v>
      </c>
      <c r="AI338" s="44" t="e">
        <f aca="false">IF(AE338=1,(AA338-J$1030)^2,0)</f>
        <v>#N/A</v>
      </c>
    </row>
    <row r="339" customFormat="false" ht="12" hidden="false" customHeight="false" outlineLevel="0" collapsed="false">
      <c r="A339" s="29" t="n">
        <v>322</v>
      </c>
      <c r="B339" s="45" t="n">
        <f aca="true">IF(RAND()&lt;$D$8,1,0)</f>
        <v>1</v>
      </c>
      <c r="C339" s="34" t="n">
        <f aca="true">-LN(RAND())/$D$2</f>
        <v>3.95207965502322</v>
      </c>
      <c r="D339" s="46" t="n">
        <f aca="false">D338+C339</f>
        <v>509.424733741027</v>
      </c>
      <c r="E339" s="47" t="e">
        <f aca="false">MAX($D$3,(1+P338-VLOOKUP(VALUE(D339),$J$18:$Q338,7,TRUE()))*$D$3)</f>
        <v>#N/A</v>
      </c>
      <c r="F339" s="47" t="e">
        <f aca="false">MAX($D$4,(1+Q338-VLOOKUP(VALUE(D339),$M$18:$Q338,5,TRUE()))*$D$4)</f>
        <v>#N/A</v>
      </c>
      <c r="G339" s="48" t="n">
        <v>0.5</v>
      </c>
      <c r="H339" s="46" t="e">
        <f aca="true">IF((B339=1),(IF((F339&lt;E339),1,(IF((F339=E339),(IF(RAND()&lt;G339,1,0)),0)))),(IF((RAND()&lt;G339),1,0)))</f>
        <v>#N/A</v>
      </c>
      <c r="I339" s="46" t="e">
        <f aca="true">IF((H339=1),0,$D$3+$D$5*(RAND()-0.5))</f>
        <v>#N/A</v>
      </c>
      <c r="J339" s="46" t="e">
        <f aca="false">I339+MAX(D339,J338)</f>
        <v>#N/A</v>
      </c>
      <c r="K339" s="46" t="e">
        <f aca="false">IF((H339=0),J339-D339,0)</f>
        <v>#N/A</v>
      </c>
      <c r="L339" s="46" t="e">
        <f aca="true">IF(($H339=0),0,$D$4+$D$5*(RAND()-0.5))</f>
        <v>#N/A</v>
      </c>
      <c r="M339" s="46" t="e">
        <f aca="false">L339+MAX(D339,M338)</f>
        <v>#N/A</v>
      </c>
      <c r="N339" s="46" t="e">
        <f aca="false">IF((H339=1),M339-D339,0)</f>
        <v>#N/A</v>
      </c>
      <c r="O339" s="29" t="n">
        <v>322</v>
      </c>
      <c r="P339" s="49" t="e">
        <f aca="false">IF((Arterial=0),P338+1,P338)</f>
        <v>#N/A</v>
      </c>
      <c r="Q339" s="49" t="e">
        <f aca="false">IF((Arterial=1),Q338+1,Q338)</f>
        <v>#N/A</v>
      </c>
      <c r="R339" s="50" t="n">
        <f aca="false">IF((RESET=1),0,R339+K339)</f>
        <v>0</v>
      </c>
      <c r="S339" s="19" t="n">
        <f aca="false">IF(RESET=1,0,S339+N339)</f>
        <v>0</v>
      </c>
      <c r="T339" s="0" t="n">
        <f aca="false">IF(RESET=1,0,T339+IF(H339=0,1,0))</f>
        <v>0</v>
      </c>
      <c r="U339" s="0" t="n">
        <f aca="false">IF(RESET=1,0,U339+H339)</f>
        <v>0</v>
      </c>
      <c r="V339" s="19" t="n">
        <f aca="false">R339/(T339+0.00001)</f>
        <v>0</v>
      </c>
      <c r="W339" s="19" t="n">
        <f aca="false">S339/(U339+0.0001)</f>
        <v>0</v>
      </c>
      <c r="X339" s="47" t="e">
        <f aca="false">IF(Informed=1,K339,0)</f>
        <v>#N/A</v>
      </c>
      <c r="Y339" s="47" t="n">
        <f aca="false">IF(Informed=0,K339,0)</f>
        <v>0</v>
      </c>
      <c r="Z339" s="47" t="e">
        <f aca="false">IF(Informed=1,N339,0)</f>
        <v>#N/A</v>
      </c>
      <c r="AA339" s="47" t="n">
        <f aca="false">IF(Informed=0,N339,0)</f>
        <v>0</v>
      </c>
      <c r="AB339" s="51" t="e">
        <f aca="false">IF(Arterial=0,IF(Informed=1,1,0),0)</f>
        <v>#N/A</v>
      </c>
      <c r="AC339" s="51" t="e">
        <f aca="false">IF(Arterial=0,IF(Informed=0,1,0),0)</f>
        <v>#N/A</v>
      </c>
      <c r="AD339" s="51" t="e">
        <f aca="false">IF(Arterial=1,IF(Informed=1,1,0),0)</f>
        <v>#N/A</v>
      </c>
      <c r="AE339" s="51" t="e">
        <f aca="false">IF(Arterial=1,IF(Informed=0,1,0),0)</f>
        <v>#N/A</v>
      </c>
      <c r="AF339" s="44" t="e">
        <f aca="false">IF(AB339=1,(X339-G$1030)^2,0)</f>
        <v>#N/A</v>
      </c>
      <c r="AG339" s="44" t="e">
        <f aca="false">IF(AC339=1,(Y339-H$1030)^2,0)</f>
        <v>#N/A</v>
      </c>
      <c r="AH339" s="44" t="e">
        <f aca="false">IF(AD339=1,(Z339-I$1030)^2,0)</f>
        <v>#N/A</v>
      </c>
      <c r="AI339" s="44" t="e">
        <f aca="false">IF(AE339=1,(AA339-J$1030)^2,0)</f>
        <v>#N/A</v>
      </c>
    </row>
    <row r="340" customFormat="false" ht="12" hidden="false" customHeight="false" outlineLevel="0" collapsed="false">
      <c r="A340" s="29" t="n">
        <v>323</v>
      </c>
      <c r="B340" s="45" t="n">
        <f aca="true">IF(RAND()&lt;$D$8,1,0)</f>
        <v>1</v>
      </c>
      <c r="C340" s="34" t="n">
        <f aca="true">-LN(RAND())/$D$2</f>
        <v>0.222404538033272</v>
      </c>
      <c r="D340" s="46" t="n">
        <f aca="false">D339+C340</f>
        <v>509.64713827906</v>
      </c>
      <c r="E340" s="47" t="e">
        <f aca="false">MAX($D$3,(1+P339-VLOOKUP(VALUE(D340),$J$18:$Q339,7,TRUE()))*$D$3)</f>
        <v>#N/A</v>
      </c>
      <c r="F340" s="47" t="e">
        <f aca="false">MAX($D$4,(1+Q339-VLOOKUP(VALUE(D340),$M$18:$Q339,5,TRUE()))*$D$4)</f>
        <v>#N/A</v>
      </c>
      <c r="G340" s="48" t="n">
        <v>0.5</v>
      </c>
      <c r="H340" s="46" t="e">
        <f aca="true">IF((B340=1),(IF((F340&lt;E340),1,(IF((F340=E340),(IF(RAND()&lt;G340,1,0)),0)))),(IF((RAND()&lt;G340),1,0)))</f>
        <v>#N/A</v>
      </c>
      <c r="I340" s="46" t="e">
        <f aca="true">IF((H340=1),0,$D$3+$D$5*(RAND()-0.5))</f>
        <v>#N/A</v>
      </c>
      <c r="J340" s="46" t="e">
        <f aca="false">I340+MAX(D340,J339)</f>
        <v>#N/A</v>
      </c>
      <c r="K340" s="46" t="e">
        <f aca="false">IF((H340=0),J340-D340,0)</f>
        <v>#N/A</v>
      </c>
      <c r="L340" s="46" t="e">
        <f aca="true">IF(($H340=0),0,$D$4+$D$5*(RAND()-0.5))</f>
        <v>#N/A</v>
      </c>
      <c r="M340" s="46" t="e">
        <f aca="false">L340+MAX(D340,M339)</f>
        <v>#N/A</v>
      </c>
      <c r="N340" s="46" t="e">
        <f aca="false">IF((H340=1),M340-D340,0)</f>
        <v>#N/A</v>
      </c>
      <c r="O340" s="29" t="n">
        <v>323</v>
      </c>
      <c r="P340" s="49" t="e">
        <f aca="false">IF((Arterial=0),P339+1,P339)</f>
        <v>#N/A</v>
      </c>
      <c r="Q340" s="49" t="e">
        <f aca="false">IF((Arterial=1),Q339+1,Q339)</f>
        <v>#N/A</v>
      </c>
      <c r="R340" s="50" t="n">
        <f aca="false">IF((RESET=1),0,R340+K340)</f>
        <v>0</v>
      </c>
      <c r="S340" s="19" t="n">
        <f aca="false">IF(RESET=1,0,S340+N340)</f>
        <v>0</v>
      </c>
      <c r="T340" s="0" t="n">
        <f aca="false">IF(RESET=1,0,T340+IF(H340=0,1,0))</f>
        <v>0</v>
      </c>
      <c r="U340" s="0" t="n">
        <f aca="false">IF(RESET=1,0,U340+H340)</f>
        <v>0</v>
      </c>
      <c r="V340" s="19" t="n">
        <f aca="false">R340/(T340+0.00001)</f>
        <v>0</v>
      </c>
      <c r="W340" s="19" t="n">
        <f aca="false">S340/(U340+0.0001)</f>
        <v>0</v>
      </c>
      <c r="X340" s="47" t="e">
        <f aca="false">IF(Informed=1,K340,0)</f>
        <v>#N/A</v>
      </c>
      <c r="Y340" s="47" t="n">
        <f aca="false">IF(Informed=0,K340,0)</f>
        <v>0</v>
      </c>
      <c r="Z340" s="47" t="e">
        <f aca="false">IF(Informed=1,N340,0)</f>
        <v>#N/A</v>
      </c>
      <c r="AA340" s="47" t="n">
        <f aca="false">IF(Informed=0,N340,0)</f>
        <v>0</v>
      </c>
      <c r="AB340" s="51" t="e">
        <f aca="false">IF(Arterial=0,IF(Informed=1,1,0),0)</f>
        <v>#N/A</v>
      </c>
      <c r="AC340" s="51" t="e">
        <f aca="false">IF(Arterial=0,IF(Informed=0,1,0),0)</f>
        <v>#N/A</v>
      </c>
      <c r="AD340" s="51" t="e">
        <f aca="false">IF(Arterial=1,IF(Informed=1,1,0),0)</f>
        <v>#N/A</v>
      </c>
      <c r="AE340" s="51" t="e">
        <f aca="false">IF(Arterial=1,IF(Informed=0,1,0),0)</f>
        <v>#N/A</v>
      </c>
      <c r="AF340" s="44" t="e">
        <f aca="false">IF(AB340=1,(X340-G$1030)^2,0)</f>
        <v>#N/A</v>
      </c>
      <c r="AG340" s="44" t="e">
        <f aca="false">IF(AC340=1,(Y340-H$1030)^2,0)</f>
        <v>#N/A</v>
      </c>
      <c r="AH340" s="44" t="e">
        <f aca="false">IF(AD340=1,(Z340-I$1030)^2,0)</f>
        <v>#N/A</v>
      </c>
      <c r="AI340" s="44" t="e">
        <f aca="false">IF(AE340=1,(AA340-J$1030)^2,0)</f>
        <v>#N/A</v>
      </c>
    </row>
    <row r="341" customFormat="false" ht="12" hidden="false" customHeight="false" outlineLevel="0" collapsed="false">
      <c r="A341" s="29" t="n">
        <v>324</v>
      </c>
      <c r="B341" s="45" t="n">
        <f aca="true">IF(RAND()&lt;$D$8,1,0)</f>
        <v>1</v>
      </c>
      <c r="C341" s="34" t="n">
        <f aca="true">-LN(RAND())/$D$2</f>
        <v>4.46894889304989</v>
      </c>
      <c r="D341" s="46" t="n">
        <f aca="false">D340+C341</f>
        <v>514.11608717211</v>
      </c>
      <c r="E341" s="47" t="e">
        <f aca="false">MAX($D$3,(1+P340-VLOOKUP(VALUE(D341),$J$18:$Q340,7,TRUE()))*$D$3)</f>
        <v>#N/A</v>
      </c>
      <c r="F341" s="47" t="e">
        <f aca="false">MAX($D$4,(1+Q340-VLOOKUP(VALUE(D341),$M$18:$Q340,5,TRUE()))*$D$4)</f>
        <v>#N/A</v>
      </c>
      <c r="G341" s="48" t="n">
        <v>0.5</v>
      </c>
      <c r="H341" s="46" t="e">
        <f aca="true">IF((B341=1),(IF((F341&lt;E341),1,(IF((F341=E341),(IF(RAND()&lt;G341,1,0)),0)))),(IF((RAND()&lt;G341),1,0)))</f>
        <v>#N/A</v>
      </c>
      <c r="I341" s="46" t="e">
        <f aca="true">IF((H341=1),0,$D$3+$D$5*(RAND()-0.5))</f>
        <v>#N/A</v>
      </c>
      <c r="J341" s="46" t="e">
        <f aca="false">I341+MAX(D341,J340)</f>
        <v>#N/A</v>
      </c>
      <c r="K341" s="46" t="e">
        <f aca="false">IF((H341=0),J341-D341,0)</f>
        <v>#N/A</v>
      </c>
      <c r="L341" s="46" t="e">
        <f aca="true">IF(($H341=0),0,$D$4+$D$5*(RAND()-0.5))</f>
        <v>#N/A</v>
      </c>
      <c r="M341" s="46" t="e">
        <f aca="false">L341+MAX(D341,M340)</f>
        <v>#N/A</v>
      </c>
      <c r="N341" s="46" t="e">
        <f aca="false">IF((H341=1),M341-D341,0)</f>
        <v>#N/A</v>
      </c>
      <c r="O341" s="29" t="n">
        <v>324</v>
      </c>
      <c r="P341" s="49" t="e">
        <f aca="false">IF((Arterial=0),P340+1,P340)</f>
        <v>#N/A</v>
      </c>
      <c r="Q341" s="49" t="e">
        <f aca="false">IF((Arterial=1),Q340+1,Q340)</f>
        <v>#N/A</v>
      </c>
      <c r="R341" s="50" t="n">
        <f aca="false">IF((RESET=1),0,R341+K341)</f>
        <v>0</v>
      </c>
      <c r="S341" s="19" t="n">
        <f aca="false">IF(RESET=1,0,S341+N341)</f>
        <v>0</v>
      </c>
      <c r="T341" s="0" t="n">
        <f aca="false">IF(RESET=1,0,T341+IF(H341=0,1,0))</f>
        <v>0</v>
      </c>
      <c r="U341" s="0" t="n">
        <f aca="false">IF(RESET=1,0,U341+H341)</f>
        <v>0</v>
      </c>
      <c r="V341" s="19" t="n">
        <f aca="false">R341/(T341+0.00001)</f>
        <v>0</v>
      </c>
      <c r="W341" s="19" t="n">
        <f aca="false">S341/(U341+0.0001)</f>
        <v>0</v>
      </c>
      <c r="X341" s="47" t="e">
        <f aca="false">IF(Informed=1,K341,0)</f>
        <v>#N/A</v>
      </c>
      <c r="Y341" s="47" t="n">
        <f aca="false">IF(Informed=0,K341,0)</f>
        <v>0</v>
      </c>
      <c r="Z341" s="47" t="e">
        <f aca="false">IF(Informed=1,N341,0)</f>
        <v>#N/A</v>
      </c>
      <c r="AA341" s="47" t="n">
        <f aca="false">IF(Informed=0,N341,0)</f>
        <v>0</v>
      </c>
      <c r="AB341" s="51" t="e">
        <f aca="false">IF(Arterial=0,IF(Informed=1,1,0),0)</f>
        <v>#N/A</v>
      </c>
      <c r="AC341" s="51" t="e">
        <f aca="false">IF(Arterial=0,IF(Informed=0,1,0),0)</f>
        <v>#N/A</v>
      </c>
      <c r="AD341" s="51" t="e">
        <f aca="false">IF(Arterial=1,IF(Informed=1,1,0),0)</f>
        <v>#N/A</v>
      </c>
      <c r="AE341" s="51" t="e">
        <f aca="false">IF(Arterial=1,IF(Informed=0,1,0),0)</f>
        <v>#N/A</v>
      </c>
      <c r="AF341" s="44" t="e">
        <f aca="false">IF(AB341=1,(X341-G$1030)^2,0)</f>
        <v>#N/A</v>
      </c>
      <c r="AG341" s="44" t="e">
        <f aca="false">IF(AC341=1,(Y341-H$1030)^2,0)</f>
        <v>#N/A</v>
      </c>
      <c r="AH341" s="44" t="e">
        <f aca="false">IF(AD341=1,(Z341-I$1030)^2,0)</f>
        <v>#N/A</v>
      </c>
      <c r="AI341" s="44" t="e">
        <f aca="false">IF(AE341=1,(AA341-J$1030)^2,0)</f>
        <v>#N/A</v>
      </c>
    </row>
    <row r="342" customFormat="false" ht="12" hidden="false" customHeight="false" outlineLevel="0" collapsed="false">
      <c r="A342" s="29" t="n">
        <v>325</v>
      </c>
      <c r="B342" s="45" t="n">
        <f aca="true">IF(RAND()&lt;$D$8,1,0)</f>
        <v>1</v>
      </c>
      <c r="C342" s="34" t="n">
        <f aca="true">-LN(RAND())/$D$2</f>
        <v>0.997771369731255</v>
      </c>
      <c r="D342" s="46" t="n">
        <f aca="false">D341+C342</f>
        <v>515.113858541842</v>
      </c>
      <c r="E342" s="47" t="e">
        <f aca="false">MAX($D$3,(1+P341-VLOOKUP(VALUE(D342),$J$18:$Q341,7,TRUE()))*$D$3)</f>
        <v>#N/A</v>
      </c>
      <c r="F342" s="47" t="e">
        <f aca="false">MAX($D$4,(1+Q341-VLOOKUP(VALUE(D342),$M$18:$Q341,5,TRUE()))*$D$4)</f>
        <v>#N/A</v>
      </c>
      <c r="G342" s="48" t="n">
        <v>0.5</v>
      </c>
      <c r="H342" s="46" t="e">
        <f aca="true">IF((B342=1),(IF((F342&lt;E342),1,(IF((F342=E342),(IF(RAND()&lt;G342,1,0)),0)))),(IF((RAND()&lt;G342),1,0)))</f>
        <v>#N/A</v>
      </c>
      <c r="I342" s="46" t="e">
        <f aca="true">IF((H342=1),0,$D$3+$D$5*(RAND()-0.5))</f>
        <v>#N/A</v>
      </c>
      <c r="J342" s="46" t="e">
        <f aca="false">I342+MAX(D342,J341)</f>
        <v>#N/A</v>
      </c>
      <c r="K342" s="46" t="e">
        <f aca="false">IF((H342=0),J342-D342,0)</f>
        <v>#N/A</v>
      </c>
      <c r="L342" s="46" t="e">
        <f aca="true">IF(($H342=0),0,$D$4+$D$5*(RAND()-0.5))</f>
        <v>#N/A</v>
      </c>
      <c r="M342" s="46" t="e">
        <f aca="false">L342+MAX(D342,M341)</f>
        <v>#N/A</v>
      </c>
      <c r="N342" s="46" t="e">
        <f aca="false">IF((H342=1),M342-D342,0)</f>
        <v>#N/A</v>
      </c>
      <c r="O342" s="29" t="n">
        <v>325</v>
      </c>
      <c r="P342" s="49" t="e">
        <f aca="false">IF((Arterial=0),P341+1,P341)</f>
        <v>#N/A</v>
      </c>
      <c r="Q342" s="49" t="e">
        <f aca="false">IF((Arterial=1),Q341+1,Q341)</f>
        <v>#N/A</v>
      </c>
      <c r="R342" s="50" t="n">
        <f aca="false">IF((RESET=1),0,R342+K342)</f>
        <v>0</v>
      </c>
      <c r="S342" s="19" t="n">
        <f aca="false">IF(RESET=1,0,S342+N342)</f>
        <v>0</v>
      </c>
      <c r="T342" s="0" t="n">
        <f aca="false">IF(RESET=1,0,T342+IF(H342=0,1,0))</f>
        <v>0</v>
      </c>
      <c r="U342" s="0" t="n">
        <f aca="false">IF(RESET=1,0,U342+H342)</f>
        <v>0</v>
      </c>
      <c r="V342" s="19" t="n">
        <f aca="false">R342/(T342+0.00001)</f>
        <v>0</v>
      </c>
      <c r="W342" s="19" t="n">
        <f aca="false">S342/(U342+0.0001)</f>
        <v>0</v>
      </c>
      <c r="X342" s="47" t="e">
        <f aca="false">IF(Informed=1,K342,0)</f>
        <v>#N/A</v>
      </c>
      <c r="Y342" s="47" t="n">
        <f aca="false">IF(Informed=0,K342,0)</f>
        <v>0</v>
      </c>
      <c r="Z342" s="47" t="e">
        <f aca="false">IF(Informed=1,N342,0)</f>
        <v>#N/A</v>
      </c>
      <c r="AA342" s="47" t="n">
        <f aca="false">IF(Informed=0,N342,0)</f>
        <v>0</v>
      </c>
      <c r="AB342" s="51" t="e">
        <f aca="false">IF(Arterial=0,IF(Informed=1,1,0),0)</f>
        <v>#N/A</v>
      </c>
      <c r="AC342" s="51" t="e">
        <f aca="false">IF(Arterial=0,IF(Informed=0,1,0),0)</f>
        <v>#N/A</v>
      </c>
      <c r="AD342" s="51" t="e">
        <f aca="false">IF(Arterial=1,IF(Informed=1,1,0),0)</f>
        <v>#N/A</v>
      </c>
      <c r="AE342" s="51" t="e">
        <f aca="false">IF(Arterial=1,IF(Informed=0,1,0),0)</f>
        <v>#N/A</v>
      </c>
      <c r="AF342" s="44" t="e">
        <f aca="false">IF(AB342=1,(X342-G$1030)^2,0)</f>
        <v>#N/A</v>
      </c>
      <c r="AG342" s="44" t="e">
        <f aca="false">IF(AC342=1,(Y342-H$1030)^2,0)</f>
        <v>#N/A</v>
      </c>
      <c r="AH342" s="44" t="e">
        <f aca="false">IF(AD342=1,(Z342-I$1030)^2,0)</f>
        <v>#N/A</v>
      </c>
      <c r="AI342" s="44" t="e">
        <f aca="false">IF(AE342=1,(AA342-J$1030)^2,0)</f>
        <v>#N/A</v>
      </c>
    </row>
    <row r="343" customFormat="false" ht="12" hidden="false" customHeight="false" outlineLevel="0" collapsed="false">
      <c r="A343" s="29" t="n">
        <v>326</v>
      </c>
      <c r="B343" s="45" t="n">
        <f aca="true">IF(RAND()&lt;$D$8,1,0)</f>
        <v>1</v>
      </c>
      <c r="C343" s="34" t="n">
        <f aca="true">-LN(RAND())/$D$2</f>
        <v>0.646880081253234</v>
      </c>
      <c r="D343" s="46" t="n">
        <f aca="false">D342+C343</f>
        <v>515.760738623095</v>
      </c>
      <c r="E343" s="47" t="e">
        <f aca="false">MAX($D$3,(1+P342-VLOOKUP(VALUE(D343),$J$18:$Q342,7,TRUE()))*$D$3)</f>
        <v>#N/A</v>
      </c>
      <c r="F343" s="47" t="e">
        <f aca="false">MAX($D$4,(1+Q342-VLOOKUP(VALUE(D343),$M$18:$Q342,5,TRUE()))*$D$4)</f>
        <v>#N/A</v>
      </c>
      <c r="G343" s="48" t="n">
        <v>0.5</v>
      </c>
      <c r="H343" s="46" t="e">
        <f aca="true">IF((B343=1),(IF((F343&lt;E343),1,(IF((F343=E343),(IF(RAND()&lt;G343,1,0)),0)))),(IF((RAND()&lt;G343),1,0)))</f>
        <v>#N/A</v>
      </c>
      <c r="I343" s="46" t="e">
        <f aca="true">IF((H343=1),0,$D$3+$D$5*(RAND()-0.5))</f>
        <v>#N/A</v>
      </c>
      <c r="J343" s="46" t="e">
        <f aca="false">I343+MAX(D343,J342)</f>
        <v>#N/A</v>
      </c>
      <c r="K343" s="46" t="e">
        <f aca="false">IF((H343=0),J343-D343,0)</f>
        <v>#N/A</v>
      </c>
      <c r="L343" s="46" t="e">
        <f aca="true">IF(($H343=0),0,$D$4+$D$5*(RAND()-0.5))</f>
        <v>#N/A</v>
      </c>
      <c r="M343" s="46" t="e">
        <f aca="false">L343+MAX(D343,M342)</f>
        <v>#N/A</v>
      </c>
      <c r="N343" s="46" t="e">
        <f aca="false">IF((H343=1),M343-D343,0)</f>
        <v>#N/A</v>
      </c>
      <c r="O343" s="29" t="n">
        <v>326</v>
      </c>
      <c r="P343" s="49" t="e">
        <f aca="false">IF((Arterial=0),P342+1,P342)</f>
        <v>#N/A</v>
      </c>
      <c r="Q343" s="49" t="e">
        <f aca="false">IF((Arterial=1),Q342+1,Q342)</f>
        <v>#N/A</v>
      </c>
      <c r="R343" s="50" t="n">
        <f aca="false">IF((RESET=1),0,R343+K343)</f>
        <v>0</v>
      </c>
      <c r="S343" s="19" t="n">
        <f aca="false">IF(RESET=1,0,S343+N343)</f>
        <v>0</v>
      </c>
      <c r="T343" s="0" t="n">
        <f aca="false">IF(RESET=1,0,T343+IF(H343=0,1,0))</f>
        <v>0</v>
      </c>
      <c r="U343" s="0" t="n">
        <f aca="false">IF(RESET=1,0,U343+H343)</f>
        <v>0</v>
      </c>
      <c r="V343" s="19" t="n">
        <f aca="false">R343/(T343+0.00001)</f>
        <v>0</v>
      </c>
      <c r="W343" s="19" t="n">
        <f aca="false">S343/(U343+0.0001)</f>
        <v>0</v>
      </c>
      <c r="X343" s="47" t="e">
        <f aca="false">IF(Informed=1,K343,0)</f>
        <v>#N/A</v>
      </c>
      <c r="Y343" s="47" t="n">
        <f aca="false">IF(Informed=0,K343,0)</f>
        <v>0</v>
      </c>
      <c r="Z343" s="47" t="e">
        <f aca="false">IF(Informed=1,N343,0)</f>
        <v>#N/A</v>
      </c>
      <c r="AA343" s="47" t="n">
        <f aca="false">IF(Informed=0,N343,0)</f>
        <v>0</v>
      </c>
      <c r="AB343" s="51" t="e">
        <f aca="false">IF(Arterial=0,IF(Informed=1,1,0),0)</f>
        <v>#N/A</v>
      </c>
      <c r="AC343" s="51" t="e">
        <f aca="false">IF(Arterial=0,IF(Informed=0,1,0),0)</f>
        <v>#N/A</v>
      </c>
      <c r="AD343" s="51" t="e">
        <f aca="false">IF(Arterial=1,IF(Informed=1,1,0),0)</f>
        <v>#N/A</v>
      </c>
      <c r="AE343" s="51" t="e">
        <f aca="false">IF(Arterial=1,IF(Informed=0,1,0),0)</f>
        <v>#N/A</v>
      </c>
      <c r="AF343" s="44" t="e">
        <f aca="false">IF(AB343=1,(X343-G$1030)^2,0)</f>
        <v>#N/A</v>
      </c>
      <c r="AG343" s="44" t="e">
        <f aca="false">IF(AC343=1,(Y343-H$1030)^2,0)</f>
        <v>#N/A</v>
      </c>
      <c r="AH343" s="44" t="e">
        <f aca="false">IF(AD343=1,(Z343-I$1030)^2,0)</f>
        <v>#N/A</v>
      </c>
      <c r="AI343" s="44" t="e">
        <f aca="false">IF(AE343=1,(AA343-J$1030)^2,0)</f>
        <v>#N/A</v>
      </c>
    </row>
    <row r="344" customFormat="false" ht="12" hidden="false" customHeight="false" outlineLevel="0" collapsed="false">
      <c r="A344" s="29" t="n">
        <v>327</v>
      </c>
      <c r="B344" s="45" t="n">
        <f aca="true">IF(RAND()&lt;$D$8,1,0)</f>
        <v>1</v>
      </c>
      <c r="C344" s="34" t="n">
        <f aca="true">-LN(RAND())/$D$2</f>
        <v>0.710459925903321</v>
      </c>
      <c r="D344" s="46" t="n">
        <f aca="false">D343+C344</f>
        <v>516.471198548998</v>
      </c>
      <c r="E344" s="47" t="e">
        <f aca="false">MAX($D$3,(1+P343-VLOOKUP(VALUE(D344),$J$18:$Q343,7,TRUE()))*$D$3)</f>
        <v>#N/A</v>
      </c>
      <c r="F344" s="47" t="e">
        <f aca="false">MAX($D$4,(1+Q343-VLOOKUP(VALUE(D344),$M$18:$Q343,5,TRUE()))*$D$4)</f>
        <v>#N/A</v>
      </c>
      <c r="G344" s="48" t="n">
        <v>0.5</v>
      </c>
      <c r="H344" s="46" t="e">
        <f aca="true">IF((B344=1),(IF((F344&lt;E344),1,(IF((F344=E344),(IF(RAND()&lt;G344,1,0)),0)))),(IF((RAND()&lt;G344),1,0)))</f>
        <v>#N/A</v>
      </c>
      <c r="I344" s="46" t="e">
        <f aca="true">IF((H344=1),0,$D$3+$D$5*(RAND()-0.5))</f>
        <v>#N/A</v>
      </c>
      <c r="J344" s="46" t="e">
        <f aca="false">I344+MAX(D344,J343)</f>
        <v>#N/A</v>
      </c>
      <c r="K344" s="46" t="e">
        <f aca="false">IF((H344=0),J344-D344,0)</f>
        <v>#N/A</v>
      </c>
      <c r="L344" s="46" t="e">
        <f aca="true">IF(($H344=0),0,$D$4+$D$5*(RAND()-0.5))</f>
        <v>#N/A</v>
      </c>
      <c r="M344" s="46" t="e">
        <f aca="false">L344+MAX(D344,M343)</f>
        <v>#N/A</v>
      </c>
      <c r="N344" s="46" t="e">
        <f aca="false">IF((H344=1),M344-D344,0)</f>
        <v>#N/A</v>
      </c>
      <c r="O344" s="29" t="n">
        <v>327</v>
      </c>
      <c r="P344" s="49" t="e">
        <f aca="false">IF((Arterial=0),P343+1,P343)</f>
        <v>#N/A</v>
      </c>
      <c r="Q344" s="49" t="e">
        <f aca="false">IF((Arterial=1),Q343+1,Q343)</f>
        <v>#N/A</v>
      </c>
      <c r="R344" s="50" t="n">
        <f aca="false">IF((RESET=1),0,R344+K344)</f>
        <v>0</v>
      </c>
      <c r="S344" s="19" t="n">
        <f aca="false">IF(RESET=1,0,S344+N344)</f>
        <v>0</v>
      </c>
      <c r="T344" s="0" t="n">
        <f aca="false">IF(RESET=1,0,T344+IF(H344=0,1,0))</f>
        <v>0</v>
      </c>
      <c r="U344" s="0" t="n">
        <f aca="false">IF(RESET=1,0,U344+H344)</f>
        <v>0</v>
      </c>
      <c r="V344" s="19" t="n">
        <f aca="false">R344/(T344+0.00001)</f>
        <v>0</v>
      </c>
      <c r="W344" s="19" t="n">
        <f aca="false">S344/(U344+0.0001)</f>
        <v>0</v>
      </c>
      <c r="X344" s="47" t="e">
        <f aca="false">IF(Informed=1,K344,0)</f>
        <v>#N/A</v>
      </c>
      <c r="Y344" s="47" t="n">
        <f aca="false">IF(Informed=0,K344,0)</f>
        <v>0</v>
      </c>
      <c r="Z344" s="47" t="e">
        <f aca="false">IF(Informed=1,N344,0)</f>
        <v>#N/A</v>
      </c>
      <c r="AA344" s="47" t="n">
        <f aca="false">IF(Informed=0,N344,0)</f>
        <v>0</v>
      </c>
      <c r="AB344" s="51" t="e">
        <f aca="false">IF(Arterial=0,IF(Informed=1,1,0),0)</f>
        <v>#N/A</v>
      </c>
      <c r="AC344" s="51" t="e">
        <f aca="false">IF(Arterial=0,IF(Informed=0,1,0),0)</f>
        <v>#N/A</v>
      </c>
      <c r="AD344" s="51" t="e">
        <f aca="false">IF(Arterial=1,IF(Informed=1,1,0),0)</f>
        <v>#N/A</v>
      </c>
      <c r="AE344" s="51" t="e">
        <f aca="false">IF(Arterial=1,IF(Informed=0,1,0),0)</f>
        <v>#N/A</v>
      </c>
      <c r="AF344" s="44" t="e">
        <f aca="false">IF(AB344=1,(X344-G$1030)^2,0)</f>
        <v>#N/A</v>
      </c>
      <c r="AG344" s="44" t="e">
        <f aca="false">IF(AC344=1,(Y344-H$1030)^2,0)</f>
        <v>#N/A</v>
      </c>
      <c r="AH344" s="44" t="e">
        <f aca="false">IF(AD344=1,(Z344-I$1030)^2,0)</f>
        <v>#N/A</v>
      </c>
      <c r="AI344" s="44" t="e">
        <f aca="false">IF(AE344=1,(AA344-J$1030)^2,0)</f>
        <v>#N/A</v>
      </c>
    </row>
    <row r="345" customFormat="false" ht="12" hidden="false" customHeight="false" outlineLevel="0" collapsed="false">
      <c r="A345" s="29" t="n">
        <v>328</v>
      </c>
      <c r="B345" s="45" t="n">
        <f aca="true">IF(RAND()&lt;$D$8,1,0)</f>
        <v>1</v>
      </c>
      <c r="C345" s="34" t="n">
        <f aca="true">-LN(RAND())/$D$2</f>
        <v>1.27154792676124</v>
      </c>
      <c r="D345" s="46" t="n">
        <f aca="false">D344+C345</f>
        <v>517.74274647576</v>
      </c>
      <c r="E345" s="47" t="e">
        <f aca="false">MAX($D$3,(1+P344-VLOOKUP(VALUE(D345),$J$18:$Q344,7,TRUE()))*$D$3)</f>
        <v>#N/A</v>
      </c>
      <c r="F345" s="47" t="e">
        <f aca="false">MAX($D$4,(1+Q344-VLOOKUP(VALUE(D345),$M$18:$Q344,5,TRUE()))*$D$4)</f>
        <v>#N/A</v>
      </c>
      <c r="G345" s="48" t="n">
        <v>0.5</v>
      </c>
      <c r="H345" s="46" t="e">
        <f aca="true">IF((B345=1),(IF((F345&lt;E345),1,(IF((F345=E345),(IF(RAND()&lt;G345,1,0)),0)))),(IF((RAND()&lt;G345),1,0)))</f>
        <v>#N/A</v>
      </c>
      <c r="I345" s="46" t="e">
        <f aca="true">IF((H345=1),0,$D$3+$D$5*(RAND()-0.5))</f>
        <v>#N/A</v>
      </c>
      <c r="J345" s="46" t="e">
        <f aca="false">I345+MAX(D345,J344)</f>
        <v>#N/A</v>
      </c>
      <c r="K345" s="46" t="e">
        <f aca="false">IF((H345=0),J345-D345,0)</f>
        <v>#N/A</v>
      </c>
      <c r="L345" s="46" t="e">
        <f aca="true">IF(($H345=0),0,$D$4+$D$5*(RAND()-0.5))</f>
        <v>#N/A</v>
      </c>
      <c r="M345" s="46" t="e">
        <f aca="false">L345+MAX(D345,M344)</f>
        <v>#N/A</v>
      </c>
      <c r="N345" s="46" t="e">
        <f aca="false">IF((H345=1),M345-D345,0)</f>
        <v>#N/A</v>
      </c>
      <c r="O345" s="29" t="n">
        <v>328</v>
      </c>
      <c r="P345" s="49" t="e">
        <f aca="false">IF((Arterial=0),P344+1,P344)</f>
        <v>#N/A</v>
      </c>
      <c r="Q345" s="49" t="e">
        <f aca="false">IF((Arterial=1),Q344+1,Q344)</f>
        <v>#N/A</v>
      </c>
      <c r="R345" s="50" t="n">
        <f aca="false">IF((RESET=1),0,R345+K345)</f>
        <v>0</v>
      </c>
      <c r="S345" s="19" t="n">
        <f aca="false">IF(RESET=1,0,S345+N345)</f>
        <v>0</v>
      </c>
      <c r="T345" s="0" t="n">
        <f aca="false">IF(RESET=1,0,T345+IF(H345=0,1,0))</f>
        <v>0</v>
      </c>
      <c r="U345" s="0" t="n">
        <f aca="false">IF(RESET=1,0,U345+H345)</f>
        <v>0</v>
      </c>
      <c r="V345" s="19" t="n">
        <f aca="false">R345/(T345+0.00001)</f>
        <v>0</v>
      </c>
      <c r="W345" s="19" t="n">
        <f aca="false">S345/(U345+0.0001)</f>
        <v>0</v>
      </c>
      <c r="X345" s="47" t="e">
        <f aca="false">IF(Informed=1,K345,0)</f>
        <v>#N/A</v>
      </c>
      <c r="Y345" s="47" t="n">
        <f aca="false">IF(Informed=0,K345,0)</f>
        <v>0</v>
      </c>
      <c r="Z345" s="47" t="e">
        <f aca="false">IF(Informed=1,N345,0)</f>
        <v>#N/A</v>
      </c>
      <c r="AA345" s="47" t="n">
        <f aca="false">IF(Informed=0,N345,0)</f>
        <v>0</v>
      </c>
      <c r="AB345" s="51" t="e">
        <f aca="false">IF(Arterial=0,IF(Informed=1,1,0),0)</f>
        <v>#N/A</v>
      </c>
      <c r="AC345" s="51" t="e">
        <f aca="false">IF(Arterial=0,IF(Informed=0,1,0),0)</f>
        <v>#N/A</v>
      </c>
      <c r="AD345" s="51" t="e">
        <f aca="false">IF(Arterial=1,IF(Informed=1,1,0),0)</f>
        <v>#N/A</v>
      </c>
      <c r="AE345" s="51" t="e">
        <f aca="false">IF(Arterial=1,IF(Informed=0,1,0),0)</f>
        <v>#N/A</v>
      </c>
      <c r="AF345" s="44" t="e">
        <f aca="false">IF(AB345=1,(X345-G$1030)^2,0)</f>
        <v>#N/A</v>
      </c>
      <c r="AG345" s="44" t="e">
        <f aca="false">IF(AC345=1,(Y345-H$1030)^2,0)</f>
        <v>#N/A</v>
      </c>
      <c r="AH345" s="44" t="e">
        <f aca="false">IF(AD345=1,(Z345-I$1030)^2,0)</f>
        <v>#N/A</v>
      </c>
      <c r="AI345" s="44" t="e">
        <f aca="false">IF(AE345=1,(AA345-J$1030)^2,0)</f>
        <v>#N/A</v>
      </c>
    </row>
    <row r="346" customFormat="false" ht="12" hidden="false" customHeight="false" outlineLevel="0" collapsed="false">
      <c r="A346" s="29" t="n">
        <v>329</v>
      </c>
      <c r="B346" s="45" t="n">
        <f aca="true">IF(RAND()&lt;$D$8,1,0)</f>
        <v>1</v>
      </c>
      <c r="C346" s="34" t="n">
        <f aca="true">-LN(RAND())/$D$2</f>
        <v>0.683094107199463</v>
      </c>
      <c r="D346" s="46" t="n">
        <f aca="false">D345+C346</f>
        <v>518.425840582959</v>
      </c>
      <c r="E346" s="47" t="e">
        <f aca="false">MAX($D$3,(1+P345-VLOOKUP(VALUE(D346),$J$18:$Q345,7,TRUE()))*$D$3)</f>
        <v>#N/A</v>
      </c>
      <c r="F346" s="47" t="e">
        <f aca="false">MAX($D$4,(1+Q345-VLOOKUP(VALUE(D346),$M$18:$Q345,5,TRUE()))*$D$4)</f>
        <v>#N/A</v>
      </c>
      <c r="G346" s="48" t="n">
        <v>0.5</v>
      </c>
      <c r="H346" s="46" t="e">
        <f aca="true">IF((B346=1),(IF((F346&lt;E346),1,(IF((F346=E346),(IF(RAND()&lt;G346,1,0)),0)))),(IF((RAND()&lt;G346),1,0)))</f>
        <v>#N/A</v>
      </c>
      <c r="I346" s="46" t="e">
        <f aca="true">IF((H346=1),0,$D$3+$D$5*(RAND()-0.5))</f>
        <v>#N/A</v>
      </c>
      <c r="J346" s="46" t="e">
        <f aca="false">I346+MAX(D346,J345)</f>
        <v>#N/A</v>
      </c>
      <c r="K346" s="46" t="e">
        <f aca="false">IF((H346=0),J346-D346,0)</f>
        <v>#N/A</v>
      </c>
      <c r="L346" s="46" t="e">
        <f aca="true">IF(($H346=0),0,$D$4+$D$5*(RAND()-0.5))</f>
        <v>#N/A</v>
      </c>
      <c r="M346" s="46" t="e">
        <f aca="false">L346+MAX(D346,M345)</f>
        <v>#N/A</v>
      </c>
      <c r="N346" s="46" t="e">
        <f aca="false">IF((H346=1),M346-D346,0)</f>
        <v>#N/A</v>
      </c>
      <c r="O346" s="29" t="n">
        <v>329</v>
      </c>
      <c r="P346" s="49" t="e">
        <f aca="false">IF((Arterial=0),P345+1,P345)</f>
        <v>#N/A</v>
      </c>
      <c r="Q346" s="49" t="e">
        <f aca="false">IF((Arterial=1),Q345+1,Q345)</f>
        <v>#N/A</v>
      </c>
      <c r="R346" s="50" t="n">
        <f aca="false">IF((RESET=1),0,R346+K346)</f>
        <v>0</v>
      </c>
      <c r="S346" s="19" t="n">
        <f aca="false">IF(RESET=1,0,S346+N346)</f>
        <v>0</v>
      </c>
      <c r="T346" s="0" t="n">
        <f aca="false">IF(RESET=1,0,T346+IF(H346=0,1,0))</f>
        <v>0</v>
      </c>
      <c r="U346" s="0" t="n">
        <f aca="false">IF(RESET=1,0,U346+H346)</f>
        <v>0</v>
      </c>
      <c r="V346" s="19" t="n">
        <f aca="false">R346/(T346+0.00001)</f>
        <v>0</v>
      </c>
      <c r="W346" s="19" t="n">
        <f aca="false">S346/(U346+0.0001)</f>
        <v>0</v>
      </c>
      <c r="X346" s="47" t="e">
        <f aca="false">IF(Informed=1,K346,0)</f>
        <v>#N/A</v>
      </c>
      <c r="Y346" s="47" t="n">
        <f aca="false">IF(Informed=0,K346,0)</f>
        <v>0</v>
      </c>
      <c r="Z346" s="47" t="e">
        <f aca="false">IF(Informed=1,N346,0)</f>
        <v>#N/A</v>
      </c>
      <c r="AA346" s="47" t="n">
        <f aca="false">IF(Informed=0,N346,0)</f>
        <v>0</v>
      </c>
      <c r="AB346" s="51" t="e">
        <f aca="false">IF(Arterial=0,IF(Informed=1,1,0),0)</f>
        <v>#N/A</v>
      </c>
      <c r="AC346" s="51" t="e">
        <f aca="false">IF(Arterial=0,IF(Informed=0,1,0),0)</f>
        <v>#N/A</v>
      </c>
      <c r="AD346" s="51" t="e">
        <f aca="false">IF(Arterial=1,IF(Informed=1,1,0),0)</f>
        <v>#N/A</v>
      </c>
      <c r="AE346" s="51" t="e">
        <f aca="false">IF(Arterial=1,IF(Informed=0,1,0),0)</f>
        <v>#N/A</v>
      </c>
      <c r="AF346" s="44" t="e">
        <f aca="false">IF(AB346=1,(X346-G$1030)^2,0)</f>
        <v>#N/A</v>
      </c>
      <c r="AG346" s="44" t="e">
        <f aca="false">IF(AC346=1,(Y346-H$1030)^2,0)</f>
        <v>#N/A</v>
      </c>
      <c r="AH346" s="44" t="e">
        <f aca="false">IF(AD346=1,(Z346-I$1030)^2,0)</f>
        <v>#N/A</v>
      </c>
      <c r="AI346" s="44" t="e">
        <f aca="false">IF(AE346=1,(AA346-J$1030)^2,0)</f>
        <v>#N/A</v>
      </c>
    </row>
    <row r="347" customFormat="false" ht="12" hidden="false" customHeight="false" outlineLevel="0" collapsed="false">
      <c r="A347" s="29" t="n">
        <v>330</v>
      </c>
      <c r="B347" s="45" t="n">
        <f aca="true">IF(RAND()&lt;$D$8,1,0)</f>
        <v>1</v>
      </c>
      <c r="C347" s="34" t="n">
        <f aca="true">-LN(RAND())/$D$2</f>
        <v>0.0131607693297043</v>
      </c>
      <c r="D347" s="46" t="n">
        <f aca="false">D346+C347</f>
        <v>518.439001352289</v>
      </c>
      <c r="E347" s="47" t="e">
        <f aca="false">MAX($D$3,(1+P346-VLOOKUP(VALUE(D347),$J$18:$Q346,7,TRUE()))*$D$3)</f>
        <v>#N/A</v>
      </c>
      <c r="F347" s="47" t="e">
        <f aca="false">MAX($D$4,(1+Q346-VLOOKUP(VALUE(D347),$M$18:$Q346,5,TRUE()))*$D$4)</f>
        <v>#N/A</v>
      </c>
      <c r="G347" s="48" t="n">
        <v>0.5</v>
      </c>
      <c r="H347" s="46" t="e">
        <f aca="true">IF((B347=1),(IF((F347&lt;E347),1,(IF((F347=E347),(IF(RAND()&lt;G347,1,0)),0)))),(IF((RAND()&lt;G347),1,0)))</f>
        <v>#N/A</v>
      </c>
      <c r="I347" s="46" t="e">
        <f aca="true">IF((H347=1),0,$D$3+$D$5*(RAND()-0.5))</f>
        <v>#N/A</v>
      </c>
      <c r="J347" s="46" t="e">
        <f aca="false">I347+MAX(D347,J346)</f>
        <v>#N/A</v>
      </c>
      <c r="K347" s="46" t="e">
        <f aca="false">IF((H347=0),J347-D347,0)</f>
        <v>#N/A</v>
      </c>
      <c r="L347" s="46" t="e">
        <f aca="true">IF(($H347=0),0,$D$4+$D$5*(RAND()-0.5))</f>
        <v>#N/A</v>
      </c>
      <c r="M347" s="46" t="e">
        <f aca="false">L347+MAX(D347,M346)</f>
        <v>#N/A</v>
      </c>
      <c r="N347" s="46" t="e">
        <f aca="false">IF((H347=1),M347-D347,0)</f>
        <v>#N/A</v>
      </c>
      <c r="O347" s="29" t="n">
        <v>330</v>
      </c>
      <c r="P347" s="49" t="e">
        <f aca="false">IF((Arterial=0),P346+1,P346)</f>
        <v>#N/A</v>
      </c>
      <c r="Q347" s="49" t="e">
        <f aca="false">IF((Arterial=1),Q346+1,Q346)</f>
        <v>#N/A</v>
      </c>
      <c r="R347" s="50" t="n">
        <f aca="false">IF((RESET=1),0,R347+K347)</f>
        <v>0</v>
      </c>
      <c r="S347" s="19" t="n">
        <f aca="false">IF(RESET=1,0,S347+N347)</f>
        <v>0</v>
      </c>
      <c r="T347" s="0" t="n">
        <f aca="false">IF(RESET=1,0,T347+IF(H347=0,1,0))</f>
        <v>0</v>
      </c>
      <c r="U347" s="0" t="n">
        <f aca="false">IF(RESET=1,0,U347+H347)</f>
        <v>0</v>
      </c>
      <c r="V347" s="19" t="n">
        <f aca="false">R347/(T347+0.00001)</f>
        <v>0</v>
      </c>
      <c r="W347" s="19" t="n">
        <f aca="false">S347/(U347+0.0001)</f>
        <v>0</v>
      </c>
      <c r="X347" s="47" t="e">
        <f aca="false">IF(Informed=1,K347,0)</f>
        <v>#N/A</v>
      </c>
      <c r="Y347" s="47" t="n">
        <f aca="false">IF(Informed=0,K347,0)</f>
        <v>0</v>
      </c>
      <c r="Z347" s="47" t="e">
        <f aca="false">IF(Informed=1,N347,0)</f>
        <v>#N/A</v>
      </c>
      <c r="AA347" s="47" t="n">
        <f aca="false">IF(Informed=0,N347,0)</f>
        <v>0</v>
      </c>
      <c r="AB347" s="51" t="e">
        <f aca="false">IF(Arterial=0,IF(Informed=1,1,0),0)</f>
        <v>#N/A</v>
      </c>
      <c r="AC347" s="51" t="e">
        <f aca="false">IF(Arterial=0,IF(Informed=0,1,0),0)</f>
        <v>#N/A</v>
      </c>
      <c r="AD347" s="51" t="e">
        <f aca="false">IF(Arterial=1,IF(Informed=1,1,0),0)</f>
        <v>#N/A</v>
      </c>
      <c r="AE347" s="51" t="e">
        <f aca="false">IF(Arterial=1,IF(Informed=0,1,0),0)</f>
        <v>#N/A</v>
      </c>
      <c r="AF347" s="44" t="e">
        <f aca="false">IF(AB347=1,(X347-G$1030)^2,0)</f>
        <v>#N/A</v>
      </c>
      <c r="AG347" s="44" t="e">
        <f aca="false">IF(AC347=1,(Y347-H$1030)^2,0)</f>
        <v>#N/A</v>
      </c>
      <c r="AH347" s="44" t="e">
        <f aca="false">IF(AD347=1,(Z347-I$1030)^2,0)</f>
        <v>#N/A</v>
      </c>
      <c r="AI347" s="44" t="e">
        <f aca="false">IF(AE347=1,(AA347-J$1030)^2,0)</f>
        <v>#N/A</v>
      </c>
    </row>
    <row r="348" customFormat="false" ht="12" hidden="false" customHeight="false" outlineLevel="0" collapsed="false">
      <c r="A348" s="29" t="n">
        <v>331</v>
      </c>
      <c r="B348" s="45" t="n">
        <f aca="true">IF(RAND()&lt;$D$8,1,0)</f>
        <v>1</v>
      </c>
      <c r="C348" s="34" t="n">
        <f aca="true">-LN(RAND())/$D$2</f>
        <v>2.92671228698658</v>
      </c>
      <c r="D348" s="46" t="n">
        <f aca="false">D347+C348</f>
        <v>521.365713639275</v>
      </c>
      <c r="E348" s="47" t="e">
        <f aca="false">MAX($D$3,(1+P347-VLOOKUP(VALUE(D348),$J$18:$Q347,7,TRUE()))*$D$3)</f>
        <v>#N/A</v>
      </c>
      <c r="F348" s="47" t="e">
        <f aca="false">MAX($D$4,(1+Q347-VLOOKUP(VALUE(D348),$M$18:$Q347,5,TRUE()))*$D$4)</f>
        <v>#N/A</v>
      </c>
      <c r="G348" s="48" t="n">
        <v>0.5</v>
      </c>
      <c r="H348" s="46" t="e">
        <f aca="true">IF((B348=1),(IF((F348&lt;E348),1,(IF((F348=E348),(IF(RAND()&lt;G348,1,0)),0)))),(IF((RAND()&lt;G348),1,0)))</f>
        <v>#N/A</v>
      </c>
      <c r="I348" s="46" t="e">
        <f aca="true">IF((H348=1),0,$D$3+$D$5*(RAND()-0.5))</f>
        <v>#N/A</v>
      </c>
      <c r="J348" s="46" t="e">
        <f aca="false">I348+MAX(D348,J347)</f>
        <v>#N/A</v>
      </c>
      <c r="K348" s="46" t="e">
        <f aca="false">IF((H348=0),J348-D348,0)</f>
        <v>#N/A</v>
      </c>
      <c r="L348" s="46" t="e">
        <f aca="true">IF(($H348=0),0,$D$4+$D$5*(RAND()-0.5))</f>
        <v>#N/A</v>
      </c>
      <c r="M348" s="46" t="e">
        <f aca="false">L348+MAX(D348,M347)</f>
        <v>#N/A</v>
      </c>
      <c r="N348" s="46" t="e">
        <f aca="false">IF((H348=1),M348-D348,0)</f>
        <v>#N/A</v>
      </c>
      <c r="O348" s="29" t="n">
        <v>331</v>
      </c>
      <c r="P348" s="49" t="e">
        <f aca="false">IF((Arterial=0),P347+1,P347)</f>
        <v>#N/A</v>
      </c>
      <c r="Q348" s="49" t="e">
        <f aca="false">IF((Arterial=1),Q347+1,Q347)</f>
        <v>#N/A</v>
      </c>
      <c r="R348" s="50" t="n">
        <f aca="false">IF((RESET=1),0,R348+K348)</f>
        <v>0</v>
      </c>
      <c r="S348" s="19" t="n">
        <f aca="false">IF(RESET=1,0,S348+N348)</f>
        <v>0</v>
      </c>
      <c r="T348" s="0" t="n">
        <f aca="false">IF(RESET=1,0,T348+IF(H348=0,1,0))</f>
        <v>0</v>
      </c>
      <c r="U348" s="0" t="n">
        <f aca="false">IF(RESET=1,0,U348+H348)</f>
        <v>0</v>
      </c>
      <c r="V348" s="19" t="n">
        <f aca="false">R348/(T348+0.00001)</f>
        <v>0</v>
      </c>
      <c r="W348" s="19" t="n">
        <f aca="false">S348/(U348+0.0001)</f>
        <v>0</v>
      </c>
      <c r="X348" s="47" t="e">
        <f aca="false">IF(Informed=1,K348,0)</f>
        <v>#N/A</v>
      </c>
      <c r="Y348" s="47" t="n">
        <f aca="false">IF(Informed=0,K348,0)</f>
        <v>0</v>
      </c>
      <c r="Z348" s="47" t="e">
        <f aca="false">IF(Informed=1,N348,0)</f>
        <v>#N/A</v>
      </c>
      <c r="AA348" s="47" t="n">
        <f aca="false">IF(Informed=0,N348,0)</f>
        <v>0</v>
      </c>
      <c r="AB348" s="51" t="e">
        <f aca="false">IF(Arterial=0,IF(Informed=1,1,0),0)</f>
        <v>#N/A</v>
      </c>
      <c r="AC348" s="51" t="e">
        <f aca="false">IF(Arterial=0,IF(Informed=0,1,0),0)</f>
        <v>#N/A</v>
      </c>
      <c r="AD348" s="51" t="e">
        <f aca="false">IF(Arterial=1,IF(Informed=1,1,0),0)</f>
        <v>#N/A</v>
      </c>
      <c r="AE348" s="51" t="e">
        <f aca="false">IF(Arterial=1,IF(Informed=0,1,0),0)</f>
        <v>#N/A</v>
      </c>
      <c r="AF348" s="44" t="e">
        <f aca="false">IF(AB348=1,(X348-G$1030)^2,0)</f>
        <v>#N/A</v>
      </c>
      <c r="AG348" s="44" t="e">
        <f aca="false">IF(AC348=1,(Y348-H$1030)^2,0)</f>
        <v>#N/A</v>
      </c>
      <c r="AH348" s="44" t="e">
        <f aca="false">IF(AD348=1,(Z348-I$1030)^2,0)</f>
        <v>#N/A</v>
      </c>
      <c r="AI348" s="44" t="e">
        <f aca="false">IF(AE348=1,(AA348-J$1030)^2,0)</f>
        <v>#N/A</v>
      </c>
    </row>
    <row r="349" customFormat="false" ht="12" hidden="false" customHeight="false" outlineLevel="0" collapsed="false">
      <c r="A349" s="29" t="n">
        <v>332</v>
      </c>
      <c r="B349" s="45" t="n">
        <f aca="true">IF(RAND()&lt;$D$8,1,0)</f>
        <v>1</v>
      </c>
      <c r="C349" s="34" t="n">
        <f aca="true">-LN(RAND())/$D$2</f>
        <v>4.835835474279</v>
      </c>
      <c r="D349" s="46" t="n">
        <f aca="false">D348+C349</f>
        <v>526.201549113554</v>
      </c>
      <c r="E349" s="47" t="e">
        <f aca="false">MAX($D$3,(1+P348-VLOOKUP(VALUE(D349),$J$18:$Q348,7,TRUE()))*$D$3)</f>
        <v>#N/A</v>
      </c>
      <c r="F349" s="47" t="e">
        <f aca="false">MAX($D$4,(1+Q348-VLOOKUP(VALUE(D349),$M$18:$Q348,5,TRUE()))*$D$4)</f>
        <v>#N/A</v>
      </c>
      <c r="G349" s="48" t="n">
        <v>0.5</v>
      </c>
      <c r="H349" s="46" t="e">
        <f aca="true">IF((B349=1),(IF((F349&lt;E349),1,(IF((F349=E349),(IF(RAND()&lt;G349,1,0)),0)))),(IF((RAND()&lt;G349),1,0)))</f>
        <v>#N/A</v>
      </c>
      <c r="I349" s="46" t="e">
        <f aca="true">IF((H349=1),0,$D$3+$D$5*(RAND()-0.5))</f>
        <v>#N/A</v>
      </c>
      <c r="J349" s="46" t="e">
        <f aca="false">I349+MAX(D349,J348)</f>
        <v>#N/A</v>
      </c>
      <c r="K349" s="46" t="e">
        <f aca="false">IF((H349=0),J349-D349,0)</f>
        <v>#N/A</v>
      </c>
      <c r="L349" s="46" t="e">
        <f aca="true">IF(($H349=0),0,$D$4+$D$5*(RAND()-0.5))</f>
        <v>#N/A</v>
      </c>
      <c r="M349" s="46" t="e">
        <f aca="false">L349+MAX(D349,M348)</f>
        <v>#N/A</v>
      </c>
      <c r="N349" s="46" t="e">
        <f aca="false">IF((H349=1),M349-D349,0)</f>
        <v>#N/A</v>
      </c>
      <c r="O349" s="29" t="n">
        <v>332</v>
      </c>
      <c r="P349" s="49" t="e">
        <f aca="false">IF((Arterial=0),P348+1,P348)</f>
        <v>#N/A</v>
      </c>
      <c r="Q349" s="49" t="e">
        <f aca="false">IF((Arterial=1),Q348+1,Q348)</f>
        <v>#N/A</v>
      </c>
      <c r="R349" s="50" t="n">
        <f aca="false">IF((RESET=1),0,R349+K349)</f>
        <v>0</v>
      </c>
      <c r="S349" s="19" t="n">
        <f aca="false">IF(RESET=1,0,S349+N349)</f>
        <v>0</v>
      </c>
      <c r="T349" s="0" t="n">
        <f aca="false">IF(RESET=1,0,T349+IF(H349=0,1,0))</f>
        <v>0</v>
      </c>
      <c r="U349" s="0" t="n">
        <f aca="false">IF(RESET=1,0,U349+H349)</f>
        <v>0</v>
      </c>
      <c r="V349" s="19" t="n">
        <f aca="false">R349/(T349+0.00001)</f>
        <v>0</v>
      </c>
      <c r="W349" s="19" t="n">
        <f aca="false">S349/(U349+0.0001)</f>
        <v>0</v>
      </c>
      <c r="X349" s="47" t="e">
        <f aca="false">IF(Informed=1,K349,0)</f>
        <v>#N/A</v>
      </c>
      <c r="Y349" s="47" t="n">
        <f aca="false">IF(Informed=0,K349,0)</f>
        <v>0</v>
      </c>
      <c r="Z349" s="47" t="e">
        <f aca="false">IF(Informed=1,N349,0)</f>
        <v>#N/A</v>
      </c>
      <c r="AA349" s="47" t="n">
        <f aca="false">IF(Informed=0,N349,0)</f>
        <v>0</v>
      </c>
      <c r="AB349" s="51" t="e">
        <f aca="false">IF(Arterial=0,IF(Informed=1,1,0),0)</f>
        <v>#N/A</v>
      </c>
      <c r="AC349" s="51" t="e">
        <f aca="false">IF(Arterial=0,IF(Informed=0,1,0),0)</f>
        <v>#N/A</v>
      </c>
      <c r="AD349" s="51" t="e">
        <f aca="false">IF(Arterial=1,IF(Informed=1,1,0),0)</f>
        <v>#N/A</v>
      </c>
      <c r="AE349" s="51" t="e">
        <f aca="false">IF(Arterial=1,IF(Informed=0,1,0),0)</f>
        <v>#N/A</v>
      </c>
      <c r="AF349" s="44" t="e">
        <f aca="false">IF(AB349=1,(X349-G$1030)^2,0)</f>
        <v>#N/A</v>
      </c>
      <c r="AG349" s="44" t="e">
        <f aca="false">IF(AC349=1,(Y349-H$1030)^2,0)</f>
        <v>#N/A</v>
      </c>
      <c r="AH349" s="44" t="e">
        <f aca="false">IF(AD349=1,(Z349-I$1030)^2,0)</f>
        <v>#N/A</v>
      </c>
      <c r="AI349" s="44" t="e">
        <f aca="false">IF(AE349=1,(AA349-J$1030)^2,0)</f>
        <v>#N/A</v>
      </c>
    </row>
    <row r="350" customFormat="false" ht="12" hidden="false" customHeight="false" outlineLevel="0" collapsed="false">
      <c r="A350" s="29" t="n">
        <v>333</v>
      </c>
      <c r="B350" s="45" t="n">
        <f aca="true">IF(RAND()&lt;$D$8,1,0)</f>
        <v>1</v>
      </c>
      <c r="C350" s="34" t="n">
        <f aca="true">-LN(RAND())/$D$2</f>
        <v>0.325076913939571</v>
      </c>
      <c r="D350" s="46" t="n">
        <f aca="false">D349+C350</f>
        <v>526.526626027494</v>
      </c>
      <c r="E350" s="47" t="e">
        <f aca="false">MAX($D$3,(1+P349-VLOOKUP(VALUE(D350),$J$18:$Q349,7,TRUE()))*$D$3)</f>
        <v>#N/A</v>
      </c>
      <c r="F350" s="47" t="e">
        <f aca="false">MAX($D$4,(1+Q349-VLOOKUP(VALUE(D350),$M$18:$Q349,5,TRUE()))*$D$4)</f>
        <v>#N/A</v>
      </c>
      <c r="G350" s="48" t="n">
        <v>0.5</v>
      </c>
      <c r="H350" s="46" t="e">
        <f aca="true">IF((B350=1),(IF((F350&lt;E350),1,(IF((F350=E350),(IF(RAND()&lt;G350,1,0)),0)))),(IF((RAND()&lt;G350),1,0)))</f>
        <v>#N/A</v>
      </c>
      <c r="I350" s="46" t="e">
        <f aca="true">IF((H350=1),0,$D$3+$D$5*(RAND()-0.5))</f>
        <v>#N/A</v>
      </c>
      <c r="J350" s="46" t="e">
        <f aca="false">I350+MAX(D350,J349)</f>
        <v>#N/A</v>
      </c>
      <c r="K350" s="46" t="e">
        <f aca="false">IF((H350=0),J350-D350,0)</f>
        <v>#N/A</v>
      </c>
      <c r="L350" s="46" t="e">
        <f aca="true">IF(($H350=0),0,$D$4+$D$5*(RAND()-0.5))</f>
        <v>#N/A</v>
      </c>
      <c r="M350" s="46" t="e">
        <f aca="false">L350+MAX(D350,M349)</f>
        <v>#N/A</v>
      </c>
      <c r="N350" s="46" t="e">
        <f aca="false">IF((H350=1),M350-D350,0)</f>
        <v>#N/A</v>
      </c>
      <c r="O350" s="29" t="n">
        <v>333</v>
      </c>
      <c r="P350" s="49" t="e">
        <f aca="false">IF((Arterial=0),P349+1,P349)</f>
        <v>#N/A</v>
      </c>
      <c r="Q350" s="49" t="e">
        <f aca="false">IF((Arterial=1),Q349+1,Q349)</f>
        <v>#N/A</v>
      </c>
      <c r="R350" s="50" t="n">
        <f aca="false">IF((RESET=1),0,R350+K350)</f>
        <v>0</v>
      </c>
      <c r="S350" s="19" t="n">
        <f aca="false">IF(RESET=1,0,S350+N350)</f>
        <v>0</v>
      </c>
      <c r="T350" s="0" t="n">
        <f aca="false">IF(RESET=1,0,T350+IF(H350=0,1,0))</f>
        <v>0</v>
      </c>
      <c r="U350" s="0" t="n">
        <f aca="false">IF(RESET=1,0,U350+H350)</f>
        <v>0</v>
      </c>
      <c r="V350" s="19" t="n">
        <f aca="false">R350/(T350+0.00001)</f>
        <v>0</v>
      </c>
      <c r="W350" s="19" t="n">
        <f aca="false">S350/(U350+0.0001)</f>
        <v>0</v>
      </c>
      <c r="X350" s="47" t="e">
        <f aca="false">IF(Informed=1,K350,0)</f>
        <v>#N/A</v>
      </c>
      <c r="Y350" s="47" t="n">
        <f aca="false">IF(Informed=0,K350,0)</f>
        <v>0</v>
      </c>
      <c r="Z350" s="47" t="e">
        <f aca="false">IF(Informed=1,N350,0)</f>
        <v>#N/A</v>
      </c>
      <c r="AA350" s="47" t="n">
        <f aca="false">IF(Informed=0,N350,0)</f>
        <v>0</v>
      </c>
      <c r="AB350" s="51" t="e">
        <f aca="false">IF(Arterial=0,IF(Informed=1,1,0),0)</f>
        <v>#N/A</v>
      </c>
      <c r="AC350" s="51" t="e">
        <f aca="false">IF(Arterial=0,IF(Informed=0,1,0),0)</f>
        <v>#N/A</v>
      </c>
      <c r="AD350" s="51" t="e">
        <f aca="false">IF(Arterial=1,IF(Informed=1,1,0),0)</f>
        <v>#N/A</v>
      </c>
      <c r="AE350" s="51" t="e">
        <f aca="false">IF(Arterial=1,IF(Informed=0,1,0),0)</f>
        <v>#N/A</v>
      </c>
      <c r="AF350" s="44" t="e">
        <f aca="false">IF(AB350=1,(X350-G$1030)^2,0)</f>
        <v>#N/A</v>
      </c>
      <c r="AG350" s="44" t="e">
        <f aca="false">IF(AC350=1,(Y350-H$1030)^2,0)</f>
        <v>#N/A</v>
      </c>
      <c r="AH350" s="44" t="e">
        <f aca="false">IF(AD350=1,(Z350-I$1030)^2,0)</f>
        <v>#N/A</v>
      </c>
      <c r="AI350" s="44" t="e">
        <f aca="false">IF(AE350=1,(AA350-J$1030)^2,0)</f>
        <v>#N/A</v>
      </c>
    </row>
    <row r="351" customFormat="false" ht="12" hidden="false" customHeight="false" outlineLevel="0" collapsed="false">
      <c r="A351" s="29" t="n">
        <v>334</v>
      </c>
      <c r="B351" s="45" t="n">
        <f aca="true">IF(RAND()&lt;$D$8,1,0)</f>
        <v>1</v>
      </c>
      <c r="C351" s="34" t="n">
        <f aca="true">-LN(RAND())/$D$2</f>
        <v>0.163358634053851</v>
      </c>
      <c r="D351" s="46" t="n">
        <f aca="false">D350+C351</f>
        <v>526.689984661548</v>
      </c>
      <c r="E351" s="47" t="e">
        <f aca="false">MAX($D$3,(1+P350-VLOOKUP(VALUE(D351),$J$18:$Q350,7,TRUE()))*$D$3)</f>
        <v>#N/A</v>
      </c>
      <c r="F351" s="47" t="e">
        <f aca="false">MAX($D$4,(1+Q350-VLOOKUP(VALUE(D351),$M$18:$Q350,5,TRUE()))*$D$4)</f>
        <v>#N/A</v>
      </c>
      <c r="G351" s="48" t="n">
        <v>0.5</v>
      </c>
      <c r="H351" s="46" t="e">
        <f aca="true">IF((B351=1),(IF((F351&lt;E351),1,(IF((F351=E351),(IF(RAND()&lt;G351,1,0)),0)))),(IF((RAND()&lt;G351),1,0)))</f>
        <v>#N/A</v>
      </c>
      <c r="I351" s="46" t="e">
        <f aca="true">IF((H351=1),0,$D$3+$D$5*(RAND()-0.5))</f>
        <v>#N/A</v>
      </c>
      <c r="J351" s="46" t="e">
        <f aca="false">I351+MAX(D351,J350)</f>
        <v>#N/A</v>
      </c>
      <c r="K351" s="46" t="e">
        <f aca="false">IF((H351=0),J351-D351,0)</f>
        <v>#N/A</v>
      </c>
      <c r="L351" s="46" t="e">
        <f aca="true">IF(($H351=0),0,$D$4+$D$5*(RAND()-0.5))</f>
        <v>#N/A</v>
      </c>
      <c r="M351" s="46" t="e">
        <f aca="false">L351+MAX(D351,M350)</f>
        <v>#N/A</v>
      </c>
      <c r="N351" s="46" t="e">
        <f aca="false">IF((H351=1),M351-D351,0)</f>
        <v>#N/A</v>
      </c>
      <c r="O351" s="29" t="n">
        <v>334</v>
      </c>
      <c r="P351" s="49" t="e">
        <f aca="false">IF((Arterial=0),P350+1,P350)</f>
        <v>#N/A</v>
      </c>
      <c r="Q351" s="49" t="e">
        <f aca="false">IF((Arterial=1),Q350+1,Q350)</f>
        <v>#N/A</v>
      </c>
      <c r="R351" s="50" t="n">
        <f aca="false">IF((RESET=1),0,R351+K351)</f>
        <v>0</v>
      </c>
      <c r="S351" s="19" t="n">
        <f aca="false">IF(RESET=1,0,S351+N351)</f>
        <v>0</v>
      </c>
      <c r="T351" s="0" t="n">
        <f aca="false">IF(RESET=1,0,T351+IF(H351=0,1,0))</f>
        <v>0</v>
      </c>
      <c r="U351" s="0" t="n">
        <f aca="false">IF(RESET=1,0,U351+H351)</f>
        <v>0</v>
      </c>
      <c r="V351" s="19" t="n">
        <f aca="false">R351/(T351+0.00001)</f>
        <v>0</v>
      </c>
      <c r="W351" s="19" t="n">
        <f aca="false">S351/(U351+0.0001)</f>
        <v>0</v>
      </c>
      <c r="X351" s="47" t="e">
        <f aca="false">IF(Informed=1,K351,0)</f>
        <v>#N/A</v>
      </c>
      <c r="Y351" s="47" t="n">
        <f aca="false">IF(Informed=0,K351,0)</f>
        <v>0</v>
      </c>
      <c r="Z351" s="47" t="e">
        <f aca="false">IF(Informed=1,N351,0)</f>
        <v>#N/A</v>
      </c>
      <c r="AA351" s="47" t="n">
        <f aca="false">IF(Informed=0,N351,0)</f>
        <v>0</v>
      </c>
      <c r="AB351" s="51" t="e">
        <f aca="false">IF(Arterial=0,IF(Informed=1,1,0),0)</f>
        <v>#N/A</v>
      </c>
      <c r="AC351" s="51" t="e">
        <f aca="false">IF(Arterial=0,IF(Informed=0,1,0),0)</f>
        <v>#N/A</v>
      </c>
      <c r="AD351" s="51" t="e">
        <f aca="false">IF(Arterial=1,IF(Informed=1,1,0),0)</f>
        <v>#N/A</v>
      </c>
      <c r="AE351" s="51" t="e">
        <f aca="false">IF(Arterial=1,IF(Informed=0,1,0),0)</f>
        <v>#N/A</v>
      </c>
      <c r="AF351" s="44" t="e">
        <f aca="false">IF(AB351=1,(X351-G$1030)^2,0)</f>
        <v>#N/A</v>
      </c>
      <c r="AG351" s="44" t="e">
        <f aca="false">IF(AC351=1,(Y351-H$1030)^2,0)</f>
        <v>#N/A</v>
      </c>
      <c r="AH351" s="44" t="e">
        <f aca="false">IF(AD351=1,(Z351-I$1030)^2,0)</f>
        <v>#N/A</v>
      </c>
      <c r="AI351" s="44" t="e">
        <f aca="false">IF(AE351=1,(AA351-J$1030)^2,0)</f>
        <v>#N/A</v>
      </c>
    </row>
    <row r="352" customFormat="false" ht="12" hidden="false" customHeight="false" outlineLevel="0" collapsed="false">
      <c r="A352" s="29" t="n">
        <v>335</v>
      </c>
      <c r="B352" s="45" t="n">
        <f aca="true">IF(RAND()&lt;$D$8,1,0)</f>
        <v>1</v>
      </c>
      <c r="C352" s="34" t="n">
        <f aca="true">-LN(RAND())/$D$2</f>
        <v>0.891981758794909</v>
      </c>
      <c r="D352" s="46" t="n">
        <f aca="false">D351+C352</f>
        <v>527.581966420343</v>
      </c>
      <c r="E352" s="47" t="e">
        <f aca="false">MAX($D$3,(1+P351-VLOOKUP(VALUE(D352),$J$18:$Q351,7,TRUE()))*$D$3)</f>
        <v>#N/A</v>
      </c>
      <c r="F352" s="47" t="e">
        <f aca="false">MAX($D$4,(1+Q351-VLOOKUP(VALUE(D352),$M$18:$Q351,5,TRUE()))*$D$4)</f>
        <v>#N/A</v>
      </c>
      <c r="G352" s="48" t="n">
        <v>0.5</v>
      </c>
      <c r="H352" s="46" t="e">
        <f aca="true">IF((B352=1),(IF((F352&lt;E352),1,(IF((F352=E352),(IF(RAND()&lt;G352,1,0)),0)))),(IF((RAND()&lt;G352),1,0)))</f>
        <v>#N/A</v>
      </c>
      <c r="I352" s="46" t="e">
        <f aca="true">IF((H352=1),0,$D$3+$D$5*(RAND()-0.5))</f>
        <v>#N/A</v>
      </c>
      <c r="J352" s="46" t="e">
        <f aca="false">I352+MAX(D352,J351)</f>
        <v>#N/A</v>
      </c>
      <c r="K352" s="46" t="e">
        <f aca="false">IF((H352=0),J352-D352,0)</f>
        <v>#N/A</v>
      </c>
      <c r="L352" s="46" t="e">
        <f aca="true">IF(($H352=0),0,$D$4+$D$5*(RAND()-0.5))</f>
        <v>#N/A</v>
      </c>
      <c r="M352" s="46" t="e">
        <f aca="false">L352+MAX(D352,M351)</f>
        <v>#N/A</v>
      </c>
      <c r="N352" s="46" t="e">
        <f aca="false">IF((H352=1),M352-D352,0)</f>
        <v>#N/A</v>
      </c>
      <c r="O352" s="29" t="n">
        <v>335</v>
      </c>
      <c r="P352" s="49" t="e">
        <f aca="false">IF((Arterial=0),P351+1,P351)</f>
        <v>#N/A</v>
      </c>
      <c r="Q352" s="49" t="e">
        <f aca="false">IF((Arterial=1),Q351+1,Q351)</f>
        <v>#N/A</v>
      </c>
      <c r="R352" s="50" t="n">
        <f aca="false">IF((RESET=1),0,R352+K352)</f>
        <v>0</v>
      </c>
      <c r="S352" s="19" t="n">
        <f aca="false">IF(RESET=1,0,S352+N352)</f>
        <v>0</v>
      </c>
      <c r="T352" s="0" t="n">
        <f aca="false">IF(RESET=1,0,T352+IF(H352=0,1,0))</f>
        <v>0</v>
      </c>
      <c r="U352" s="0" t="n">
        <f aca="false">IF(RESET=1,0,U352+H352)</f>
        <v>0</v>
      </c>
      <c r="V352" s="19" t="n">
        <f aca="false">R352/(T352+0.00001)</f>
        <v>0</v>
      </c>
      <c r="W352" s="19" t="n">
        <f aca="false">S352/(U352+0.0001)</f>
        <v>0</v>
      </c>
      <c r="X352" s="47" t="e">
        <f aca="false">IF(Informed=1,K352,0)</f>
        <v>#N/A</v>
      </c>
      <c r="Y352" s="47" t="n">
        <f aca="false">IF(Informed=0,K352,0)</f>
        <v>0</v>
      </c>
      <c r="Z352" s="47" t="e">
        <f aca="false">IF(Informed=1,N352,0)</f>
        <v>#N/A</v>
      </c>
      <c r="AA352" s="47" t="n">
        <f aca="false">IF(Informed=0,N352,0)</f>
        <v>0</v>
      </c>
      <c r="AB352" s="51" t="e">
        <f aca="false">IF(Arterial=0,IF(Informed=1,1,0),0)</f>
        <v>#N/A</v>
      </c>
      <c r="AC352" s="51" t="e">
        <f aca="false">IF(Arterial=0,IF(Informed=0,1,0),0)</f>
        <v>#N/A</v>
      </c>
      <c r="AD352" s="51" t="e">
        <f aca="false">IF(Arterial=1,IF(Informed=1,1,0),0)</f>
        <v>#N/A</v>
      </c>
      <c r="AE352" s="51" t="e">
        <f aca="false">IF(Arterial=1,IF(Informed=0,1,0),0)</f>
        <v>#N/A</v>
      </c>
      <c r="AF352" s="44" t="e">
        <f aca="false">IF(AB352=1,(X352-G$1030)^2,0)</f>
        <v>#N/A</v>
      </c>
      <c r="AG352" s="44" t="e">
        <f aca="false">IF(AC352=1,(Y352-H$1030)^2,0)</f>
        <v>#N/A</v>
      </c>
      <c r="AH352" s="44" t="e">
        <f aca="false">IF(AD352=1,(Z352-I$1030)^2,0)</f>
        <v>#N/A</v>
      </c>
      <c r="AI352" s="44" t="e">
        <f aca="false">IF(AE352=1,(AA352-J$1030)^2,0)</f>
        <v>#N/A</v>
      </c>
    </row>
    <row r="353" customFormat="false" ht="12" hidden="false" customHeight="false" outlineLevel="0" collapsed="false">
      <c r="A353" s="29" t="n">
        <v>336</v>
      </c>
      <c r="B353" s="45" t="n">
        <f aca="true">IF(RAND()&lt;$D$8,1,0)</f>
        <v>1</v>
      </c>
      <c r="C353" s="34" t="n">
        <f aca="true">-LN(RAND())/$D$2</f>
        <v>3.63301290277021</v>
      </c>
      <c r="D353" s="46" t="n">
        <f aca="false">D352+C353</f>
        <v>531.214979323113</v>
      </c>
      <c r="E353" s="47" t="e">
        <f aca="false">MAX($D$3,(1+P352-VLOOKUP(VALUE(D353),$J$18:$Q352,7,TRUE()))*$D$3)</f>
        <v>#N/A</v>
      </c>
      <c r="F353" s="47" t="e">
        <f aca="false">MAX($D$4,(1+Q352-VLOOKUP(VALUE(D353),$M$18:$Q352,5,TRUE()))*$D$4)</f>
        <v>#N/A</v>
      </c>
      <c r="G353" s="48" t="n">
        <v>0.5</v>
      </c>
      <c r="H353" s="46" t="e">
        <f aca="true">IF((B353=1),(IF((F353&lt;E353),1,(IF((F353=E353),(IF(RAND()&lt;G353,1,0)),0)))),(IF((RAND()&lt;G353),1,0)))</f>
        <v>#N/A</v>
      </c>
      <c r="I353" s="46" t="e">
        <f aca="true">IF((H353=1),0,$D$3+$D$5*(RAND()-0.5))</f>
        <v>#N/A</v>
      </c>
      <c r="J353" s="46" t="e">
        <f aca="false">I353+MAX(D353,J352)</f>
        <v>#N/A</v>
      </c>
      <c r="K353" s="46" t="e">
        <f aca="false">IF((H353=0),J353-D353,0)</f>
        <v>#N/A</v>
      </c>
      <c r="L353" s="46" t="e">
        <f aca="true">IF(($H353=0),0,$D$4+$D$5*(RAND()-0.5))</f>
        <v>#N/A</v>
      </c>
      <c r="M353" s="46" t="e">
        <f aca="false">L353+MAX(D353,M352)</f>
        <v>#N/A</v>
      </c>
      <c r="N353" s="46" t="e">
        <f aca="false">IF((H353=1),M353-D353,0)</f>
        <v>#N/A</v>
      </c>
      <c r="O353" s="29" t="n">
        <v>336</v>
      </c>
      <c r="P353" s="49" t="e">
        <f aca="false">IF((Arterial=0),P352+1,P352)</f>
        <v>#N/A</v>
      </c>
      <c r="Q353" s="49" t="e">
        <f aca="false">IF((Arterial=1),Q352+1,Q352)</f>
        <v>#N/A</v>
      </c>
      <c r="R353" s="50" t="n">
        <f aca="false">IF((RESET=1),0,R353+K353)</f>
        <v>0</v>
      </c>
      <c r="S353" s="19" t="n">
        <f aca="false">IF(RESET=1,0,S353+N353)</f>
        <v>0</v>
      </c>
      <c r="T353" s="0" t="n">
        <f aca="false">IF(RESET=1,0,T353+IF(H353=0,1,0))</f>
        <v>0</v>
      </c>
      <c r="U353" s="0" t="n">
        <f aca="false">IF(RESET=1,0,U353+H353)</f>
        <v>0</v>
      </c>
      <c r="V353" s="19" t="n">
        <f aca="false">R353/(T353+0.00001)</f>
        <v>0</v>
      </c>
      <c r="W353" s="19" t="n">
        <f aca="false">S353/(U353+0.0001)</f>
        <v>0</v>
      </c>
      <c r="X353" s="47" t="e">
        <f aca="false">IF(Informed=1,K353,0)</f>
        <v>#N/A</v>
      </c>
      <c r="Y353" s="47" t="n">
        <f aca="false">IF(Informed=0,K353,0)</f>
        <v>0</v>
      </c>
      <c r="Z353" s="47" t="e">
        <f aca="false">IF(Informed=1,N353,0)</f>
        <v>#N/A</v>
      </c>
      <c r="AA353" s="47" t="n">
        <f aca="false">IF(Informed=0,N353,0)</f>
        <v>0</v>
      </c>
      <c r="AB353" s="51" t="e">
        <f aca="false">IF(Arterial=0,IF(Informed=1,1,0),0)</f>
        <v>#N/A</v>
      </c>
      <c r="AC353" s="51" t="e">
        <f aca="false">IF(Arterial=0,IF(Informed=0,1,0),0)</f>
        <v>#N/A</v>
      </c>
      <c r="AD353" s="51" t="e">
        <f aca="false">IF(Arterial=1,IF(Informed=1,1,0),0)</f>
        <v>#N/A</v>
      </c>
      <c r="AE353" s="51" t="e">
        <f aca="false">IF(Arterial=1,IF(Informed=0,1,0),0)</f>
        <v>#N/A</v>
      </c>
      <c r="AF353" s="44" t="e">
        <f aca="false">IF(AB353=1,(X353-G$1030)^2,0)</f>
        <v>#N/A</v>
      </c>
      <c r="AG353" s="44" t="e">
        <f aca="false">IF(AC353=1,(Y353-H$1030)^2,0)</f>
        <v>#N/A</v>
      </c>
      <c r="AH353" s="44" t="e">
        <f aca="false">IF(AD353=1,(Z353-I$1030)^2,0)</f>
        <v>#N/A</v>
      </c>
      <c r="AI353" s="44" t="e">
        <f aca="false">IF(AE353=1,(AA353-J$1030)^2,0)</f>
        <v>#N/A</v>
      </c>
    </row>
    <row r="354" customFormat="false" ht="12" hidden="false" customHeight="false" outlineLevel="0" collapsed="false">
      <c r="A354" s="29" t="n">
        <v>337</v>
      </c>
      <c r="B354" s="45" t="n">
        <f aca="true">IF(RAND()&lt;$D$8,1,0)</f>
        <v>1</v>
      </c>
      <c r="C354" s="34" t="n">
        <f aca="true">-LN(RAND())/$D$2</f>
        <v>1.01574643079365</v>
      </c>
      <c r="D354" s="46" t="n">
        <f aca="false">D353+C354</f>
        <v>532.230725753907</v>
      </c>
      <c r="E354" s="47" t="e">
        <f aca="false">MAX($D$3,(1+P353-VLOOKUP(VALUE(D354),$J$18:$Q353,7,TRUE()))*$D$3)</f>
        <v>#N/A</v>
      </c>
      <c r="F354" s="47" t="e">
        <f aca="false">MAX($D$4,(1+Q353-VLOOKUP(VALUE(D354),$M$18:$Q353,5,TRUE()))*$D$4)</f>
        <v>#N/A</v>
      </c>
      <c r="G354" s="48" t="n">
        <v>0.5</v>
      </c>
      <c r="H354" s="46" t="e">
        <f aca="true">IF((B354=1),(IF((F354&lt;E354),1,(IF((F354=E354),(IF(RAND()&lt;G354,1,0)),0)))),(IF((RAND()&lt;G354),1,0)))</f>
        <v>#N/A</v>
      </c>
      <c r="I354" s="46" t="e">
        <f aca="true">IF((H354=1),0,$D$3+$D$5*(RAND()-0.5))</f>
        <v>#N/A</v>
      </c>
      <c r="J354" s="46" t="e">
        <f aca="false">I354+MAX(D354,J353)</f>
        <v>#N/A</v>
      </c>
      <c r="K354" s="46" t="e">
        <f aca="false">IF((H354=0),J354-D354,0)</f>
        <v>#N/A</v>
      </c>
      <c r="L354" s="46" t="e">
        <f aca="true">IF(($H354=0),0,$D$4+$D$5*(RAND()-0.5))</f>
        <v>#N/A</v>
      </c>
      <c r="M354" s="46" t="e">
        <f aca="false">L354+MAX(D354,M353)</f>
        <v>#N/A</v>
      </c>
      <c r="N354" s="46" t="e">
        <f aca="false">IF((H354=1),M354-D354,0)</f>
        <v>#N/A</v>
      </c>
      <c r="O354" s="29" t="n">
        <v>337</v>
      </c>
      <c r="P354" s="49" t="e">
        <f aca="false">IF((Arterial=0),P353+1,P353)</f>
        <v>#N/A</v>
      </c>
      <c r="Q354" s="49" t="e">
        <f aca="false">IF((Arterial=1),Q353+1,Q353)</f>
        <v>#N/A</v>
      </c>
      <c r="R354" s="50" t="n">
        <f aca="false">IF((RESET=1),0,R354+K354)</f>
        <v>0</v>
      </c>
      <c r="S354" s="19" t="n">
        <f aca="false">IF(RESET=1,0,S354+N354)</f>
        <v>0</v>
      </c>
      <c r="T354" s="0" t="n">
        <f aca="false">IF(RESET=1,0,T354+IF(H354=0,1,0))</f>
        <v>0</v>
      </c>
      <c r="U354" s="0" t="n">
        <f aca="false">IF(RESET=1,0,U354+H354)</f>
        <v>0</v>
      </c>
      <c r="V354" s="19" t="n">
        <f aca="false">R354/(T354+0.00001)</f>
        <v>0</v>
      </c>
      <c r="W354" s="19" t="n">
        <f aca="false">S354/(U354+0.0001)</f>
        <v>0</v>
      </c>
      <c r="X354" s="47" t="e">
        <f aca="false">IF(Informed=1,K354,0)</f>
        <v>#N/A</v>
      </c>
      <c r="Y354" s="47" t="n">
        <f aca="false">IF(Informed=0,K354,0)</f>
        <v>0</v>
      </c>
      <c r="Z354" s="47" t="e">
        <f aca="false">IF(Informed=1,N354,0)</f>
        <v>#N/A</v>
      </c>
      <c r="AA354" s="47" t="n">
        <f aca="false">IF(Informed=0,N354,0)</f>
        <v>0</v>
      </c>
      <c r="AB354" s="51" t="e">
        <f aca="false">IF(Arterial=0,IF(Informed=1,1,0),0)</f>
        <v>#N/A</v>
      </c>
      <c r="AC354" s="51" t="e">
        <f aca="false">IF(Arterial=0,IF(Informed=0,1,0),0)</f>
        <v>#N/A</v>
      </c>
      <c r="AD354" s="51" t="e">
        <f aca="false">IF(Arterial=1,IF(Informed=1,1,0),0)</f>
        <v>#N/A</v>
      </c>
      <c r="AE354" s="51" t="e">
        <f aca="false">IF(Arterial=1,IF(Informed=0,1,0),0)</f>
        <v>#N/A</v>
      </c>
      <c r="AF354" s="44" t="e">
        <f aca="false">IF(AB354=1,(X354-G$1030)^2,0)</f>
        <v>#N/A</v>
      </c>
      <c r="AG354" s="44" t="e">
        <f aca="false">IF(AC354=1,(Y354-H$1030)^2,0)</f>
        <v>#N/A</v>
      </c>
      <c r="AH354" s="44" t="e">
        <f aca="false">IF(AD354=1,(Z354-I$1030)^2,0)</f>
        <v>#N/A</v>
      </c>
      <c r="AI354" s="44" t="e">
        <f aca="false">IF(AE354=1,(AA354-J$1030)^2,0)</f>
        <v>#N/A</v>
      </c>
    </row>
    <row r="355" customFormat="false" ht="12" hidden="false" customHeight="false" outlineLevel="0" collapsed="false">
      <c r="A355" s="29" t="n">
        <v>338</v>
      </c>
      <c r="B355" s="45" t="n">
        <f aca="true">IF(RAND()&lt;$D$8,1,0)</f>
        <v>1</v>
      </c>
      <c r="C355" s="34" t="n">
        <f aca="true">-LN(RAND())/$D$2</f>
        <v>2.01091954495083</v>
      </c>
      <c r="D355" s="46" t="n">
        <f aca="false">D354+C355</f>
        <v>534.241645298858</v>
      </c>
      <c r="E355" s="47" t="e">
        <f aca="false">MAX($D$3,(1+P354-VLOOKUP(VALUE(D355),$J$18:$Q354,7,TRUE()))*$D$3)</f>
        <v>#N/A</v>
      </c>
      <c r="F355" s="47" t="e">
        <f aca="false">MAX($D$4,(1+Q354-VLOOKUP(VALUE(D355),$M$18:$Q354,5,TRUE()))*$D$4)</f>
        <v>#N/A</v>
      </c>
      <c r="G355" s="48" t="n">
        <v>0.5</v>
      </c>
      <c r="H355" s="46" t="e">
        <f aca="true">IF((B355=1),(IF((F355&lt;E355),1,(IF((F355=E355),(IF(RAND()&lt;G355,1,0)),0)))),(IF((RAND()&lt;G355),1,0)))</f>
        <v>#N/A</v>
      </c>
      <c r="I355" s="46" t="e">
        <f aca="true">IF((H355=1),0,$D$3+$D$5*(RAND()-0.5))</f>
        <v>#N/A</v>
      </c>
      <c r="J355" s="46" t="e">
        <f aca="false">I355+MAX(D355,J354)</f>
        <v>#N/A</v>
      </c>
      <c r="K355" s="46" t="e">
        <f aca="false">IF((H355=0),J355-D355,0)</f>
        <v>#N/A</v>
      </c>
      <c r="L355" s="46" t="e">
        <f aca="true">IF(($H355=0),0,$D$4+$D$5*(RAND()-0.5))</f>
        <v>#N/A</v>
      </c>
      <c r="M355" s="46" t="e">
        <f aca="false">L355+MAX(D355,M354)</f>
        <v>#N/A</v>
      </c>
      <c r="N355" s="46" t="e">
        <f aca="false">IF((H355=1),M355-D355,0)</f>
        <v>#N/A</v>
      </c>
      <c r="O355" s="29" t="n">
        <v>338</v>
      </c>
      <c r="P355" s="49" t="e">
        <f aca="false">IF((Arterial=0),P354+1,P354)</f>
        <v>#N/A</v>
      </c>
      <c r="Q355" s="49" t="e">
        <f aca="false">IF((Arterial=1),Q354+1,Q354)</f>
        <v>#N/A</v>
      </c>
      <c r="R355" s="50" t="n">
        <f aca="false">IF((RESET=1),0,R355+K355)</f>
        <v>0</v>
      </c>
      <c r="S355" s="19" t="n">
        <f aca="false">IF(RESET=1,0,S355+N355)</f>
        <v>0</v>
      </c>
      <c r="T355" s="0" t="n">
        <f aca="false">IF(RESET=1,0,T355+IF(H355=0,1,0))</f>
        <v>0</v>
      </c>
      <c r="U355" s="0" t="n">
        <f aca="false">IF(RESET=1,0,U355+H355)</f>
        <v>0</v>
      </c>
      <c r="V355" s="19" t="n">
        <f aca="false">R355/(T355+0.00001)</f>
        <v>0</v>
      </c>
      <c r="W355" s="19" t="n">
        <f aca="false">S355/(U355+0.0001)</f>
        <v>0</v>
      </c>
      <c r="X355" s="47" t="e">
        <f aca="false">IF(Informed=1,K355,0)</f>
        <v>#N/A</v>
      </c>
      <c r="Y355" s="47" t="n">
        <f aca="false">IF(Informed=0,K355,0)</f>
        <v>0</v>
      </c>
      <c r="Z355" s="47" t="e">
        <f aca="false">IF(Informed=1,N355,0)</f>
        <v>#N/A</v>
      </c>
      <c r="AA355" s="47" t="n">
        <f aca="false">IF(Informed=0,N355,0)</f>
        <v>0</v>
      </c>
      <c r="AB355" s="51" t="e">
        <f aca="false">IF(Arterial=0,IF(Informed=1,1,0),0)</f>
        <v>#N/A</v>
      </c>
      <c r="AC355" s="51" t="e">
        <f aca="false">IF(Arterial=0,IF(Informed=0,1,0),0)</f>
        <v>#N/A</v>
      </c>
      <c r="AD355" s="51" t="e">
        <f aca="false">IF(Arterial=1,IF(Informed=1,1,0),0)</f>
        <v>#N/A</v>
      </c>
      <c r="AE355" s="51" t="e">
        <f aca="false">IF(Arterial=1,IF(Informed=0,1,0),0)</f>
        <v>#N/A</v>
      </c>
      <c r="AF355" s="44" t="e">
        <f aca="false">IF(AB355=1,(X355-G$1030)^2,0)</f>
        <v>#N/A</v>
      </c>
      <c r="AG355" s="44" t="e">
        <f aca="false">IF(AC355=1,(Y355-H$1030)^2,0)</f>
        <v>#N/A</v>
      </c>
      <c r="AH355" s="44" t="e">
        <f aca="false">IF(AD355=1,(Z355-I$1030)^2,0)</f>
        <v>#N/A</v>
      </c>
      <c r="AI355" s="44" t="e">
        <f aca="false">IF(AE355=1,(AA355-J$1030)^2,0)</f>
        <v>#N/A</v>
      </c>
    </row>
    <row r="356" customFormat="false" ht="12" hidden="false" customHeight="false" outlineLevel="0" collapsed="false">
      <c r="A356" s="29" t="n">
        <v>339</v>
      </c>
      <c r="B356" s="45" t="n">
        <f aca="true">IF(RAND()&lt;$D$8,1,0)</f>
        <v>1</v>
      </c>
      <c r="C356" s="34" t="n">
        <f aca="true">-LN(RAND())/$D$2</f>
        <v>1.90130463587566</v>
      </c>
      <c r="D356" s="46" t="n">
        <f aca="false">D355+C356</f>
        <v>536.142949934733</v>
      </c>
      <c r="E356" s="47" t="e">
        <f aca="false">MAX($D$3,(1+P355-VLOOKUP(VALUE(D356),$J$18:$Q355,7,TRUE()))*$D$3)</f>
        <v>#N/A</v>
      </c>
      <c r="F356" s="47" t="e">
        <f aca="false">MAX($D$4,(1+Q355-VLOOKUP(VALUE(D356),$M$18:$Q355,5,TRUE()))*$D$4)</f>
        <v>#N/A</v>
      </c>
      <c r="G356" s="48" t="n">
        <v>0.5</v>
      </c>
      <c r="H356" s="46" t="e">
        <f aca="true">IF((B356=1),(IF((F356&lt;E356),1,(IF((F356=E356),(IF(RAND()&lt;G356,1,0)),0)))),(IF((RAND()&lt;G356),1,0)))</f>
        <v>#N/A</v>
      </c>
      <c r="I356" s="46" t="e">
        <f aca="true">IF((H356=1),0,$D$3+$D$5*(RAND()-0.5))</f>
        <v>#N/A</v>
      </c>
      <c r="J356" s="46" t="e">
        <f aca="false">I356+MAX(D356,J355)</f>
        <v>#N/A</v>
      </c>
      <c r="K356" s="46" t="e">
        <f aca="false">IF((H356=0),J356-D356,0)</f>
        <v>#N/A</v>
      </c>
      <c r="L356" s="46" t="e">
        <f aca="true">IF(($H356=0),0,$D$4+$D$5*(RAND()-0.5))</f>
        <v>#N/A</v>
      </c>
      <c r="M356" s="46" t="e">
        <f aca="false">L356+MAX(D356,M355)</f>
        <v>#N/A</v>
      </c>
      <c r="N356" s="46" t="e">
        <f aca="false">IF((H356=1),M356-D356,0)</f>
        <v>#N/A</v>
      </c>
      <c r="O356" s="29" t="n">
        <v>339</v>
      </c>
      <c r="P356" s="49" t="e">
        <f aca="false">IF((Arterial=0),P355+1,P355)</f>
        <v>#N/A</v>
      </c>
      <c r="Q356" s="49" t="e">
        <f aca="false">IF((Arterial=1),Q355+1,Q355)</f>
        <v>#N/A</v>
      </c>
      <c r="R356" s="50" t="n">
        <f aca="false">IF((RESET=1),0,R356+K356)</f>
        <v>0</v>
      </c>
      <c r="S356" s="19" t="n">
        <f aca="false">IF(RESET=1,0,S356+N356)</f>
        <v>0</v>
      </c>
      <c r="T356" s="0" t="n">
        <f aca="false">IF(RESET=1,0,T356+IF(H356=0,1,0))</f>
        <v>0</v>
      </c>
      <c r="U356" s="0" t="n">
        <f aca="false">IF(RESET=1,0,U356+H356)</f>
        <v>0</v>
      </c>
      <c r="V356" s="19" t="n">
        <f aca="false">R356/(T356+0.00001)</f>
        <v>0</v>
      </c>
      <c r="W356" s="19" t="n">
        <f aca="false">S356/(U356+0.0001)</f>
        <v>0</v>
      </c>
      <c r="X356" s="47" t="e">
        <f aca="false">IF(Informed=1,K356,0)</f>
        <v>#N/A</v>
      </c>
      <c r="Y356" s="47" t="n">
        <f aca="false">IF(Informed=0,K356,0)</f>
        <v>0</v>
      </c>
      <c r="Z356" s="47" t="e">
        <f aca="false">IF(Informed=1,N356,0)</f>
        <v>#N/A</v>
      </c>
      <c r="AA356" s="47" t="n">
        <f aca="false">IF(Informed=0,N356,0)</f>
        <v>0</v>
      </c>
      <c r="AB356" s="51" t="e">
        <f aca="false">IF(Arterial=0,IF(Informed=1,1,0),0)</f>
        <v>#N/A</v>
      </c>
      <c r="AC356" s="51" t="e">
        <f aca="false">IF(Arterial=0,IF(Informed=0,1,0),0)</f>
        <v>#N/A</v>
      </c>
      <c r="AD356" s="51" t="e">
        <f aca="false">IF(Arterial=1,IF(Informed=1,1,0),0)</f>
        <v>#N/A</v>
      </c>
      <c r="AE356" s="51" t="e">
        <f aca="false">IF(Arterial=1,IF(Informed=0,1,0),0)</f>
        <v>#N/A</v>
      </c>
      <c r="AF356" s="44" t="e">
        <f aca="false">IF(AB356=1,(X356-G$1030)^2,0)</f>
        <v>#N/A</v>
      </c>
      <c r="AG356" s="44" t="e">
        <f aca="false">IF(AC356=1,(Y356-H$1030)^2,0)</f>
        <v>#N/A</v>
      </c>
      <c r="AH356" s="44" t="e">
        <f aca="false">IF(AD356=1,(Z356-I$1030)^2,0)</f>
        <v>#N/A</v>
      </c>
      <c r="AI356" s="44" t="e">
        <f aca="false">IF(AE356=1,(AA356-J$1030)^2,0)</f>
        <v>#N/A</v>
      </c>
    </row>
    <row r="357" customFormat="false" ht="12" hidden="false" customHeight="false" outlineLevel="0" collapsed="false">
      <c r="A357" s="29" t="n">
        <v>340</v>
      </c>
      <c r="B357" s="45" t="n">
        <f aca="true">IF(RAND()&lt;$D$8,1,0)</f>
        <v>1</v>
      </c>
      <c r="C357" s="34" t="n">
        <f aca="true">-LN(RAND())/$D$2</f>
        <v>1.01312898384858</v>
      </c>
      <c r="D357" s="46" t="n">
        <f aca="false">D356+C357</f>
        <v>537.156078918582</v>
      </c>
      <c r="E357" s="47" t="e">
        <f aca="false">MAX($D$3,(1+P356-VLOOKUP(VALUE(D357),$J$18:$Q356,7,TRUE()))*$D$3)</f>
        <v>#N/A</v>
      </c>
      <c r="F357" s="47" t="e">
        <f aca="false">MAX($D$4,(1+Q356-VLOOKUP(VALUE(D357),$M$18:$Q356,5,TRUE()))*$D$4)</f>
        <v>#N/A</v>
      </c>
      <c r="G357" s="48" t="n">
        <v>0.5</v>
      </c>
      <c r="H357" s="46" t="e">
        <f aca="true">IF((B357=1),(IF((F357&lt;E357),1,(IF((F357=E357),(IF(RAND()&lt;G357,1,0)),0)))),(IF((RAND()&lt;G357),1,0)))</f>
        <v>#N/A</v>
      </c>
      <c r="I357" s="46" t="e">
        <f aca="true">IF((H357=1),0,$D$3+$D$5*(RAND()-0.5))</f>
        <v>#N/A</v>
      </c>
      <c r="J357" s="46" t="e">
        <f aca="false">I357+MAX(D357,J356)</f>
        <v>#N/A</v>
      </c>
      <c r="K357" s="46" t="e">
        <f aca="false">IF((H357=0),J357-D357,0)</f>
        <v>#N/A</v>
      </c>
      <c r="L357" s="46" t="e">
        <f aca="true">IF(($H357=0),0,$D$4+$D$5*(RAND()-0.5))</f>
        <v>#N/A</v>
      </c>
      <c r="M357" s="46" t="e">
        <f aca="false">L357+MAX(D357,M356)</f>
        <v>#N/A</v>
      </c>
      <c r="N357" s="46" t="e">
        <f aca="false">IF((H357=1),M357-D357,0)</f>
        <v>#N/A</v>
      </c>
      <c r="O357" s="29" t="n">
        <v>340</v>
      </c>
      <c r="P357" s="49" t="e">
        <f aca="false">IF((Arterial=0),P356+1,P356)</f>
        <v>#N/A</v>
      </c>
      <c r="Q357" s="49" t="e">
        <f aca="false">IF((Arterial=1),Q356+1,Q356)</f>
        <v>#N/A</v>
      </c>
      <c r="R357" s="50" t="n">
        <f aca="false">IF((RESET=1),0,R357+K357)</f>
        <v>0</v>
      </c>
      <c r="S357" s="19" t="n">
        <f aca="false">IF(RESET=1,0,S357+N357)</f>
        <v>0</v>
      </c>
      <c r="T357" s="0" t="n">
        <f aca="false">IF(RESET=1,0,T357+IF(H357=0,1,0))</f>
        <v>0</v>
      </c>
      <c r="U357" s="0" t="n">
        <f aca="false">IF(RESET=1,0,U357+H357)</f>
        <v>0</v>
      </c>
      <c r="V357" s="19" t="n">
        <f aca="false">R357/(T357+0.00001)</f>
        <v>0</v>
      </c>
      <c r="W357" s="19" t="n">
        <f aca="false">S357/(U357+0.0001)</f>
        <v>0</v>
      </c>
      <c r="X357" s="47" t="e">
        <f aca="false">IF(Informed=1,K357,0)</f>
        <v>#N/A</v>
      </c>
      <c r="Y357" s="47" t="n">
        <f aca="false">IF(Informed=0,K357,0)</f>
        <v>0</v>
      </c>
      <c r="Z357" s="47" t="e">
        <f aca="false">IF(Informed=1,N357,0)</f>
        <v>#N/A</v>
      </c>
      <c r="AA357" s="47" t="n">
        <f aca="false">IF(Informed=0,N357,0)</f>
        <v>0</v>
      </c>
      <c r="AB357" s="51" t="e">
        <f aca="false">IF(Arterial=0,IF(Informed=1,1,0),0)</f>
        <v>#N/A</v>
      </c>
      <c r="AC357" s="51" t="e">
        <f aca="false">IF(Arterial=0,IF(Informed=0,1,0),0)</f>
        <v>#N/A</v>
      </c>
      <c r="AD357" s="51" t="e">
        <f aca="false">IF(Arterial=1,IF(Informed=1,1,0),0)</f>
        <v>#N/A</v>
      </c>
      <c r="AE357" s="51" t="e">
        <f aca="false">IF(Arterial=1,IF(Informed=0,1,0),0)</f>
        <v>#N/A</v>
      </c>
      <c r="AF357" s="44" t="e">
        <f aca="false">IF(AB357=1,(X357-G$1030)^2,0)</f>
        <v>#N/A</v>
      </c>
      <c r="AG357" s="44" t="e">
        <f aca="false">IF(AC357=1,(Y357-H$1030)^2,0)</f>
        <v>#N/A</v>
      </c>
      <c r="AH357" s="44" t="e">
        <f aca="false">IF(AD357=1,(Z357-I$1030)^2,0)</f>
        <v>#N/A</v>
      </c>
      <c r="AI357" s="44" t="e">
        <f aca="false">IF(AE357=1,(AA357-J$1030)^2,0)</f>
        <v>#N/A</v>
      </c>
    </row>
    <row r="358" customFormat="false" ht="12" hidden="false" customHeight="false" outlineLevel="0" collapsed="false">
      <c r="A358" s="29" t="n">
        <v>341</v>
      </c>
      <c r="B358" s="45" t="n">
        <f aca="true">IF(RAND()&lt;$D$8,1,0)</f>
        <v>1</v>
      </c>
      <c r="C358" s="34" t="n">
        <f aca="true">-LN(RAND())/$D$2</f>
        <v>0.540271713409724</v>
      </c>
      <c r="D358" s="46" t="n">
        <f aca="false">D357+C358</f>
        <v>537.696350631992</v>
      </c>
      <c r="E358" s="47" t="e">
        <f aca="false">MAX($D$3,(1+P357-VLOOKUP(VALUE(D358),$J$18:$Q357,7,TRUE()))*$D$3)</f>
        <v>#N/A</v>
      </c>
      <c r="F358" s="47" t="e">
        <f aca="false">MAX($D$4,(1+Q357-VLOOKUP(VALUE(D358),$M$18:$Q357,5,TRUE()))*$D$4)</f>
        <v>#N/A</v>
      </c>
      <c r="G358" s="48" t="n">
        <v>0.5</v>
      </c>
      <c r="H358" s="46" t="e">
        <f aca="true">IF((B358=1),(IF((F358&lt;E358),1,(IF((F358=E358),(IF(RAND()&lt;G358,1,0)),0)))),(IF((RAND()&lt;G358),1,0)))</f>
        <v>#N/A</v>
      </c>
      <c r="I358" s="46" t="e">
        <f aca="true">IF((H358=1),0,$D$3+$D$5*(RAND()-0.5))</f>
        <v>#N/A</v>
      </c>
      <c r="J358" s="46" t="e">
        <f aca="false">I358+MAX(D358,J357)</f>
        <v>#N/A</v>
      </c>
      <c r="K358" s="46" t="e">
        <f aca="false">IF((H358=0),J358-D358,0)</f>
        <v>#N/A</v>
      </c>
      <c r="L358" s="46" t="e">
        <f aca="true">IF(($H358=0),0,$D$4+$D$5*(RAND()-0.5))</f>
        <v>#N/A</v>
      </c>
      <c r="M358" s="46" t="e">
        <f aca="false">L358+MAX(D358,M357)</f>
        <v>#N/A</v>
      </c>
      <c r="N358" s="46" t="e">
        <f aca="false">IF((H358=1),M358-D358,0)</f>
        <v>#N/A</v>
      </c>
      <c r="O358" s="29" t="n">
        <v>341</v>
      </c>
      <c r="P358" s="49" t="e">
        <f aca="false">IF((Arterial=0),P357+1,P357)</f>
        <v>#N/A</v>
      </c>
      <c r="Q358" s="49" t="e">
        <f aca="false">IF((Arterial=1),Q357+1,Q357)</f>
        <v>#N/A</v>
      </c>
      <c r="R358" s="50" t="n">
        <f aca="false">IF((RESET=1),0,R358+K358)</f>
        <v>0</v>
      </c>
      <c r="S358" s="19" t="n">
        <f aca="false">IF(RESET=1,0,S358+N358)</f>
        <v>0</v>
      </c>
      <c r="T358" s="0" t="n">
        <f aca="false">IF(RESET=1,0,T358+IF(H358=0,1,0))</f>
        <v>0</v>
      </c>
      <c r="U358" s="0" t="n">
        <f aca="false">IF(RESET=1,0,U358+H358)</f>
        <v>0</v>
      </c>
      <c r="V358" s="19" t="n">
        <f aca="false">R358/(T358+0.00001)</f>
        <v>0</v>
      </c>
      <c r="W358" s="19" t="n">
        <f aca="false">S358/(U358+0.0001)</f>
        <v>0</v>
      </c>
      <c r="X358" s="47" t="e">
        <f aca="false">IF(Informed=1,K358,0)</f>
        <v>#N/A</v>
      </c>
      <c r="Y358" s="47" t="n">
        <f aca="false">IF(Informed=0,K358,0)</f>
        <v>0</v>
      </c>
      <c r="Z358" s="47" t="e">
        <f aca="false">IF(Informed=1,N358,0)</f>
        <v>#N/A</v>
      </c>
      <c r="AA358" s="47" t="n">
        <f aca="false">IF(Informed=0,N358,0)</f>
        <v>0</v>
      </c>
      <c r="AB358" s="51" t="e">
        <f aca="false">IF(Arterial=0,IF(Informed=1,1,0),0)</f>
        <v>#N/A</v>
      </c>
      <c r="AC358" s="51" t="e">
        <f aca="false">IF(Arterial=0,IF(Informed=0,1,0),0)</f>
        <v>#N/A</v>
      </c>
      <c r="AD358" s="51" t="e">
        <f aca="false">IF(Arterial=1,IF(Informed=1,1,0),0)</f>
        <v>#N/A</v>
      </c>
      <c r="AE358" s="51" t="e">
        <f aca="false">IF(Arterial=1,IF(Informed=0,1,0),0)</f>
        <v>#N/A</v>
      </c>
      <c r="AF358" s="44" t="e">
        <f aca="false">IF(AB358=1,(X358-G$1030)^2,0)</f>
        <v>#N/A</v>
      </c>
      <c r="AG358" s="44" t="e">
        <f aca="false">IF(AC358=1,(Y358-H$1030)^2,0)</f>
        <v>#N/A</v>
      </c>
      <c r="AH358" s="44" t="e">
        <f aca="false">IF(AD358=1,(Z358-I$1030)^2,0)</f>
        <v>#N/A</v>
      </c>
      <c r="AI358" s="44" t="e">
        <f aca="false">IF(AE358=1,(AA358-J$1030)^2,0)</f>
        <v>#N/A</v>
      </c>
    </row>
    <row r="359" customFormat="false" ht="12" hidden="false" customHeight="false" outlineLevel="0" collapsed="false">
      <c r="A359" s="29" t="n">
        <v>342</v>
      </c>
      <c r="B359" s="45" t="n">
        <f aca="true">IF(RAND()&lt;$D$8,1,0)</f>
        <v>1</v>
      </c>
      <c r="C359" s="34" t="n">
        <f aca="true">-LN(RAND())/$D$2</f>
        <v>6.73088170803746</v>
      </c>
      <c r="D359" s="46" t="n">
        <f aca="false">D358+C359</f>
        <v>544.427232340029</v>
      </c>
      <c r="E359" s="47" t="e">
        <f aca="false">MAX($D$3,(1+P358-VLOOKUP(VALUE(D359),$J$18:$Q358,7,TRUE()))*$D$3)</f>
        <v>#N/A</v>
      </c>
      <c r="F359" s="47" t="e">
        <f aca="false">MAX($D$4,(1+Q358-VLOOKUP(VALUE(D359),$M$18:$Q358,5,TRUE()))*$D$4)</f>
        <v>#N/A</v>
      </c>
      <c r="G359" s="48" t="n">
        <v>0.5</v>
      </c>
      <c r="H359" s="46" t="e">
        <f aca="true">IF((B359=1),(IF((F359&lt;E359),1,(IF((F359=E359),(IF(RAND()&lt;G359,1,0)),0)))),(IF((RAND()&lt;G359),1,0)))</f>
        <v>#N/A</v>
      </c>
      <c r="I359" s="46" t="e">
        <f aca="true">IF((H359=1),0,$D$3+$D$5*(RAND()-0.5))</f>
        <v>#N/A</v>
      </c>
      <c r="J359" s="46" t="e">
        <f aca="false">I359+MAX(D359,J358)</f>
        <v>#N/A</v>
      </c>
      <c r="K359" s="46" t="e">
        <f aca="false">IF((H359=0),J359-D359,0)</f>
        <v>#N/A</v>
      </c>
      <c r="L359" s="46" t="e">
        <f aca="true">IF(($H359=0),0,$D$4+$D$5*(RAND()-0.5))</f>
        <v>#N/A</v>
      </c>
      <c r="M359" s="46" t="e">
        <f aca="false">L359+MAX(D359,M358)</f>
        <v>#N/A</v>
      </c>
      <c r="N359" s="46" t="e">
        <f aca="false">IF((H359=1),M359-D359,0)</f>
        <v>#N/A</v>
      </c>
      <c r="O359" s="29" t="n">
        <v>342</v>
      </c>
      <c r="P359" s="49" t="e">
        <f aca="false">IF((Arterial=0),P358+1,P358)</f>
        <v>#N/A</v>
      </c>
      <c r="Q359" s="49" t="e">
        <f aca="false">IF((Arterial=1),Q358+1,Q358)</f>
        <v>#N/A</v>
      </c>
      <c r="R359" s="50" t="n">
        <f aca="false">IF((RESET=1),0,R359+K359)</f>
        <v>0</v>
      </c>
      <c r="S359" s="19" t="n">
        <f aca="false">IF(RESET=1,0,S359+N359)</f>
        <v>0</v>
      </c>
      <c r="T359" s="0" t="n">
        <f aca="false">IF(RESET=1,0,T359+IF(H359=0,1,0))</f>
        <v>0</v>
      </c>
      <c r="U359" s="0" t="n">
        <f aca="false">IF(RESET=1,0,U359+H359)</f>
        <v>0</v>
      </c>
      <c r="V359" s="19" t="n">
        <f aca="false">R359/(T359+0.00001)</f>
        <v>0</v>
      </c>
      <c r="W359" s="19" t="n">
        <f aca="false">S359/(U359+0.0001)</f>
        <v>0</v>
      </c>
      <c r="X359" s="47" t="e">
        <f aca="false">IF(Informed=1,K359,0)</f>
        <v>#N/A</v>
      </c>
      <c r="Y359" s="47" t="n">
        <f aca="false">IF(Informed=0,K359,0)</f>
        <v>0</v>
      </c>
      <c r="Z359" s="47" t="e">
        <f aca="false">IF(Informed=1,N359,0)</f>
        <v>#N/A</v>
      </c>
      <c r="AA359" s="47" t="n">
        <f aca="false">IF(Informed=0,N359,0)</f>
        <v>0</v>
      </c>
      <c r="AB359" s="51" t="e">
        <f aca="false">IF(Arterial=0,IF(Informed=1,1,0),0)</f>
        <v>#N/A</v>
      </c>
      <c r="AC359" s="51" t="e">
        <f aca="false">IF(Arterial=0,IF(Informed=0,1,0),0)</f>
        <v>#N/A</v>
      </c>
      <c r="AD359" s="51" t="e">
        <f aca="false">IF(Arterial=1,IF(Informed=1,1,0),0)</f>
        <v>#N/A</v>
      </c>
      <c r="AE359" s="51" t="e">
        <f aca="false">IF(Arterial=1,IF(Informed=0,1,0),0)</f>
        <v>#N/A</v>
      </c>
      <c r="AF359" s="44" t="e">
        <f aca="false">IF(AB359=1,(X359-G$1030)^2,0)</f>
        <v>#N/A</v>
      </c>
      <c r="AG359" s="44" t="e">
        <f aca="false">IF(AC359=1,(Y359-H$1030)^2,0)</f>
        <v>#N/A</v>
      </c>
      <c r="AH359" s="44" t="e">
        <f aca="false">IF(AD359=1,(Z359-I$1030)^2,0)</f>
        <v>#N/A</v>
      </c>
      <c r="AI359" s="44" t="e">
        <f aca="false">IF(AE359=1,(AA359-J$1030)^2,0)</f>
        <v>#N/A</v>
      </c>
    </row>
    <row r="360" customFormat="false" ht="12" hidden="false" customHeight="false" outlineLevel="0" collapsed="false">
      <c r="A360" s="29" t="n">
        <v>343</v>
      </c>
      <c r="B360" s="45" t="n">
        <f aca="true">IF(RAND()&lt;$D$8,1,0)</f>
        <v>1</v>
      </c>
      <c r="C360" s="34" t="n">
        <f aca="true">-LN(RAND())/$D$2</f>
        <v>1.69081083111916</v>
      </c>
      <c r="D360" s="46" t="n">
        <f aca="false">D359+C360</f>
        <v>546.118043171148</v>
      </c>
      <c r="E360" s="47" t="e">
        <f aca="false">MAX($D$3,(1+P359-VLOOKUP(VALUE(D360),$J$18:$Q359,7,TRUE()))*$D$3)</f>
        <v>#N/A</v>
      </c>
      <c r="F360" s="47" t="e">
        <f aca="false">MAX($D$4,(1+Q359-VLOOKUP(VALUE(D360),$M$18:$Q359,5,TRUE()))*$D$4)</f>
        <v>#N/A</v>
      </c>
      <c r="G360" s="48" t="n">
        <v>0.5</v>
      </c>
      <c r="H360" s="46" t="e">
        <f aca="true">IF((B360=1),(IF((F360&lt;E360),1,(IF((F360=E360),(IF(RAND()&lt;G360,1,0)),0)))),(IF((RAND()&lt;G360),1,0)))</f>
        <v>#N/A</v>
      </c>
      <c r="I360" s="46" t="e">
        <f aca="true">IF((H360=1),0,$D$3+$D$5*(RAND()-0.5))</f>
        <v>#N/A</v>
      </c>
      <c r="J360" s="46" t="e">
        <f aca="false">I360+MAX(D360,J359)</f>
        <v>#N/A</v>
      </c>
      <c r="K360" s="46" t="e">
        <f aca="false">IF((H360=0),J360-D360,0)</f>
        <v>#N/A</v>
      </c>
      <c r="L360" s="46" t="e">
        <f aca="true">IF(($H360=0),0,$D$4+$D$5*(RAND()-0.5))</f>
        <v>#N/A</v>
      </c>
      <c r="M360" s="46" t="e">
        <f aca="false">L360+MAX(D360,M359)</f>
        <v>#N/A</v>
      </c>
      <c r="N360" s="46" t="e">
        <f aca="false">IF((H360=1),M360-D360,0)</f>
        <v>#N/A</v>
      </c>
      <c r="O360" s="29" t="n">
        <v>343</v>
      </c>
      <c r="P360" s="49" t="e">
        <f aca="false">IF((Arterial=0),P359+1,P359)</f>
        <v>#N/A</v>
      </c>
      <c r="Q360" s="49" t="e">
        <f aca="false">IF((Arterial=1),Q359+1,Q359)</f>
        <v>#N/A</v>
      </c>
      <c r="R360" s="50" t="n">
        <f aca="false">IF((RESET=1),0,R360+K360)</f>
        <v>0</v>
      </c>
      <c r="S360" s="19" t="n">
        <f aca="false">IF(RESET=1,0,S360+N360)</f>
        <v>0</v>
      </c>
      <c r="T360" s="0" t="n">
        <f aca="false">IF(RESET=1,0,T360+IF(H360=0,1,0))</f>
        <v>0</v>
      </c>
      <c r="U360" s="0" t="n">
        <f aca="false">IF(RESET=1,0,U360+H360)</f>
        <v>0</v>
      </c>
      <c r="V360" s="19" t="n">
        <f aca="false">R360/(T360+0.00001)</f>
        <v>0</v>
      </c>
      <c r="W360" s="19" t="n">
        <f aca="false">S360/(U360+0.0001)</f>
        <v>0</v>
      </c>
      <c r="X360" s="47" t="e">
        <f aca="false">IF(Informed=1,K360,0)</f>
        <v>#N/A</v>
      </c>
      <c r="Y360" s="47" t="n">
        <f aca="false">IF(Informed=0,K360,0)</f>
        <v>0</v>
      </c>
      <c r="Z360" s="47" t="e">
        <f aca="false">IF(Informed=1,N360,0)</f>
        <v>#N/A</v>
      </c>
      <c r="AA360" s="47" t="n">
        <f aca="false">IF(Informed=0,N360,0)</f>
        <v>0</v>
      </c>
      <c r="AB360" s="51" t="e">
        <f aca="false">IF(Arterial=0,IF(Informed=1,1,0),0)</f>
        <v>#N/A</v>
      </c>
      <c r="AC360" s="51" t="e">
        <f aca="false">IF(Arterial=0,IF(Informed=0,1,0),0)</f>
        <v>#N/A</v>
      </c>
      <c r="AD360" s="51" t="e">
        <f aca="false">IF(Arterial=1,IF(Informed=1,1,0),0)</f>
        <v>#N/A</v>
      </c>
      <c r="AE360" s="51" t="e">
        <f aca="false">IF(Arterial=1,IF(Informed=0,1,0),0)</f>
        <v>#N/A</v>
      </c>
      <c r="AF360" s="44" t="e">
        <f aca="false">IF(AB360=1,(X360-G$1030)^2,0)</f>
        <v>#N/A</v>
      </c>
      <c r="AG360" s="44" t="e">
        <f aca="false">IF(AC360=1,(Y360-H$1030)^2,0)</f>
        <v>#N/A</v>
      </c>
      <c r="AH360" s="44" t="e">
        <f aca="false">IF(AD360=1,(Z360-I$1030)^2,0)</f>
        <v>#N/A</v>
      </c>
      <c r="AI360" s="44" t="e">
        <f aca="false">IF(AE360=1,(AA360-J$1030)^2,0)</f>
        <v>#N/A</v>
      </c>
    </row>
    <row r="361" customFormat="false" ht="12" hidden="false" customHeight="false" outlineLevel="0" collapsed="false">
      <c r="A361" s="29" t="n">
        <v>344</v>
      </c>
      <c r="B361" s="45" t="n">
        <f aca="true">IF(RAND()&lt;$D$8,1,0)</f>
        <v>1</v>
      </c>
      <c r="C361" s="34" t="n">
        <f aca="true">-LN(RAND())/$D$2</f>
        <v>0.879004898605338</v>
      </c>
      <c r="D361" s="46" t="n">
        <f aca="false">D360+C361</f>
        <v>546.997048069754</v>
      </c>
      <c r="E361" s="47" t="e">
        <f aca="false">MAX($D$3,(1+P360-VLOOKUP(VALUE(D361),$J$18:$Q360,7,TRUE()))*$D$3)</f>
        <v>#N/A</v>
      </c>
      <c r="F361" s="47" t="e">
        <f aca="false">MAX($D$4,(1+Q360-VLOOKUP(VALUE(D361),$M$18:$Q360,5,TRUE()))*$D$4)</f>
        <v>#N/A</v>
      </c>
      <c r="G361" s="48" t="n">
        <v>0.5</v>
      </c>
      <c r="H361" s="46" t="e">
        <f aca="true">IF((B361=1),(IF((F361&lt;E361),1,(IF((F361=E361),(IF(RAND()&lt;G361,1,0)),0)))),(IF((RAND()&lt;G361),1,0)))</f>
        <v>#N/A</v>
      </c>
      <c r="I361" s="46" t="e">
        <f aca="true">IF((H361=1),0,$D$3+$D$5*(RAND()-0.5))</f>
        <v>#N/A</v>
      </c>
      <c r="J361" s="46" t="e">
        <f aca="false">I361+MAX(D361,J360)</f>
        <v>#N/A</v>
      </c>
      <c r="K361" s="46" t="e">
        <f aca="false">IF((H361=0),J361-D361,0)</f>
        <v>#N/A</v>
      </c>
      <c r="L361" s="46" t="e">
        <f aca="true">IF(($H361=0),0,$D$4+$D$5*(RAND()-0.5))</f>
        <v>#N/A</v>
      </c>
      <c r="M361" s="46" t="e">
        <f aca="false">L361+MAX(D361,M360)</f>
        <v>#N/A</v>
      </c>
      <c r="N361" s="46" t="e">
        <f aca="false">IF((H361=1),M361-D361,0)</f>
        <v>#N/A</v>
      </c>
      <c r="O361" s="29" t="n">
        <v>344</v>
      </c>
      <c r="P361" s="49" t="e">
        <f aca="false">IF((Arterial=0),P360+1,P360)</f>
        <v>#N/A</v>
      </c>
      <c r="Q361" s="49" t="e">
        <f aca="false">IF((Arterial=1),Q360+1,Q360)</f>
        <v>#N/A</v>
      </c>
      <c r="R361" s="50" t="n">
        <f aca="false">IF((RESET=1),0,R361+K361)</f>
        <v>0</v>
      </c>
      <c r="S361" s="19" t="n">
        <f aca="false">IF(RESET=1,0,S361+N361)</f>
        <v>0</v>
      </c>
      <c r="T361" s="0" t="n">
        <f aca="false">IF(RESET=1,0,T361+IF(H361=0,1,0))</f>
        <v>0</v>
      </c>
      <c r="U361" s="0" t="n">
        <f aca="false">IF(RESET=1,0,U361+H361)</f>
        <v>0</v>
      </c>
      <c r="V361" s="19" t="n">
        <f aca="false">R361/(T361+0.00001)</f>
        <v>0</v>
      </c>
      <c r="W361" s="19" t="n">
        <f aca="false">S361/(U361+0.0001)</f>
        <v>0</v>
      </c>
      <c r="X361" s="47" t="e">
        <f aca="false">IF(Informed=1,K361,0)</f>
        <v>#N/A</v>
      </c>
      <c r="Y361" s="47" t="n">
        <f aca="false">IF(Informed=0,K361,0)</f>
        <v>0</v>
      </c>
      <c r="Z361" s="47" t="e">
        <f aca="false">IF(Informed=1,N361,0)</f>
        <v>#N/A</v>
      </c>
      <c r="AA361" s="47" t="n">
        <f aca="false">IF(Informed=0,N361,0)</f>
        <v>0</v>
      </c>
      <c r="AB361" s="51" t="e">
        <f aca="false">IF(Arterial=0,IF(Informed=1,1,0),0)</f>
        <v>#N/A</v>
      </c>
      <c r="AC361" s="51" t="e">
        <f aca="false">IF(Arterial=0,IF(Informed=0,1,0),0)</f>
        <v>#N/A</v>
      </c>
      <c r="AD361" s="51" t="e">
        <f aca="false">IF(Arterial=1,IF(Informed=1,1,0),0)</f>
        <v>#N/A</v>
      </c>
      <c r="AE361" s="51" t="e">
        <f aca="false">IF(Arterial=1,IF(Informed=0,1,0),0)</f>
        <v>#N/A</v>
      </c>
      <c r="AF361" s="44" t="e">
        <f aca="false">IF(AB361=1,(X361-G$1030)^2,0)</f>
        <v>#N/A</v>
      </c>
      <c r="AG361" s="44" t="e">
        <f aca="false">IF(AC361=1,(Y361-H$1030)^2,0)</f>
        <v>#N/A</v>
      </c>
      <c r="AH361" s="44" t="e">
        <f aca="false">IF(AD361=1,(Z361-I$1030)^2,0)</f>
        <v>#N/A</v>
      </c>
      <c r="AI361" s="44" t="e">
        <f aca="false">IF(AE361=1,(AA361-J$1030)^2,0)</f>
        <v>#N/A</v>
      </c>
    </row>
    <row r="362" customFormat="false" ht="12" hidden="false" customHeight="false" outlineLevel="0" collapsed="false">
      <c r="A362" s="29" t="n">
        <v>345</v>
      </c>
      <c r="B362" s="45" t="n">
        <f aca="true">IF(RAND()&lt;$D$8,1,0)</f>
        <v>1</v>
      </c>
      <c r="C362" s="34" t="n">
        <f aca="true">-LN(RAND())/$D$2</f>
        <v>0.891886335219636</v>
      </c>
      <c r="D362" s="46" t="n">
        <f aca="false">D361+C362</f>
        <v>547.888934404973</v>
      </c>
      <c r="E362" s="47" t="e">
        <f aca="false">MAX($D$3,(1+P361-VLOOKUP(VALUE(D362),$J$18:$Q361,7,TRUE()))*$D$3)</f>
        <v>#N/A</v>
      </c>
      <c r="F362" s="47" t="e">
        <f aca="false">MAX($D$4,(1+Q361-VLOOKUP(VALUE(D362),$M$18:$Q361,5,TRUE()))*$D$4)</f>
        <v>#N/A</v>
      </c>
      <c r="G362" s="48" t="n">
        <v>0.5</v>
      </c>
      <c r="H362" s="46" t="e">
        <f aca="true">IF((B362=1),(IF((F362&lt;E362),1,(IF((F362=E362),(IF(RAND()&lt;G362,1,0)),0)))),(IF((RAND()&lt;G362),1,0)))</f>
        <v>#N/A</v>
      </c>
      <c r="I362" s="46" t="e">
        <f aca="true">IF((H362=1),0,$D$3+$D$5*(RAND()-0.5))</f>
        <v>#N/A</v>
      </c>
      <c r="J362" s="46" t="e">
        <f aca="false">I362+MAX(D362,J361)</f>
        <v>#N/A</v>
      </c>
      <c r="K362" s="46" t="e">
        <f aca="false">IF((H362=0),J362-D362,0)</f>
        <v>#N/A</v>
      </c>
      <c r="L362" s="46" t="e">
        <f aca="true">IF(($H362=0),0,$D$4+$D$5*(RAND()-0.5))</f>
        <v>#N/A</v>
      </c>
      <c r="M362" s="46" t="e">
        <f aca="false">L362+MAX(D362,M361)</f>
        <v>#N/A</v>
      </c>
      <c r="N362" s="46" t="e">
        <f aca="false">IF((H362=1),M362-D362,0)</f>
        <v>#N/A</v>
      </c>
      <c r="O362" s="29" t="n">
        <v>345</v>
      </c>
      <c r="P362" s="49" t="e">
        <f aca="false">IF((Arterial=0),P361+1,P361)</f>
        <v>#N/A</v>
      </c>
      <c r="Q362" s="49" t="e">
        <f aca="false">IF((Arterial=1),Q361+1,Q361)</f>
        <v>#N/A</v>
      </c>
      <c r="R362" s="50" t="n">
        <f aca="false">IF((RESET=1),0,R362+K362)</f>
        <v>0</v>
      </c>
      <c r="S362" s="19" t="n">
        <f aca="false">IF(RESET=1,0,S362+N362)</f>
        <v>0</v>
      </c>
      <c r="T362" s="0" t="n">
        <f aca="false">IF(RESET=1,0,T362+IF(H362=0,1,0))</f>
        <v>0</v>
      </c>
      <c r="U362" s="0" t="n">
        <f aca="false">IF(RESET=1,0,U362+H362)</f>
        <v>0</v>
      </c>
      <c r="V362" s="19" t="n">
        <f aca="false">R362/(T362+0.00001)</f>
        <v>0</v>
      </c>
      <c r="W362" s="19" t="n">
        <f aca="false">S362/(U362+0.0001)</f>
        <v>0</v>
      </c>
      <c r="X362" s="47" t="e">
        <f aca="false">IF(Informed=1,K362,0)</f>
        <v>#N/A</v>
      </c>
      <c r="Y362" s="47" t="n">
        <f aca="false">IF(Informed=0,K362,0)</f>
        <v>0</v>
      </c>
      <c r="Z362" s="47" t="e">
        <f aca="false">IF(Informed=1,N362,0)</f>
        <v>#N/A</v>
      </c>
      <c r="AA362" s="47" t="n">
        <f aca="false">IF(Informed=0,N362,0)</f>
        <v>0</v>
      </c>
      <c r="AB362" s="51" t="e">
        <f aca="false">IF(Arterial=0,IF(Informed=1,1,0),0)</f>
        <v>#N/A</v>
      </c>
      <c r="AC362" s="51" t="e">
        <f aca="false">IF(Arterial=0,IF(Informed=0,1,0),0)</f>
        <v>#N/A</v>
      </c>
      <c r="AD362" s="51" t="e">
        <f aca="false">IF(Arterial=1,IF(Informed=1,1,0),0)</f>
        <v>#N/A</v>
      </c>
      <c r="AE362" s="51" t="e">
        <f aca="false">IF(Arterial=1,IF(Informed=0,1,0),0)</f>
        <v>#N/A</v>
      </c>
      <c r="AF362" s="44" t="e">
        <f aca="false">IF(AB362=1,(X362-G$1030)^2,0)</f>
        <v>#N/A</v>
      </c>
      <c r="AG362" s="44" t="e">
        <f aca="false">IF(AC362=1,(Y362-H$1030)^2,0)</f>
        <v>#N/A</v>
      </c>
      <c r="AH362" s="44" t="e">
        <f aca="false">IF(AD362=1,(Z362-I$1030)^2,0)</f>
        <v>#N/A</v>
      </c>
      <c r="AI362" s="44" t="e">
        <f aca="false">IF(AE362=1,(AA362-J$1030)^2,0)</f>
        <v>#N/A</v>
      </c>
    </row>
    <row r="363" customFormat="false" ht="12" hidden="false" customHeight="false" outlineLevel="0" collapsed="false">
      <c r="A363" s="29" t="n">
        <v>346</v>
      </c>
      <c r="B363" s="45" t="n">
        <f aca="true">IF(RAND()&lt;$D$8,1,0)</f>
        <v>1</v>
      </c>
      <c r="C363" s="34" t="n">
        <f aca="true">-LN(RAND())/$D$2</f>
        <v>0.315049346932973</v>
      </c>
      <c r="D363" s="46" t="n">
        <f aca="false">D362+C363</f>
        <v>548.203983751906</v>
      </c>
      <c r="E363" s="47" t="e">
        <f aca="false">MAX($D$3,(1+P362-VLOOKUP(VALUE(D363),$J$18:$Q362,7,TRUE()))*$D$3)</f>
        <v>#N/A</v>
      </c>
      <c r="F363" s="47" t="e">
        <f aca="false">MAX($D$4,(1+Q362-VLOOKUP(VALUE(D363),$M$18:$Q362,5,TRUE()))*$D$4)</f>
        <v>#N/A</v>
      </c>
      <c r="G363" s="48" t="n">
        <v>0.5</v>
      </c>
      <c r="H363" s="46" t="e">
        <f aca="true">IF((B363=1),(IF((F363&lt;E363),1,(IF((F363=E363),(IF(RAND()&lt;G363,1,0)),0)))),(IF((RAND()&lt;G363),1,0)))</f>
        <v>#N/A</v>
      </c>
      <c r="I363" s="46" t="e">
        <f aca="true">IF((H363=1),0,$D$3+$D$5*(RAND()-0.5))</f>
        <v>#N/A</v>
      </c>
      <c r="J363" s="46" t="e">
        <f aca="false">I363+MAX(D363,J362)</f>
        <v>#N/A</v>
      </c>
      <c r="K363" s="46" t="e">
        <f aca="false">IF((H363=0),J363-D363,0)</f>
        <v>#N/A</v>
      </c>
      <c r="L363" s="46" t="e">
        <f aca="true">IF(($H363=0),0,$D$4+$D$5*(RAND()-0.5))</f>
        <v>#N/A</v>
      </c>
      <c r="M363" s="46" t="e">
        <f aca="false">L363+MAX(D363,M362)</f>
        <v>#N/A</v>
      </c>
      <c r="N363" s="46" t="e">
        <f aca="false">IF((H363=1),M363-D363,0)</f>
        <v>#N/A</v>
      </c>
      <c r="O363" s="29" t="n">
        <v>346</v>
      </c>
      <c r="P363" s="49" t="e">
        <f aca="false">IF((Arterial=0),P362+1,P362)</f>
        <v>#N/A</v>
      </c>
      <c r="Q363" s="49" t="e">
        <f aca="false">IF((Arterial=1),Q362+1,Q362)</f>
        <v>#N/A</v>
      </c>
      <c r="R363" s="50" t="n">
        <f aca="false">IF((RESET=1),0,R363+K363)</f>
        <v>0</v>
      </c>
      <c r="S363" s="19" t="n">
        <f aca="false">IF(RESET=1,0,S363+N363)</f>
        <v>0</v>
      </c>
      <c r="T363" s="0" t="n">
        <f aca="false">IF(RESET=1,0,T363+IF(H363=0,1,0))</f>
        <v>0</v>
      </c>
      <c r="U363" s="0" t="n">
        <f aca="false">IF(RESET=1,0,U363+H363)</f>
        <v>0</v>
      </c>
      <c r="V363" s="19" t="n">
        <f aca="false">R363/(T363+0.00001)</f>
        <v>0</v>
      </c>
      <c r="W363" s="19" t="n">
        <f aca="false">S363/(U363+0.0001)</f>
        <v>0</v>
      </c>
      <c r="X363" s="47" t="e">
        <f aca="false">IF(Informed=1,K363,0)</f>
        <v>#N/A</v>
      </c>
      <c r="Y363" s="47" t="n">
        <f aca="false">IF(Informed=0,K363,0)</f>
        <v>0</v>
      </c>
      <c r="Z363" s="47" t="e">
        <f aca="false">IF(Informed=1,N363,0)</f>
        <v>#N/A</v>
      </c>
      <c r="AA363" s="47" t="n">
        <f aca="false">IF(Informed=0,N363,0)</f>
        <v>0</v>
      </c>
      <c r="AB363" s="51" t="e">
        <f aca="false">IF(Arterial=0,IF(Informed=1,1,0),0)</f>
        <v>#N/A</v>
      </c>
      <c r="AC363" s="51" t="e">
        <f aca="false">IF(Arterial=0,IF(Informed=0,1,0),0)</f>
        <v>#N/A</v>
      </c>
      <c r="AD363" s="51" t="e">
        <f aca="false">IF(Arterial=1,IF(Informed=1,1,0),0)</f>
        <v>#N/A</v>
      </c>
      <c r="AE363" s="51" t="e">
        <f aca="false">IF(Arterial=1,IF(Informed=0,1,0),0)</f>
        <v>#N/A</v>
      </c>
      <c r="AF363" s="44" t="e">
        <f aca="false">IF(AB363=1,(X363-G$1030)^2,0)</f>
        <v>#N/A</v>
      </c>
      <c r="AG363" s="44" t="e">
        <f aca="false">IF(AC363=1,(Y363-H$1030)^2,0)</f>
        <v>#N/A</v>
      </c>
      <c r="AH363" s="44" t="e">
        <f aca="false">IF(AD363=1,(Z363-I$1030)^2,0)</f>
        <v>#N/A</v>
      </c>
      <c r="AI363" s="44" t="e">
        <f aca="false">IF(AE363=1,(AA363-J$1030)^2,0)</f>
        <v>#N/A</v>
      </c>
    </row>
    <row r="364" customFormat="false" ht="12" hidden="false" customHeight="false" outlineLevel="0" collapsed="false">
      <c r="A364" s="29" t="n">
        <v>347</v>
      </c>
      <c r="B364" s="45" t="n">
        <f aca="true">IF(RAND()&lt;$D$8,1,0)</f>
        <v>1</v>
      </c>
      <c r="C364" s="34" t="n">
        <f aca="true">-LN(RAND())/$D$2</f>
        <v>0.918622714070154</v>
      </c>
      <c r="D364" s="46" t="n">
        <f aca="false">D363+C364</f>
        <v>549.122606465976</v>
      </c>
      <c r="E364" s="47" t="e">
        <f aca="false">MAX($D$3,(1+P363-VLOOKUP(VALUE(D364),$J$18:$Q363,7,TRUE()))*$D$3)</f>
        <v>#N/A</v>
      </c>
      <c r="F364" s="47" t="e">
        <f aca="false">MAX($D$4,(1+Q363-VLOOKUP(VALUE(D364),$M$18:$Q363,5,TRUE()))*$D$4)</f>
        <v>#N/A</v>
      </c>
      <c r="G364" s="48" t="n">
        <v>0.5</v>
      </c>
      <c r="H364" s="46" t="e">
        <f aca="true">IF((B364=1),(IF((F364&lt;E364),1,(IF((F364=E364),(IF(RAND()&lt;G364,1,0)),0)))),(IF((RAND()&lt;G364),1,0)))</f>
        <v>#N/A</v>
      </c>
      <c r="I364" s="46" t="e">
        <f aca="true">IF((H364=1),0,$D$3+$D$5*(RAND()-0.5))</f>
        <v>#N/A</v>
      </c>
      <c r="J364" s="46" t="e">
        <f aca="false">I364+MAX(D364,J363)</f>
        <v>#N/A</v>
      </c>
      <c r="K364" s="46" t="e">
        <f aca="false">IF((H364=0),J364-D364,0)</f>
        <v>#N/A</v>
      </c>
      <c r="L364" s="46" t="e">
        <f aca="true">IF(($H364=0),0,$D$4+$D$5*(RAND()-0.5))</f>
        <v>#N/A</v>
      </c>
      <c r="M364" s="46" t="e">
        <f aca="false">L364+MAX(D364,M363)</f>
        <v>#N/A</v>
      </c>
      <c r="N364" s="46" t="e">
        <f aca="false">IF((H364=1),M364-D364,0)</f>
        <v>#N/A</v>
      </c>
      <c r="O364" s="29" t="n">
        <v>347</v>
      </c>
      <c r="P364" s="49" t="e">
        <f aca="false">IF((Arterial=0),P363+1,P363)</f>
        <v>#N/A</v>
      </c>
      <c r="Q364" s="49" t="e">
        <f aca="false">IF((Arterial=1),Q363+1,Q363)</f>
        <v>#N/A</v>
      </c>
      <c r="R364" s="50" t="n">
        <f aca="false">IF((RESET=1),0,R364+K364)</f>
        <v>0</v>
      </c>
      <c r="S364" s="19" t="n">
        <f aca="false">IF(RESET=1,0,S364+N364)</f>
        <v>0</v>
      </c>
      <c r="T364" s="0" t="n">
        <f aca="false">IF(RESET=1,0,T364+IF(H364=0,1,0))</f>
        <v>0</v>
      </c>
      <c r="U364" s="0" t="n">
        <f aca="false">IF(RESET=1,0,U364+H364)</f>
        <v>0</v>
      </c>
      <c r="V364" s="19" t="n">
        <f aca="false">R364/(T364+0.00001)</f>
        <v>0</v>
      </c>
      <c r="W364" s="19" t="n">
        <f aca="false">S364/(U364+0.0001)</f>
        <v>0</v>
      </c>
      <c r="X364" s="47" t="e">
        <f aca="false">IF(Informed=1,K364,0)</f>
        <v>#N/A</v>
      </c>
      <c r="Y364" s="47" t="n">
        <f aca="false">IF(Informed=0,K364,0)</f>
        <v>0</v>
      </c>
      <c r="Z364" s="47" t="e">
        <f aca="false">IF(Informed=1,N364,0)</f>
        <v>#N/A</v>
      </c>
      <c r="AA364" s="47" t="n">
        <f aca="false">IF(Informed=0,N364,0)</f>
        <v>0</v>
      </c>
      <c r="AB364" s="51" t="e">
        <f aca="false">IF(Arterial=0,IF(Informed=1,1,0),0)</f>
        <v>#N/A</v>
      </c>
      <c r="AC364" s="51" t="e">
        <f aca="false">IF(Arterial=0,IF(Informed=0,1,0),0)</f>
        <v>#N/A</v>
      </c>
      <c r="AD364" s="51" t="e">
        <f aca="false">IF(Arterial=1,IF(Informed=1,1,0),0)</f>
        <v>#N/A</v>
      </c>
      <c r="AE364" s="51" t="e">
        <f aca="false">IF(Arterial=1,IF(Informed=0,1,0),0)</f>
        <v>#N/A</v>
      </c>
      <c r="AF364" s="44" t="e">
        <f aca="false">IF(AB364=1,(X364-G$1030)^2,0)</f>
        <v>#N/A</v>
      </c>
      <c r="AG364" s="44" t="e">
        <f aca="false">IF(AC364=1,(Y364-H$1030)^2,0)</f>
        <v>#N/A</v>
      </c>
      <c r="AH364" s="44" t="e">
        <f aca="false">IF(AD364=1,(Z364-I$1030)^2,0)</f>
        <v>#N/A</v>
      </c>
      <c r="AI364" s="44" t="e">
        <f aca="false">IF(AE364=1,(AA364-J$1030)^2,0)</f>
        <v>#N/A</v>
      </c>
    </row>
    <row r="365" customFormat="false" ht="12" hidden="false" customHeight="false" outlineLevel="0" collapsed="false">
      <c r="A365" s="29" t="n">
        <v>348</v>
      </c>
      <c r="B365" s="45" t="n">
        <f aca="true">IF(RAND()&lt;$D$8,1,0)</f>
        <v>1</v>
      </c>
      <c r="C365" s="34" t="n">
        <f aca="true">-LN(RAND())/$D$2</f>
        <v>2.94946436120068</v>
      </c>
      <c r="D365" s="46" t="n">
        <f aca="false">D364+C365</f>
        <v>552.072070827177</v>
      </c>
      <c r="E365" s="47" t="e">
        <f aca="false">MAX($D$3,(1+P364-VLOOKUP(VALUE(D365),$J$18:$Q364,7,TRUE()))*$D$3)</f>
        <v>#N/A</v>
      </c>
      <c r="F365" s="47" t="e">
        <f aca="false">MAX($D$4,(1+Q364-VLOOKUP(VALUE(D365),$M$18:$Q364,5,TRUE()))*$D$4)</f>
        <v>#N/A</v>
      </c>
      <c r="G365" s="48" t="n">
        <v>0.5</v>
      </c>
      <c r="H365" s="46" t="e">
        <f aca="true">IF((B365=1),(IF((F365&lt;E365),1,(IF((F365=E365),(IF(RAND()&lt;G365,1,0)),0)))),(IF((RAND()&lt;G365),1,0)))</f>
        <v>#N/A</v>
      </c>
      <c r="I365" s="46" t="e">
        <f aca="true">IF((H365=1),0,$D$3+$D$5*(RAND()-0.5))</f>
        <v>#N/A</v>
      </c>
      <c r="J365" s="46" t="e">
        <f aca="false">I365+MAX(D365,J364)</f>
        <v>#N/A</v>
      </c>
      <c r="K365" s="46" t="e">
        <f aca="false">IF((H365=0),J365-D365,0)</f>
        <v>#N/A</v>
      </c>
      <c r="L365" s="46" t="e">
        <f aca="true">IF(($H365=0),0,$D$4+$D$5*(RAND()-0.5))</f>
        <v>#N/A</v>
      </c>
      <c r="M365" s="46" t="e">
        <f aca="false">L365+MAX(D365,M364)</f>
        <v>#N/A</v>
      </c>
      <c r="N365" s="46" t="e">
        <f aca="false">IF((H365=1),M365-D365,0)</f>
        <v>#N/A</v>
      </c>
      <c r="O365" s="29" t="n">
        <v>348</v>
      </c>
      <c r="P365" s="49" t="e">
        <f aca="false">IF((Arterial=0),P364+1,P364)</f>
        <v>#N/A</v>
      </c>
      <c r="Q365" s="49" t="e">
        <f aca="false">IF((Arterial=1),Q364+1,Q364)</f>
        <v>#N/A</v>
      </c>
      <c r="R365" s="50" t="n">
        <f aca="false">IF((RESET=1),0,R365+K365)</f>
        <v>0</v>
      </c>
      <c r="S365" s="19" t="n">
        <f aca="false">IF(RESET=1,0,S365+N365)</f>
        <v>0</v>
      </c>
      <c r="T365" s="0" t="n">
        <f aca="false">IF(RESET=1,0,T365+IF(H365=0,1,0))</f>
        <v>0</v>
      </c>
      <c r="U365" s="0" t="n">
        <f aca="false">IF(RESET=1,0,U365+H365)</f>
        <v>0</v>
      </c>
      <c r="V365" s="19" t="n">
        <f aca="false">R365/(T365+0.00001)</f>
        <v>0</v>
      </c>
      <c r="W365" s="19" t="n">
        <f aca="false">S365/(U365+0.0001)</f>
        <v>0</v>
      </c>
      <c r="X365" s="47" t="e">
        <f aca="false">IF(Informed=1,K365,0)</f>
        <v>#N/A</v>
      </c>
      <c r="Y365" s="47" t="n">
        <f aca="false">IF(Informed=0,K365,0)</f>
        <v>0</v>
      </c>
      <c r="Z365" s="47" t="e">
        <f aca="false">IF(Informed=1,N365,0)</f>
        <v>#N/A</v>
      </c>
      <c r="AA365" s="47" t="n">
        <f aca="false">IF(Informed=0,N365,0)</f>
        <v>0</v>
      </c>
      <c r="AB365" s="51" t="e">
        <f aca="false">IF(Arterial=0,IF(Informed=1,1,0),0)</f>
        <v>#N/A</v>
      </c>
      <c r="AC365" s="51" t="e">
        <f aca="false">IF(Arterial=0,IF(Informed=0,1,0),0)</f>
        <v>#N/A</v>
      </c>
      <c r="AD365" s="51" t="e">
        <f aca="false">IF(Arterial=1,IF(Informed=1,1,0),0)</f>
        <v>#N/A</v>
      </c>
      <c r="AE365" s="51" t="e">
        <f aca="false">IF(Arterial=1,IF(Informed=0,1,0),0)</f>
        <v>#N/A</v>
      </c>
      <c r="AF365" s="44" t="e">
        <f aca="false">IF(AB365=1,(X365-G$1030)^2,0)</f>
        <v>#N/A</v>
      </c>
      <c r="AG365" s="44" t="e">
        <f aca="false">IF(AC365=1,(Y365-H$1030)^2,0)</f>
        <v>#N/A</v>
      </c>
      <c r="AH365" s="44" t="e">
        <f aca="false">IF(AD365=1,(Z365-I$1030)^2,0)</f>
        <v>#N/A</v>
      </c>
      <c r="AI365" s="44" t="e">
        <f aca="false">IF(AE365=1,(AA365-J$1030)^2,0)</f>
        <v>#N/A</v>
      </c>
    </row>
    <row r="366" customFormat="false" ht="12" hidden="false" customHeight="false" outlineLevel="0" collapsed="false">
      <c r="A366" s="29" t="n">
        <v>349</v>
      </c>
      <c r="B366" s="45" t="n">
        <f aca="true">IF(RAND()&lt;$D$8,1,0)</f>
        <v>1</v>
      </c>
      <c r="C366" s="34" t="n">
        <f aca="true">-LN(RAND())/$D$2</f>
        <v>0.392408576452756</v>
      </c>
      <c r="D366" s="46" t="n">
        <f aca="false">D365+C366</f>
        <v>552.46447940363</v>
      </c>
      <c r="E366" s="47" t="e">
        <f aca="false">MAX($D$3,(1+P365-VLOOKUP(VALUE(D366),$J$18:$Q365,7,TRUE()))*$D$3)</f>
        <v>#N/A</v>
      </c>
      <c r="F366" s="47" t="e">
        <f aca="false">MAX($D$4,(1+Q365-VLOOKUP(VALUE(D366),$M$18:$Q365,5,TRUE()))*$D$4)</f>
        <v>#N/A</v>
      </c>
      <c r="G366" s="48" t="n">
        <v>0.5</v>
      </c>
      <c r="H366" s="46" t="e">
        <f aca="true">IF((B366=1),(IF((F366&lt;E366),1,(IF((F366=E366),(IF(RAND()&lt;G366,1,0)),0)))),(IF((RAND()&lt;G366),1,0)))</f>
        <v>#N/A</v>
      </c>
      <c r="I366" s="46" t="e">
        <f aca="true">IF((H366=1),0,$D$3+$D$5*(RAND()-0.5))</f>
        <v>#N/A</v>
      </c>
      <c r="J366" s="46" t="e">
        <f aca="false">I366+MAX(D366,J365)</f>
        <v>#N/A</v>
      </c>
      <c r="K366" s="46" t="e">
        <f aca="false">IF((H366=0),J366-D366,0)</f>
        <v>#N/A</v>
      </c>
      <c r="L366" s="46" t="e">
        <f aca="true">IF(($H366=0),0,$D$4+$D$5*(RAND()-0.5))</f>
        <v>#N/A</v>
      </c>
      <c r="M366" s="46" t="e">
        <f aca="false">L366+MAX(D366,M365)</f>
        <v>#N/A</v>
      </c>
      <c r="N366" s="46" t="e">
        <f aca="false">IF((H366=1),M366-D366,0)</f>
        <v>#N/A</v>
      </c>
      <c r="O366" s="29" t="n">
        <v>349</v>
      </c>
      <c r="P366" s="49" t="e">
        <f aca="false">IF((Arterial=0),P365+1,P365)</f>
        <v>#N/A</v>
      </c>
      <c r="Q366" s="49" t="e">
        <f aca="false">IF((Arterial=1),Q365+1,Q365)</f>
        <v>#N/A</v>
      </c>
      <c r="R366" s="50" t="n">
        <f aca="false">IF((RESET=1),0,R366+K366)</f>
        <v>0</v>
      </c>
      <c r="S366" s="19" t="n">
        <f aca="false">IF(RESET=1,0,S366+N366)</f>
        <v>0</v>
      </c>
      <c r="T366" s="0" t="n">
        <f aca="false">IF(RESET=1,0,T366+IF(H366=0,1,0))</f>
        <v>0</v>
      </c>
      <c r="U366" s="0" t="n">
        <f aca="false">IF(RESET=1,0,U366+H366)</f>
        <v>0</v>
      </c>
      <c r="V366" s="19" t="n">
        <f aca="false">R366/(T366+0.00001)</f>
        <v>0</v>
      </c>
      <c r="W366" s="19" t="n">
        <f aca="false">S366/(U366+0.0001)</f>
        <v>0</v>
      </c>
      <c r="X366" s="47" t="e">
        <f aca="false">IF(Informed=1,K366,0)</f>
        <v>#N/A</v>
      </c>
      <c r="Y366" s="47" t="n">
        <f aca="false">IF(Informed=0,K366,0)</f>
        <v>0</v>
      </c>
      <c r="Z366" s="47" t="e">
        <f aca="false">IF(Informed=1,N366,0)</f>
        <v>#N/A</v>
      </c>
      <c r="AA366" s="47" t="n">
        <f aca="false">IF(Informed=0,N366,0)</f>
        <v>0</v>
      </c>
      <c r="AB366" s="51" t="e">
        <f aca="false">IF(Arterial=0,IF(Informed=1,1,0),0)</f>
        <v>#N/A</v>
      </c>
      <c r="AC366" s="51" t="e">
        <f aca="false">IF(Arterial=0,IF(Informed=0,1,0),0)</f>
        <v>#N/A</v>
      </c>
      <c r="AD366" s="51" t="e">
        <f aca="false">IF(Arterial=1,IF(Informed=1,1,0),0)</f>
        <v>#N/A</v>
      </c>
      <c r="AE366" s="51" t="e">
        <f aca="false">IF(Arterial=1,IF(Informed=0,1,0),0)</f>
        <v>#N/A</v>
      </c>
      <c r="AF366" s="44" t="e">
        <f aca="false">IF(AB366=1,(X366-G$1030)^2,0)</f>
        <v>#N/A</v>
      </c>
      <c r="AG366" s="44" t="e">
        <f aca="false">IF(AC366=1,(Y366-H$1030)^2,0)</f>
        <v>#N/A</v>
      </c>
      <c r="AH366" s="44" t="e">
        <f aca="false">IF(AD366=1,(Z366-I$1030)^2,0)</f>
        <v>#N/A</v>
      </c>
      <c r="AI366" s="44" t="e">
        <f aca="false">IF(AE366=1,(AA366-J$1030)^2,0)</f>
        <v>#N/A</v>
      </c>
    </row>
    <row r="367" customFormat="false" ht="12" hidden="false" customHeight="false" outlineLevel="0" collapsed="false">
      <c r="A367" s="29" t="n">
        <v>350</v>
      </c>
      <c r="B367" s="45" t="n">
        <f aca="true">IF(RAND()&lt;$D$8,1,0)</f>
        <v>1</v>
      </c>
      <c r="C367" s="34" t="n">
        <f aca="true">-LN(RAND())/$D$2</f>
        <v>6.50904778274911</v>
      </c>
      <c r="D367" s="46" t="n">
        <f aca="false">D366+C367</f>
        <v>558.973527186379</v>
      </c>
      <c r="E367" s="47" t="e">
        <f aca="false">MAX($D$3,(1+P366-VLOOKUP(VALUE(D367),$J$18:$Q366,7,TRUE()))*$D$3)</f>
        <v>#N/A</v>
      </c>
      <c r="F367" s="47" t="e">
        <f aca="false">MAX($D$4,(1+Q366-VLOOKUP(VALUE(D367),$M$18:$Q366,5,TRUE()))*$D$4)</f>
        <v>#N/A</v>
      </c>
      <c r="G367" s="48" t="n">
        <v>0.5</v>
      </c>
      <c r="H367" s="46" t="e">
        <f aca="true">IF((B367=1),(IF((F367&lt;E367),1,(IF((F367=E367),(IF(RAND()&lt;G367,1,0)),0)))),(IF((RAND()&lt;G367),1,0)))</f>
        <v>#N/A</v>
      </c>
      <c r="I367" s="46" t="e">
        <f aca="true">IF((H367=1),0,$D$3+$D$5*(RAND()-0.5))</f>
        <v>#N/A</v>
      </c>
      <c r="J367" s="46" t="e">
        <f aca="false">I367+MAX(D367,J366)</f>
        <v>#N/A</v>
      </c>
      <c r="K367" s="46" t="e">
        <f aca="false">IF((H367=0),J367-D367,0)</f>
        <v>#N/A</v>
      </c>
      <c r="L367" s="46" t="e">
        <f aca="true">IF(($H367=0),0,$D$4+$D$5*(RAND()-0.5))</f>
        <v>#N/A</v>
      </c>
      <c r="M367" s="46" t="e">
        <f aca="false">L367+MAX(D367,M366)</f>
        <v>#N/A</v>
      </c>
      <c r="N367" s="46" t="e">
        <f aca="false">IF((H367=1),M367-D367,0)</f>
        <v>#N/A</v>
      </c>
      <c r="O367" s="29" t="n">
        <v>350</v>
      </c>
      <c r="P367" s="49" t="e">
        <f aca="false">IF((Arterial=0),P366+1,P366)</f>
        <v>#N/A</v>
      </c>
      <c r="Q367" s="49" t="e">
        <f aca="false">IF((Arterial=1),Q366+1,Q366)</f>
        <v>#N/A</v>
      </c>
      <c r="R367" s="50" t="n">
        <f aca="false">IF((RESET=1),0,R367+K367)</f>
        <v>0</v>
      </c>
      <c r="S367" s="19" t="n">
        <f aca="false">IF(RESET=1,0,S367+N367)</f>
        <v>0</v>
      </c>
      <c r="T367" s="0" t="n">
        <f aca="false">IF(RESET=1,0,T367+IF(H367=0,1,0))</f>
        <v>0</v>
      </c>
      <c r="U367" s="0" t="n">
        <f aca="false">IF(RESET=1,0,U367+H367)</f>
        <v>0</v>
      </c>
      <c r="V367" s="19" t="n">
        <f aca="false">R367/(T367+0.00001)</f>
        <v>0</v>
      </c>
      <c r="W367" s="19" t="n">
        <f aca="false">S367/(U367+0.0001)</f>
        <v>0</v>
      </c>
      <c r="X367" s="47" t="e">
        <f aca="false">IF(Informed=1,K367,0)</f>
        <v>#N/A</v>
      </c>
      <c r="Y367" s="47" t="n">
        <f aca="false">IF(Informed=0,K367,0)</f>
        <v>0</v>
      </c>
      <c r="Z367" s="47" t="e">
        <f aca="false">IF(Informed=1,N367,0)</f>
        <v>#N/A</v>
      </c>
      <c r="AA367" s="47" t="n">
        <f aca="false">IF(Informed=0,N367,0)</f>
        <v>0</v>
      </c>
      <c r="AB367" s="51" t="e">
        <f aca="false">IF(Arterial=0,IF(Informed=1,1,0),0)</f>
        <v>#N/A</v>
      </c>
      <c r="AC367" s="51" t="e">
        <f aca="false">IF(Arterial=0,IF(Informed=0,1,0),0)</f>
        <v>#N/A</v>
      </c>
      <c r="AD367" s="51" t="e">
        <f aca="false">IF(Arterial=1,IF(Informed=1,1,0),0)</f>
        <v>#N/A</v>
      </c>
      <c r="AE367" s="51" t="e">
        <f aca="false">IF(Arterial=1,IF(Informed=0,1,0),0)</f>
        <v>#N/A</v>
      </c>
      <c r="AF367" s="44" t="e">
        <f aca="false">IF(AB367=1,(X367-G$1030)^2,0)</f>
        <v>#N/A</v>
      </c>
      <c r="AG367" s="44" t="e">
        <f aca="false">IF(AC367=1,(Y367-H$1030)^2,0)</f>
        <v>#N/A</v>
      </c>
      <c r="AH367" s="44" t="e">
        <f aca="false">IF(AD367=1,(Z367-I$1030)^2,0)</f>
        <v>#N/A</v>
      </c>
      <c r="AI367" s="44" t="e">
        <f aca="false">IF(AE367=1,(AA367-J$1030)^2,0)</f>
        <v>#N/A</v>
      </c>
    </row>
    <row r="368" customFormat="false" ht="12" hidden="false" customHeight="false" outlineLevel="0" collapsed="false">
      <c r="A368" s="29" t="n">
        <v>351</v>
      </c>
      <c r="B368" s="45" t="n">
        <f aca="true">IF(RAND()&lt;$D$8,1,0)</f>
        <v>1</v>
      </c>
      <c r="C368" s="34" t="n">
        <f aca="true">-LN(RAND())/$D$2</f>
        <v>0.26023054881434</v>
      </c>
      <c r="D368" s="46" t="n">
        <f aca="false">D367+C368</f>
        <v>559.233757735193</v>
      </c>
      <c r="E368" s="47" t="e">
        <f aca="false">MAX($D$3,(1+P367-VLOOKUP(VALUE(D368),$J$18:$Q367,7,TRUE()))*$D$3)</f>
        <v>#N/A</v>
      </c>
      <c r="F368" s="47" t="e">
        <f aca="false">MAX($D$4,(1+Q367-VLOOKUP(VALUE(D368),$M$18:$Q367,5,TRUE()))*$D$4)</f>
        <v>#N/A</v>
      </c>
      <c r="G368" s="48" t="n">
        <v>0.5</v>
      </c>
      <c r="H368" s="46" t="e">
        <f aca="true">IF((B368=1),(IF((F368&lt;E368),1,(IF((F368=E368),(IF(RAND()&lt;G368,1,0)),0)))),(IF((RAND()&lt;G368),1,0)))</f>
        <v>#N/A</v>
      </c>
      <c r="I368" s="46" t="e">
        <f aca="true">IF((H368=1),0,$D$3+$D$5*(RAND()-0.5))</f>
        <v>#N/A</v>
      </c>
      <c r="J368" s="46" t="e">
        <f aca="false">I368+MAX(D368,J367)</f>
        <v>#N/A</v>
      </c>
      <c r="K368" s="46" t="e">
        <f aca="false">IF((H368=0),J368-D368,0)</f>
        <v>#N/A</v>
      </c>
      <c r="L368" s="46" t="e">
        <f aca="true">IF(($H368=0),0,$D$4+$D$5*(RAND()-0.5))</f>
        <v>#N/A</v>
      </c>
      <c r="M368" s="46" t="e">
        <f aca="false">L368+MAX(D368,M367)</f>
        <v>#N/A</v>
      </c>
      <c r="N368" s="46" t="e">
        <f aca="false">IF((H368=1),M368-D368,0)</f>
        <v>#N/A</v>
      </c>
      <c r="O368" s="29" t="n">
        <v>351</v>
      </c>
      <c r="P368" s="49" t="e">
        <f aca="false">IF((Arterial=0),P367+1,P367)</f>
        <v>#N/A</v>
      </c>
      <c r="Q368" s="49" t="e">
        <f aca="false">IF((Arterial=1),Q367+1,Q367)</f>
        <v>#N/A</v>
      </c>
      <c r="R368" s="50" t="n">
        <f aca="false">IF((RESET=1),0,R368+K368)</f>
        <v>0</v>
      </c>
      <c r="S368" s="19" t="n">
        <f aca="false">IF(RESET=1,0,S368+N368)</f>
        <v>0</v>
      </c>
      <c r="T368" s="0" t="n">
        <f aca="false">IF(RESET=1,0,T368+IF(H368=0,1,0))</f>
        <v>0</v>
      </c>
      <c r="U368" s="0" t="n">
        <f aca="false">IF(RESET=1,0,U368+H368)</f>
        <v>0</v>
      </c>
      <c r="V368" s="19" t="n">
        <f aca="false">R368/(T368+0.00001)</f>
        <v>0</v>
      </c>
      <c r="W368" s="19" t="n">
        <f aca="false">S368/(U368+0.0001)</f>
        <v>0</v>
      </c>
      <c r="X368" s="47" t="e">
        <f aca="false">IF(Informed=1,K368,0)</f>
        <v>#N/A</v>
      </c>
      <c r="Y368" s="47" t="n">
        <f aca="false">IF(Informed=0,K368,0)</f>
        <v>0</v>
      </c>
      <c r="Z368" s="47" t="e">
        <f aca="false">IF(Informed=1,N368,0)</f>
        <v>#N/A</v>
      </c>
      <c r="AA368" s="47" t="n">
        <f aca="false">IF(Informed=0,N368,0)</f>
        <v>0</v>
      </c>
      <c r="AB368" s="51" t="e">
        <f aca="false">IF(Arterial=0,IF(Informed=1,1,0),0)</f>
        <v>#N/A</v>
      </c>
      <c r="AC368" s="51" t="e">
        <f aca="false">IF(Arterial=0,IF(Informed=0,1,0),0)</f>
        <v>#N/A</v>
      </c>
      <c r="AD368" s="51" t="e">
        <f aca="false">IF(Arterial=1,IF(Informed=1,1,0),0)</f>
        <v>#N/A</v>
      </c>
      <c r="AE368" s="51" t="e">
        <f aca="false">IF(Arterial=1,IF(Informed=0,1,0),0)</f>
        <v>#N/A</v>
      </c>
      <c r="AF368" s="44" t="e">
        <f aca="false">IF(AB368=1,(X368-G$1030)^2,0)</f>
        <v>#N/A</v>
      </c>
      <c r="AG368" s="44" t="e">
        <f aca="false">IF(AC368=1,(Y368-H$1030)^2,0)</f>
        <v>#N/A</v>
      </c>
      <c r="AH368" s="44" t="e">
        <f aca="false">IF(AD368=1,(Z368-I$1030)^2,0)</f>
        <v>#N/A</v>
      </c>
      <c r="AI368" s="44" t="e">
        <f aca="false">IF(AE368=1,(AA368-J$1030)^2,0)</f>
        <v>#N/A</v>
      </c>
    </row>
    <row r="369" customFormat="false" ht="12" hidden="false" customHeight="false" outlineLevel="0" collapsed="false">
      <c r="A369" s="29" t="n">
        <v>352</v>
      </c>
      <c r="B369" s="45" t="n">
        <f aca="true">IF(RAND()&lt;$D$8,1,0)</f>
        <v>1</v>
      </c>
      <c r="C369" s="34" t="n">
        <f aca="true">-LN(RAND())/$D$2</f>
        <v>0.402974589920337</v>
      </c>
      <c r="D369" s="46" t="n">
        <f aca="false">D368+C369</f>
        <v>559.636732325113</v>
      </c>
      <c r="E369" s="47" t="e">
        <f aca="false">MAX($D$3,(1+P368-VLOOKUP(VALUE(D369),$J$18:$Q368,7,TRUE()))*$D$3)</f>
        <v>#N/A</v>
      </c>
      <c r="F369" s="47" t="e">
        <f aca="false">MAX($D$4,(1+Q368-VLOOKUP(VALUE(D369),$M$18:$Q368,5,TRUE()))*$D$4)</f>
        <v>#N/A</v>
      </c>
      <c r="G369" s="48" t="n">
        <v>0.5</v>
      </c>
      <c r="H369" s="46" t="e">
        <f aca="true">IF((B369=1),(IF((F369&lt;E369),1,(IF((F369=E369),(IF(RAND()&lt;G369,1,0)),0)))),(IF((RAND()&lt;G369),1,0)))</f>
        <v>#N/A</v>
      </c>
      <c r="I369" s="46" t="e">
        <f aca="true">IF((H369=1),0,$D$3+$D$5*(RAND()-0.5))</f>
        <v>#N/A</v>
      </c>
      <c r="J369" s="46" t="e">
        <f aca="false">I369+MAX(D369,J368)</f>
        <v>#N/A</v>
      </c>
      <c r="K369" s="46" t="e">
        <f aca="false">IF((H369=0),J369-D369,0)</f>
        <v>#N/A</v>
      </c>
      <c r="L369" s="46" t="e">
        <f aca="true">IF(($H369=0),0,$D$4+$D$5*(RAND()-0.5))</f>
        <v>#N/A</v>
      </c>
      <c r="M369" s="46" t="e">
        <f aca="false">L369+MAX(D369,M368)</f>
        <v>#N/A</v>
      </c>
      <c r="N369" s="46" t="e">
        <f aca="false">IF((H369=1),M369-D369,0)</f>
        <v>#N/A</v>
      </c>
      <c r="O369" s="29" t="n">
        <v>352</v>
      </c>
      <c r="P369" s="49" t="e">
        <f aca="false">IF((Arterial=0),P368+1,P368)</f>
        <v>#N/A</v>
      </c>
      <c r="Q369" s="49" t="e">
        <f aca="false">IF((Arterial=1),Q368+1,Q368)</f>
        <v>#N/A</v>
      </c>
      <c r="R369" s="50" t="n">
        <f aca="false">IF((RESET=1),0,R369+K369)</f>
        <v>0</v>
      </c>
      <c r="S369" s="19" t="n">
        <f aca="false">IF(RESET=1,0,S369+N369)</f>
        <v>0</v>
      </c>
      <c r="T369" s="0" t="n">
        <f aca="false">IF(RESET=1,0,T369+IF(H369=0,1,0))</f>
        <v>0</v>
      </c>
      <c r="U369" s="0" t="n">
        <f aca="false">IF(RESET=1,0,U369+H369)</f>
        <v>0</v>
      </c>
      <c r="V369" s="19" t="n">
        <f aca="false">R369/(T369+0.00001)</f>
        <v>0</v>
      </c>
      <c r="W369" s="19" t="n">
        <f aca="false">S369/(U369+0.0001)</f>
        <v>0</v>
      </c>
      <c r="X369" s="47" t="e">
        <f aca="false">IF(Informed=1,K369,0)</f>
        <v>#N/A</v>
      </c>
      <c r="Y369" s="47" t="n">
        <f aca="false">IF(Informed=0,K369,0)</f>
        <v>0</v>
      </c>
      <c r="Z369" s="47" t="e">
        <f aca="false">IF(Informed=1,N369,0)</f>
        <v>#N/A</v>
      </c>
      <c r="AA369" s="47" t="n">
        <f aca="false">IF(Informed=0,N369,0)</f>
        <v>0</v>
      </c>
      <c r="AB369" s="51" t="e">
        <f aca="false">IF(Arterial=0,IF(Informed=1,1,0),0)</f>
        <v>#N/A</v>
      </c>
      <c r="AC369" s="51" t="e">
        <f aca="false">IF(Arterial=0,IF(Informed=0,1,0),0)</f>
        <v>#N/A</v>
      </c>
      <c r="AD369" s="51" t="e">
        <f aca="false">IF(Arterial=1,IF(Informed=1,1,0),0)</f>
        <v>#N/A</v>
      </c>
      <c r="AE369" s="51" t="e">
        <f aca="false">IF(Arterial=1,IF(Informed=0,1,0),0)</f>
        <v>#N/A</v>
      </c>
      <c r="AF369" s="44" t="e">
        <f aca="false">IF(AB369=1,(X369-G$1030)^2,0)</f>
        <v>#N/A</v>
      </c>
      <c r="AG369" s="44" t="e">
        <f aca="false">IF(AC369=1,(Y369-H$1030)^2,0)</f>
        <v>#N/A</v>
      </c>
      <c r="AH369" s="44" t="e">
        <f aca="false">IF(AD369=1,(Z369-I$1030)^2,0)</f>
        <v>#N/A</v>
      </c>
      <c r="AI369" s="44" t="e">
        <f aca="false">IF(AE369=1,(AA369-J$1030)^2,0)</f>
        <v>#N/A</v>
      </c>
    </row>
    <row r="370" customFormat="false" ht="12" hidden="false" customHeight="false" outlineLevel="0" collapsed="false">
      <c r="A370" s="29" t="n">
        <v>353</v>
      </c>
      <c r="B370" s="45" t="n">
        <f aca="true">IF(RAND()&lt;$D$8,1,0)</f>
        <v>1</v>
      </c>
      <c r="C370" s="34" t="n">
        <f aca="true">-LN(RAND())/$D$2</f>
        <v>2.72475929314415</v>
      </c>
      <c r="D370" s="46" t="n">
        <f aca="false">D369+C370</f>
        <v>562.361491618258</v>
      </c>
      <c r="E370" s="47" t="e">
        <f aca="false">MAX($D$3,(1+P369-VLOOKUP(VALUE(D370),$J$18:$Q369,7,TRUE()))*$D$3)</f>
        <v>#N/A</v>
      </c>
      <c r="F370" s="47" t="e">
        <f aca="false">MAX($D$4,(1+Q369-VLOOKUP(VALUE(D370),$M$18:$Q369,5,TRUE()))*$D$4)</f>
        <v>#N/A</v>
      </c>
      <c r="G370" s="48" t="n">
        <v>0.5</v>
      </c>
      <c r="H370" s="46" t="e">
        <f aca="true">IF((B370=1),(IF((F370&lt;E370),1,(IF((F370=E370),(IF(RAND()&lt;G370,1,0)),0)))),(IF((RAND()&lt;G370),1,0)))</f>
        <v>#N/A</v>
      </c>
      <c r="I370" s="46" t="e">
        <f aca="true">IF((H370=1),0,$D$3+$D$5*(RAND()-0.5))</f>
        <v>#N/A</v>
      </c>
      <c r="J370" s="46" t="e">
        <f aca="false">I370+MAX(D370,J369)</f>
        <v>#N/A</v>
      </c>
      <c r="K370" s="46" t="e">
        <f aca="false">IF((H370=0),J370-D370,0)</f>
        <v>#N/A</v>
      </c>
      <c r="L370" s="46" t="e">
        <f aca="true">IF(($H370=0),0,$D$4+$D$5*(RAND()-0.5))</f>
        <v>#N/A</v>
      </c>
      <c r="M370" s="46" t="e">
        <f aca="false">L370+MAX(D370,M369)</f>
        <v>#N/A</v>
      </c>
      <c r="N370" s="46" t="e">
        <f aca="false">IF((H370=1),M370-D370,0)</f>
        <v>#N/A</v>
      </c>
      <c r="O370" s="29" t="n">
        <v>353</v>
      </c>
      <c r="P370" s="49" t="e">
        <f aca="false">IF((Arterial=0),P369+1,P369)</f>
        <v>#N/A</v>
      </c>
      <c r="Q370" s="49" t="e">
        <f aca="false">IF((Arterial=1),Q369+1,Q369)</f>
        <v>#N/A</v>
      </c>
      <c r="R370" s="50" t="n">
        <f aca="false">IF((RESET=1),0,R370+K370)</f>
        <v>0</v>
      </c>
      <c r="S370" s="19" t="n">
        <f aca="false">IF(RESET=1,0,S370+N370)</f>
        <v>0</v>
      </c>
      <c r="T370" s="0" t="n">
        <f aca="false">IF(RESET=1,0,T370+IF(H370=0,1,0))</f>
        <v>0</v>
      </c>
      <c r="U370" s="0" t="n">
        <f aca="false">IF(RESET=1,0,U370+H370)</f>
        <v>0</v>
      </c>
      <c r="V370" s="19" t="n">
        <f aca="false">R370/(T370+0.00001)</f>
        <v>0</v>
      </c>
      <c r="W370" s="19" t="n">
        <f aca="false">S370/(U370+0.0001)</f>
        <v>0</v>
      </c>
      <c r="X370" s="47" t="e">
        <f aca="false">IF(Informed=1,K370,0)</f>
        <v>#N/A</v>
      </c>
      <c r="Y370" s="47" t="n">
        <f aca="false">IF(Informed=0,K370,0)</f>
        <v>0</v>
      </c>
      <c r="Z370" s="47" t="e">
        <f aca="false">IF(Informed=1,N370,0)</f>
        <v>#N/A</v>
      </c>
      <c r="AA370" s="47" t="n">
        <f aca="false">IF(Informed=0,N370,0)</f>
        <v>0</v>
      </c>
      <c r="AB370" s="51" t="e">
        <f aca="false">IF(Arterial=0,IF(Informed=1,1,0),0)</f>
        <v>#N/A</v>
      </c>
      <c r="AC370" s="51" t="e">
        <f aca="false">IF(Arterial=0,IF(Informed=0,1,0),0)</f>
        <v>#N/A</v>
      </c>
      <c r="AD370" s="51" t="e">
        <f aca="false">IF(Arterial=1,IF(Informed=1,1,0),0)</f>
        <v>#N/A</v>
      </c>
      <c r="AE370" s="51" t="e">
        <f aca="false">IF(Arterial=1,IF(Informed=0,1,0),0)</f>
        <v>#N/A</v>
      </c>
      <c r="AF370" s="44" t="e">
        <f aca="false">IF(AB370=1,(X370-G$1030)^2,0)</f>
        <v>#N/A</v>
      </c>
      <c r="AG370" s="44" t="e">
        <f aca="false">IF(AC370=1,(Y370-H$1030)^2,0)</f>
        <v>#N/A</v>
      </c>
      <c r="AH370" s="44" t="e">
        <f aca="false">IF(AD370=1,(Z370-I$1030)^2,0)</f>
        <v>#N/A</v>
      </c>
      <c r="AI370" s="44" t="e">
        <f aca="false">IF(AE370=1,(AA370-J$1030)^2,0)</f>
        <v>#N/A</v>
      </c>
    </row>
    <row r="371" customFormat="false" ht="12" hidden="false" customHeight="false" outlineLevel="0" collapsed="false">
      <c r="A371" s="29" t="n">
        <v>354</v>
      </c>
      <c r="B371" s="45" t="n">
        <f aca="true">IF(RAND()&lt;$D$8,1,0)</f>
        <v>1</v>
      </c>
      <c r="C371" s="34" t="n">
        <f aca="true">-LN(RAND())/$D$2</f>
        <v>0.331782242126014</v>
      </c>
      <c r="D371" s="46" t="n">
        <f aca="false">D370+C371</f>
        <v>562.693273860384</v>
      </c>
      <c r="E371" s="47" t="e">
        <f aca="false">MAX($D$3,(1+P370-VLOOKUP(VALUE(D371),$J$18:$Q370,7,TRUE()))*$D$3)</f>
        <v>#N/A</v>
      </c>
      <c r="F371" s="47" t="e">
        <f aca="false">MAX($D$4,(1+Q370-VLOOKUP(VALUE(D371),$M$18:$Q370,5,TRUE()))*$D$4)</f>
        <v>#N/A</v>
      </c>
      <c r="G371" s="48" t="n">
        <v>0.5</v>
      </c>
      <c r="H371" s="46" t="e">
        <f aca="true">IF((B371=1),(IF((F371&lt;E371),1,(IF((F371=E371),(IF(RAND()&lt;G371,1,0)),0)))),(IF((RAND()&lt;G371),1,0)))</f>
        <v>#N/A</v>
      </c>
      <c r="I371" s="46" t="e">
        <f aca="true">IF((H371=1),0,$D$3+$D$5*(RAND()-0.5))</f>
        <v>#N/A</v>
      </c>
      <c r="J371" s="46" t="e">
        <f aca="false">I371+MAX(D371,J370)</f>
        <v>#N/A</v>
      </c>
      <c r="K371" s="46" t="e">
        <f aca="false">IF((H371=0),J371-D371,0)</f>
        <v>#N/A</v>
      </c>
      <c r="L371" s="46" t="e">
        <f aca="true">IF(($H371=0),0,$D$4+$D$5*(RAND()-0.5))</f>
        <v>#N/A</v>
      </c>
      <c r="M371" s="46" t="e">
        <f aca="false">L371+MAX(D371,M370)</f>
        <v>#N/A</v>
      </c>
      <c r="N371" s="46" t="e">
        <f aca="false">IF((H371=1),M371-D371,0)</f>
        <v>#N/A</v>
      </c>
      <c r="O371" s="29" t="n">
        <v>354</v>
      </c>
      <c r="P371" s="49" t="e">
        <f aca="false">IF((Arterial=0),P370+1,P370)</f>
        <v>#N/A</v>
      </c>
      <c r="Q371" s="49" t="e">
        <f aca="false">IF((Arterial=1),Q370+1,Q370)</f>
        <v>#N/A</v>
      </c>
      <c r="R371" s="50" t="n">
        <f aca="false">IF((RESET=1),0,R371+K371)</f>
        <v>0</v>
      </c>
      <c r="S371" s="19" t="n">
        <f aca="false">IF(RESET=1,0,S371+N371)</f>
        <v>0</v>
      </c>
      <c r="T371" s="0" t="n">
        <f aca="false">IF(RESET=1,0,T371+IF(H371=0,1,0))</f>
        <v>0</v>
      </c>
      <c r="U371" s="0" t="n">
        <f aca="false">IF(RESET=1,0,U371+H371)</f>
        <v>0</v>
      </c>
      <c r="V371" s="19" t="n">
        <f aca="false">R371/(T371+0.00001)</f>
        <v>0</v>
      </c>
      <c r="W371" s="19" t="n">
        <f aca="false">S371/(U371+0.0001)</f>
        <v>0</v>
      </c>
      <c r="X371" s="47" t="e">
        <f aca="false">IF(Informed=1,K371,0)</f>
        <v>#N/A</v>
      </c>
      <c r="Y371" s="47" t="n">
        <f aca="false">IF(Informed=0,K371,0)</f>
        <v>0</v>
      </c>
      <c r="Z371" s="47" t="e">
        <f aca="false">IF(Informed=1,N371,0)</f>
        <v>#N/A</v>
      </c>
      <c r="AA371" s="47" t="n">
        <f aca="false">IF(Informed=0,N371,0)</f>
        <v>0</v>
      </c>
      <c r="AB371" s="51" t="e">
        <f aca="false">IF(Arterial=0,IF(Informed=1,1,0),0)</f>
        <v>#N/A</v>
      </c>
      <c r="AC371" s="51" t="e">
        <f aca="false">IF(Arterial=0,IF(Informed=0,1,0),0)</f>
        <v>#N/A</v>
      </c>
      <c r="AD371" s="51" t="e">
        <f aca="false">IF(Arterial=1,IF(Informed=1,1,0),0)</f>
        <v>#N/A</v>
      </c>
      <c r="AE371" s="51" t="e">
        <f aca="false">IF(Arterial=1,IF(Informed=0,1,0),0)</f>
        <v>#N/A</v>
      </c>
      <c r="AF371" s="44" t="e">
        <f aca="false">IF(AB371=1,(X371-G$1030)^2,0)</f>
        <v>#N/A</v>
      </c>
      <c r="AG371" s="44" t="e">
        <f aca="false">IF(AC371=1,(Y371-H$1030)^2,0)</f>
        <v>#N/A</v>
      </c>
      <c r="AH371" s="44" t="e">
        <f aca="false">IF(AD371=1,(Z371-I$1030)^2,0)</f>
        <v>#N/A</v>
      </c>
      <c r="AI371" s="44" t="e">
        <f aca="false">IF(AE371=1,(AA371-J$1030)^2,0)</f>
        <v>#N/A</v>
      </c>
    </row>
    <row r="372" customFormat="false" ht="12" hidden="false" customHeight="false" outlineLevel="0" collapsed="false">
      <c r="A372" s="29" t="n">
        <v>355</v>
      </c>
      <c r="B372" s="45" t="n">
        <f aca="true">IF(RAND()&lt;$D$8,1,0)</f>
        <v>1</v>
      </c>
      <c r="C372" s="34" t="n">
        <f aca="true">-LN(RAND())/$D$2</f>
        <v>1.33286132898226</v>
      </c>
      <c r="D372" s="46" t="n">
        <f aca="false">D371+C372</f>
        <v>564.026135189366</v>
      </c>
      <c r="E372" s="47" t="e">
        <f aca="false">MAX($D$3,(1+P371-VLOOKUP(VALUE(D372),$J$18:$Q371,7,TRUE()))*$D$3)</f>
        <v>#N/A</v>
      </c>
      <c r="F372" s="47" t="e">
        <f aca="false">MAX($D$4,(1+Q371-VLOOKUP(VALUE(D372),$M$18:$Q371,5,TRUE()))*$D$4)</f>
        <v>#N/A</v>
      </c>
      <c r="G372" s="48" t="n">
        <v>0.5</v>
      </c>
      <c r="H372" s="46" t="e">
        <f aca="true">IF((B372=1),(IF((F372&lt;E372),1,(IF((F372=E372),(IF(RAND()&lt;G372,1,0)),0)))),(IF((RAND()&lt;G372),1,0)))</f>
        <v>#N/A</v>
      </c>
      <c r="I372" s="46" t="e">
        <f aca="true">IF((H372=1),0,$D$3+$D$5*(RAND()-0.5))</f>
        <v>#N/A</v>
      </c>
      <c r="J372" s="46" t="e">
        <f aca="false">I372+MAX(D372,J371)</f>
        <v>#N/A</v>
      </c>
      <c r="K372" s="46" t="e">
        <f aca="false">IF((H372=0),J372-D372,0)</f>
        <v>#N/A</v>
      </c>
      <c r="L372" s="46" t="e">
        <f aca="true">IF(($H372=0),0,$D$4+$D$5*(RAND()-0.5))</f>
        <v>#N/A</v>
      </c>
      <c r="M372" s="46" t="e">
        <f aca="false">L372+MAX(D372,M371)</f>
        <v>#N/A</v>
      </c>
      <c r="N372" s="46" t="e">
        <f aca="false">IF((H372=1),M372-D372,0)</f>
        <v>#N/A</v>
      </c>
      <c r="O372" s="29" t="n">
        <v>355</v>
      </c>
      <c r="P372" s="49" t="e">
        <f aca="false">IF((Arterial=0),P371+1,P371)</f>
        <v>#N/A</v>
      </c>
      <c r="Q372" s="49" t="e">
        <f aca="false">IF((Arterial=1),Q371+1,Q371)</f>
        <v>#N/A</v>
      </c>
      <c r="R372" s="50" t="n">
        <f aca="false">IF((RESET=1),0,R372+K372)</f>
        <v>0</v>
      </c>
      <c r="S372" s="19" t="n">
        <f aca="false">IF(RESET=1,0,S372+N372)</f>
        <v>0</v>
      </c>
      <c r="T372" s="0" t="n">
        <f aca="false">IF(RESET=1,0,T372+IF(H372=0,1,0))</f>
        <v>0</v>
      </c>
      <c r="U372" s="0" t="n">
        <f aca="false">IF(RESET=1,0,U372+H372)</f>
        <v>0</v>
      </c>
      <c r="V372" s="19" t="n">
        <f aca="false">R372/(T372+0.00001)</f>
        <v>0</v>
      </c>
      <c r="W372" s="19" t="n">
        <f aca="false">S372/(U372+0.0001)</f>
        <v>0</v>
      </c>
      <c r="X372" s="47" t="e">
        <f aca="false">IF(Informed=1,K372,0)</f>
        <v>#N/A</v>
      </c>
      <c r="Y372" s="47" t="n">
        <f aca="false">IF(Informed=0,K372,0)</f>
        <v>0</v>
      </c>
      <c r="Z372" s="47" t="e">
        <f aca="false">IF(Informed=1,N372,0)</f>
        <v>#N/A</v>
      </c>
      <c r="AA372" s="47" t="n">
        <f aca="false">IF(Informed=0,N372,0)</f>
        <v>0</v>
      </c>
      <c r="AB372" s="51" t="e">
        <f aca="false">IF(Arterial=0,IF(Informed=1,1,0),0)</f>
        <v>#N/A</v>
      </c>
      <c r="AC372" s="51" t="e">
        <f aca="false">IF(Arterial=0,IF(Informed=0,1,0),0)</f>
        <v>#N/A</v>
      </c>
      <c r="AD372" s="51" t="e">
        <f aca="false">IF(Arterial=1,IF(Informed=1,1,0),0)</f>
        <v>#N/A</v>
      </c>
      <c r="AE372" s="51" t="e">
        <f aca="false">IF(Arterial=1,IF(Informed=0,1,0),0)</f>
        <v>#N/A</v>
      </c>
      <c r="AF372" s="44" t="e">
        <f aca="false">IF(AB372=1,(X372-G$1030)^2,0)</f>
        <v>#N/A</v>
      </c>
      <c r="AG372" s="44" t="e">
        <f aca="false">IF(AC372=1,(Y372-H$1030)^2,0)</f>
        <v>#N/A</v>
      </c>
      <c r="AH372" s="44" t="e">
        <f aca="false">IF(AD372=1,(Z372-I$1030)^2,0)</f>
        <v>#N/A</v>
      </c>
      <c r="AI372" s="44" t="e">
        <f aca="false">IF(AE372=1,(AA372-J$1030)^2,0)</f>
        <v>#N/A</v>
      </c>
    </row>
    <row r="373" customFormat="false" ht="12" hidden="false" customHeight="false" outlineLevel="0" collapsed="false">
      <c r="A373" s="29" t="n">
        <v>356</v>
      </c>
      <c r="B373" s="45" t="n">
        <f aca="true">IF(RAND()&lt;$D$8,1,0)</f>
        <v>1</v>
      </c>
      <c r="C373" s="34" t="n">
        <f aca="true">-LN(RAND())/$D$2</f>
        <v>0.0612741908444236</v>
      </c>
      <c r="D373" s="46" t="n">
        <f aca="false">D372+C373</f>
        <v>564.08740938021</v>
      </c>
      <c r="E373" s="47" t="e">
        <f aca="false">MAX($D$3,(1+P372-VLOOKUP(VALUE(D373),$J$18:$Q372,7,TRUE()))*$D$3)</f>
        <v>#N/A</v>
      </c>
      <c r="F373" s="47" t="e">
        <f aca="false">MAX($D$4,(1+Q372-VLOOKUP(VALUE(D373),$M$18:$Q372,5,TRUE()))*$D$4)</f>
        <v>#N/A</v>
      </c>
      <c r="G373" s="48" t="n">
        <v>0.5</v>
      </c>
      <c r="H373" s="46" t="e">
        <f aca="true">IF((B373=1),(IF((F373&lt;E373),1,(IF((F373=E373),(IF(RAND()&lt;G373,1,0)),0)))),(IF((RAND()&lt;G373),1,0)))</f>
        <v>#N/A</v>
      </c>
      <c r="I373" s="46" t="e">
        <f aca="true">IF((H373=1),0,$D$3+$D$5*(RAND()-0.5))</f>
        <v>#N/A</v>
      </c>
      <c r="J373" s="46" t="e">
        <f aca="false">I373+MAX(D373,J372)</f>
        <v>#N/A</v>
      </c>
      <c r="K373" s="46" t="e">
        <f aca="false">IF((H373=0),J373-D373,0)</f>
        <v>#N/A</v>
      </c>
      <c r="L373" s="46" t="e">
        <f aca="true">IF(($H373=0),0,$D$4+$D$5*(RAND()-0.5))</f>
        <v>#N/A</v>
      </c>
      <c r="M373" s="46" t="e">
        <f aca="false">L373+MAX(D373,M372)</f>
        <v>#N/A</v>
      </c>
      <c r="N373" s="46" t="e">
        <f aca="false">IF((H373=1),M373-D373,0)</f>
        <v>#N/A</v>
      </c>
      <c r="O373" s="29" t="n">
        <v>356</v>
      </c>
      <c r="P373" s="49" t="e">
        <f aca="false">IF((Arterial=0),P372+1,P372)</f>
        <v>#N/A</v>
      </c>
      <c r="Q373" s="49" t="e">
        <f aca="false">IF((Arterial=1),Q372+1,Q372)</f>
        <v>#N/A</v>
      </c>
      <c r="R373" s="50" t="n">
        <f aca="false">IF((RESET=1),0,R373+K373)</f>
        <v>0</v>
      </c>
      <c r="S373" s="19" t="n">
        <f aca="false">IF(RESET=1,0,S373+N373)</f>
        <v>0</v>
      </c>
      <c r="T373" s="0" t="n">
        <f aca="false">IF(RESET=1,0,T373+IF(H373=0,1,0))</f>
        <v>0</v>
      </c>
      <c r="U373" s="0" t="n">
        <f aca="false">IF(RESET=1,0,U373+H373)</f>
        <v>0</v>
      </c>
      <c r="V373" s="19" t="n">
        <f aca="false">R373/(T373+0.00001)</f>
        <v>0</v>
      </c>
      <c r="W373" s="19" t="n">
        <f aca="false">S373/(U373+0.0001)</f>
        <v>0</v>
      </c>
      <c r="X373" s="47" t="e">
        <f aca="false">IF(Informed=1,K373,0)</f>
        <v>#N/A</v>
      </c>
      <c r="Y373" s="47" t="n">
        <f aca="false">IF(Informed=0,K373,0)</f>
        <v>0</v>
      </c>
      <c r="Z373" s="47" t="e">
        <f aca="false">IF(Informed=1,N373,0)</f>
        <v>#N/A</v>
      </c>
      <c r="AA373" s="47" t="n">
        <f aca="false">IF(Informed=0,N373,0)</f>
        <v>0</v>
      </c>
      <c r="AB373" s="51" t="e">
        <f aca="false">IF(Arterial=0,IF(Informed=1,1,0),0)</f>
        <v>#N/A</v>
      </c>
      <c r="AC373" s="51" t="e">
        <f aca="false">IF(Arterial=0,IF(Informed=0,1,0),0)</f>
        <v>#N/A</v>
      </c>
      <c r="AD373" s="51" t="e">
        <f aca="false">IF(Arterial=1,IF(Informed=1,1,0),0)</f>
        <v>#N/A</v>
      </c>
      <c r="AE373" s="51" t="e">
        <f aca="false">IF(Arterial=1,IF(Informed=0,1,0),0)</f>
        <v>#N/A</v>
      </c>
      <c r="AF373" s="44" t="e">
        <f aca="false">IF(AB373=1,(X373-G$1030)^2,0)</f>
        <v>#N/A</v>
      </c>
      <c r="AG373" s="44" t="e">
        <f aca="false">IF(AC373=1,(Y373-H$1030)^2,0)</f>
        <v>#N/A</v>
      </c>
      <c r="AH373" s="44" t="e">
        <f aca="false">IF(AD373=1,(Z373-I$1030)^2,0)</f>
        <v>#N/A</v>
      </c>
      <c r="AI373" s="44" t="e">
        <f aca="false">IF(AE373=1,(AA373-J$1030)^2,0)</f>
        <v>#N/A</v>
      </c>
    </row>
    <row r="374" customFormat="false" ht="12" hidden="false" customHeight="false" outlineLevel="0" collapsed="false">
      <c r="A374" s="29" t="n">
        <v>357</v>
      </c>
      <c r="B374" s="45" t="n">
        <f aca="true">IF(RAND()&lt;$D$8,1,0)</f>
        <v>1</v>
      </c>
      <c r="C374" s="34" t="n">
        <f aca="true">-LN(RAND())/$D$2</f>
        <v>1.01896516672333</v>
      </c>
      <c r="D374" s="46" t="n">
        <f aca="false">D373+C374</f>
        <v>565.106374546934</v>
      </c>
      <c r="E374" s="47" t="e">
        <f aca="false">MAX($D$3,(1+P373-VLOOKUP(VALUE(D374),$J$18:$Q373,7,TRUE()))*$D$3)</f>
        <v>#N/A</v>
      </c>
      <c r="F374" s="47" t="e">
        <f aca="false">MAX($D$4,(1+Q373-VLOOKUP(VALUE(D374),$M$18:$Q373,5,TRUE()))*$D$4)</f>
        <v>#N/A</v>
      </c>
      <c r="G374" s="48" t="n">
        <v>0.5</v>
      </c>
      <c r="H374" s="46" t="e">
        <f aca="true">IF((B374=1),(IF((F374&lt;E374),1,(IF((F374=E374),(IF(RAND()&lt;G374,1,0)),0)))),(IF((RAND()&lt;G374),1,0)))</f>
        <v>#N/A</v>
      </c>
      <c r="I374" s="46" t="e">
        <f aca="true">IF((H374=1),0,$D$3+$D$5*(RAND()-0.5))</f>
        <v>#N/A</v>
      </c>
      <c r="J374" s="46" t="e">
        <f aca="false">I374+MAX(D374,J373)</f>
        <v>#N/A</v>
      </c>
      <c r="K374" s="46" t="e">
        <f aca="false">IF((H374=0),J374-D374,0)</f>
        <v>#N/A</v>
      </c>
      <c r="L374" s="46" t="e">
        <f aca="true">IF(($H374=0),0,$D$4+$D$5*(RAND()-0.5))</f>
        <v>#N/A</v>
      </c>
      <c r="M374" s="46" t="e">
        <f aca="false">L374+MAX(D374,M373)</f>
        <v>#N/A</v>
      </c>
      <c r="N374" s="46" t="e">
        <f aca="false">IF((H374=1),M374-D374,0)</f>
        <v>#N/A</v>
      </c>
      <c r="O374" s="29" t="n">
        <v>357</v>
      </c>
      <c r="P374" s="49" t="e">
        <f aca="false">IF((Arterial=0),P373+1,P373)</f>
        <v>#N/A</v>
      </c>
      <c r="Q374" s="49" t="e">
        <f aca="false">IF((Arterial=1),Q373+1,Q373)</f>
        <v>#N/A</v>
      </c>
      <c r="R374" s="50" t="n">
        <f aca="false">IF((RESET=1),0,R374+K374)</f>
        <v>0</v>
      </c>
      <c r="S374" s="19" t="n">
        <f aca="false">IF(RESET=1,0,S374+N374)</f>
        <v>0</v>
      </c>
      <c r="T374" s="0" t="n">
        <f aca="false">IF(RESET=1,0,T374+IF(H374=0,1,0))</f>
        <v>0</v>
      </c>
      <c r="U374" s="0" t="n">
        <f aca="false">IF(RESET=1,0,U374+H374)</f>
        <v>0</v>
      </c>
      <c r="V374" s="19" t="n">
        <f aca="false">R374/(T374+0.00001)</f>
        <v>0</v>
      </c>
      <c r="W374" s="19" t="n">
        <f aca="false">S374/(U374+0.0001)</f>
        <v>0</v>
      </c>
      <c r="X374" s="47" t="e">
        <f aca="false">IF(Informed=1,K374,0)</f>
        <v>#N/A</v>
      </c>
      <c r="Y374" s="47" t="n">
        <f aca="false">IF(Informed=0,K374,0)</f>
        <v>0</v>
      </c>
      <c r="Z374" s="47" t="e">
        <f aca="false">IF(Informed=1,N374,0)</f>
        <v>#N/A</v>
      </c>
      <c r="AA374" s="47" t="n">
        <f aca="false">IF(Informed=0,N374,0)</f>
        <v>0</v>
      </c>
      <c r="AB374" s="51" t="e">
        <f aca="false">IF(Arterial=0,IF(Informed=1,1,0),0)</f>
        <v>#N/A</v>
      </c>
      <c r="AC374" s="51" t="e">
        <f aca="false">IF(Arterial=0,IF(Informed=0,1,0),0)</f>
        <v>#N/A</v>
      </c>
      <c r="AD374" s="51" t="e">
        <f aca="false">IF(Arterial=1,IF(Informed=1,1,0),0)</f>
        <v>#N/A</v>
      </c>
      <c r="AE374" s="51" t="e">
        <f aca="false">IF(Arterial=1,IF(Informed=0,1,0),0)</f>
        <v>#N/A</v>
      </c>
      <c r="AF374" s="44" t="e">
        <f aca="false">IF(AB374=1,(X374-G$1030)^2,0)</f>
        <v>#N/A</v>
      </c>
      <c r="AG374" s="44" t="e">
        <f aca="false">IF(AC374=1,(Y374-H$1030)^2,0)</f>
        <v>#N/A</v>
      </c>
      <c r="AH374" s="44" t="e">
        <f aca="false">IF(AD374=1,(Z374-I$1030)^2,0)</f>
        <v>#N/A</v>
      </c>
      <c r="AI374" s="44" t="e">
        <f aca="false">IF(AE374=1,(AA374-J$1030)^2,0)</f>
        <v>#N/A</v>
      </c>
    </row>
    <row r="375" customFormat="false" ht="12" hidden="false" customHeight="false" outlineLevel="0" collapsed="false">
      <c r="A375" s="29" t="n">
        <v>358</v>
      </c>
      <c r="B375" s="45" t="n">
        <f aca="true">IF(RAND()&lt;$D$8,1,0)</f>
        <v>1</v>
      </c>
      <c r="C375" s="34" t="n">
        <f aca="true">-LN(RAND())/$D$2</f>
        <v>2.63101672776544</v>
      </c>
      <c r="D375" s="46" t="n">
        <f aca="false">D374+C375</f>
        <v>567.737391274699</v>
      </c>
      <c r="E375" s="47" t="e">
        <f aca="false">MAX($D$3,(1+P374-VLOOKUP(VALUE(D375),$J$18:$Q374,7,TRUE()))*$D$3)</f>
        <v>#N/A</v>
      </c>
      <c r="F375" s="47" t="e">
        <f aca="false">MAX($D$4,(1+Q374-VLOOKUP(VALUE(D375),$M$18:$Q374,5,TRUE()))*$D$4)</f>
        <v>#N/A</v>
      </c>
      <c r="G375" s="48" t="n">
        <v>0.5</v>
      </c>
      <c r="H375" s="46" t="e">
        <f aca="true">IF((B375=1),(IF((F375&lt;E375),1,(IF((F375=E375),(IF(RAND()&lt;G375,1,0)),0)))),(IF((RAND()&lt;G375),1,0)))</f>
        <v>#N/A</v>
      </c>
      <c r="I375" s="46" t="e">
        <f aca="true">IF((H375=1),0,$D$3+$D$5*(RAND()-0.5))</f>
        <v>#N/A</v>
      </c>
      <c r="J375" s="46" t="e">
        <f aca="false">I375+MAX(D375,J374)</f>
        <v>#N/A</v>
      </c>
      <c r="K375" s="46" t="e">
        <f aca="false">IF((H375=0),J375-D375,0)</f>
        <v>#N/A</v>
      </c>
      <c r="L375" s="46" t="e">
        <f aca="true">IF(($H375=0),0,$D$4+$D$5*(RAND()-0.5))</f>
        <v>#N/A</v>
      </c>
      <c r="M375" s="46" t="e">
        <f aca="false">L375+MAX(D375,M374)</f>
        <v>#N/A</v>
      </c>
      <c r="N375" s="46" t="e">
        <f aca="false">IF((H375=1),M375-D375,0)</f>
        <v>#N/A</v>
      </c>
      <c r="O375" s="29" t="n">
        <v>358</v>
      </c>
      <c r="P375" s="49" t="e">
        <f aca="false">IF((Arterial=0),P374+1,P374)</f>
        <v>#N/A</v>
      </c>
      <c r="Q375" s="49" t="e">
        <f aca="false">IF((Arterial=1),Q374+1,Q374)</f>
        <v>#N/A</v>
      </c>
      <c r="R375" s="50" t="n">
        <f aca="false">IF((RESET=1),0,R375+K375)</f>
        <v>0</v>
      </c>
      <c r="S375" s="19" t="n">
        <f aca="false">IF(RESET=1,0,S375+N375)</f>
        <v>0</v>
      </c>
      <c r="T375" s="0" t="n">
        <f aca="false">IF(RESET=1,0,T375+IF(H375=0,1,0))</f>
        <v>0</v>
      </c>
      <c r="U375" s="0" t="n">
        <f aca="false">IF(RESET=1,0,U375+H375)</f>
        <v>0</v>
      </c>
      <c r="V375" s="19" t="n">
        <f aca="false">R375/(T375+0.00001)</f>
        <v>0</v>
      </c>
      <c r="W375" s="19" t="n">
        <f aca="false">S375/(U375+0.0001)</f>
        <v>0</v>
      </c>
      <c r="X375" s="47" t="e">
        <f aca="false">IF(Informed=1,K375,0)</f>
        <v>#N/A</v>
      </c>
      <c r="Y375" s="47" t="n">
        <f aca="false">IF(Informed=0,K375,0)</f>
        <v>0</v>
      </c>
      <c r="Z375" s="47" t="e">
        <f aca="false">IF(Informed=1,N375,0)</f>
        <v>#N/A</v>
      </c>
      <c r="AA375" s="47" t="n">
        <f aca="false">IF(Informed=0,N375,0)</f>
        <v>0</v>
      </c>
      <c r="AB375" s="51" t="e">
        <f aca="false">IF(Arterial=0,IF(Informed=1,1,0),0)</f>
        <v>#N/A</v>
      </c>
      <c r="AC375" s="51" t="e">
        <f aca="false">IF(Arterial=0,IF(Informed=0,1,0),0)</f>
        <v>#N/A</v>
      </c>
      <c r="AD375" s="51" t="e">
        <f aca="false">IF(Arterial=1,IF(Informed=1,1,0),0)</f>
        <v>#N/A</v>
      </c>
      <c r="AE375" s="51" t="e">
        <f aca="false">IF(Arterial=1,IF(Informed=0,1,0),0)</f>
        <v>#N/A</v>
      </c>
      <c r="AF375" s="44" t="e">
        <f aca="false">IF(AB375=1,(X375-G$1030)^2,0)</f>
        <v>#N/A</v>
      </c>
      <c r="AG375" s="44" t="e">
        <f aca="false">IF(AC375=1,(Y375-H$1030)^2,0)</f>
        <v>#N/A</v>
      </c>
      <c r="AH375" s="44" t="e">
        <f aca="false">IF(AD375=1,(Z375-I$1030)^2,0)</f>
        <v>#N/A</v>
      </c>
      <c r="AI375" s="44" t="e">
        <f aca="false">IF(AE375=1,(AA375-J$1030)^2,0)</f>
        <v>#N/A</v>
      </c>
    </row>
    <row r="376" customFormat="false" ht="12" hidden="false" customHeight="false" outlineLevel="0" collapsed="false">
      <c r="A376" s="29" t="n">
        <v>359</v>
      </c>
      <c r="B376" s="45" t="n">
        <f aca="true">IF(RAND()&lt;$D$8,1,0)</f>
        <v>1</v>
      </c>
      <c r="C376" s="34" t="n">
        <f aca="true">-LN(RAND())/$D$2</f>
        <v>2.22051241625008</v>
      </c>
      <c r="D376" s="46" t="n">
        <f aca="false">D375+C376</f>
        <v>569.957903690949</v>
      </c>
      <c r="E376" s="47" t="e">
        <f aca="false">MAX($D$3,(1+P375-VLOOKUP(VALUE(D376),$J$18:$Q375,7,TRUE()))*$D$3)</f>
        <v>#N/A</v>
      </c>
      <c r="F376" s="47" t="e">
        <f aca="false">MAX($D$4,(1+Q375-VLOOKUP(VALUE(D376),$M$18:$Q375,5,TRUE()))*$D$4)</f>
        <v>#N/A</v>
      </c>
      <c r="G376" s="48" t="n">
        <v>0.5</v>
      </c>
      <c r="H376" s="46" t="e">
        <f aca="true">IF((B376=1),(IF((F376&lt;E376),1,(IF((F376=E376),(IF(RAND()&lt;G376,1,0)),0)))),(IF((RAND()&lt;G376),1,0)))</f>
        <v>#N/A</v>
      </c>
      <c r="I376" s="46" t="e">
        <f aca="true">IF((H376=1),0,$D$3+$D$5*(RAND()-0.5))</f>
        <v>#N/A</v>
      </c>
      <c r="J376" s="46" t="e">
        <f aca="false">I376+MAX(D376,J375)</f>
        <v>#N/A</v>
      </c>
      <c r="K376" s="46" t="e">
        <f aca="false">IF((H376=0),J376-D376,0)</f>
        <v>#N/A</v>
      </c>
      <c r="L376" s="46" t="e">
        <f aca="true">IF(($H376=0),0,$D$4+$D$5*(RAND()-0.5))</f>
        <v>#N/A</v>
      </c>
      <c r="M376" s="46" t="e">
        <f aca="false">L376+MAX(D376,M375)</f>
        <v>#N/A</v>
      </c>
      <c r="N376" s="46" t="e">
        <f aca="false">IF((H376=1),M376-D376,0)</f>
        <v>#N/A</v>
      </c>
      <c r="O376" s="29" t="n">
        <v>359</v>
      </c>
      <c r="P376" s="49" t="e">
        <f aca="false">IF((Arterial=0),P375+1,P375)</f>
        <v>#N/A</v>
      </c>
      <c r="Q376" s="49" t="e">
        <f aca="false">IF((Arterial=1),Q375+1,Q375)</f>
        <v>#N/A</v>
      </c>
      <c r="R376" s="50" t="n">
        <f aca="false">IF((RESET=1),0,R376+K376)</f>
        <v>0</v>
      </c>
      <c r="S376" s="19" t="n">
        <f aca="false">IF(RESET=1,0,S376+N376)</f>
        <v>0</v>
      </c>
      <c r="T376" s="0" t="n">
        <f aca="false">IF(RESET=1,0,T376+IF(H376=0,1,0))</f>
        <v>0</v>
      </c>
      <c r="U376" s="0" t="n">
        <f aca="false">IF(RESET=1,0,U376+H376)</f>
        <v>0</v>
      </c>
      <c r="V376" s="19" t="n">
        <f aca="false">R376/(T376+0.00001)</f>
        <v>0</v>
      </c>
      <c r="W376" s="19" t="n">
        <f aca="false">S376/(U376+0.0001)</f>
        <v>0</v>
      </c>
      <c r="X376" s="47" t="e">
        <f aca="false">IF(Informed=1,K376,0)</f>
        <v>#N/A</v>
      </c>
      <c r="Y376" s="47" t="n">
        <f aca="false">IF(Informed=0,K376,0)</f>
        <v>0</v>
      </c>
      <c r="Z376" s="47" t="e">
        <f aca="false">IF(Informed=1,N376,0)</f>
        <v>#N/A</v>
      </c>
      <c r="AA376" s="47" t="n">
        <f aca="false">IF(Informed=0,N376,0)</f>
        <v>0</v>
      </c>
      <c r="AB376" s="51" t="e">
        <f aca="false">IF(Arterial=0,IF(Informed=1,1,0),0)</f>
        <v>#N/A</v>
      </c>
      <c r="AC376" s="51" t="e">
        <f aca="false">IF(Arterial=0,IF(Informed=0,1,0),0)</f>
        <v>#N/A</v>
      </c>
      <c r="AD376" s="51" t="e">
        <f aca="false">IF(Arterial=1,IF(Informed=1,1,0),0)</f>
        <v>#N/A</v>
      </c>
      <c r="AE376" s="51" t="e">
        <f aca="false">IF(Arterial=1,IF(Informed=0,1,0),0)</f>
        <v>#N/A</v>
      </c>
      <c r="AF376" s="44" t="e">
        <f aca="false">IF(AB376=1,(X376-G$1030)^2,0)</f>
        <v>#N/A</v>
      </c>
      <c r="AG376" s="44" t="e">
        <f aca="false">IF(AC376=1,(Y376-H$1030)^2,0)</f>
        <v>#N/A</v>
      </c>
      <c r="AH376" s="44" t="e">
        <f aca="false">IF(AD376=1,(Z376-I$1030)^2,0)</f>
        <v>#N/A</v>
      </c>
      <c r="AI376" s="44" t="e">
        <f aca="false">IF(AE376=1,(AA376-J$1030)^2,0)</f>
        <v>#N/A</v>
      </c>
    </row>
    <row r="377" customFormat="false" ht="12" hidden="false" customHeight="false" outlineLevel="0" collapsed="false">
      <c r="A377" s="29" t="n">
        <v>360</v>
      </c>
      <c r="B377" s="45" t="n">
        <f aca="true">IF(RAND()&lt;$D$8,1,0)</f>
        <v>1</v>
      </c>
      <c r="C377" s="34" t="n">
        <f aca="true">-LN(RAND())/$D$2</f>
        <v>2.12947364732795</v>
      </c>
      <c r="D377" s="46" t="n">
        <f aca="false">D376+C377</f>
        <v>572.087377338277</v>
      </c>
      <c r="E377" s="47" t="e">
        <f aca="false">MAX($D$3,(1+P376-VLOOKUP(VALUE(D377),$J$18:$Q376,7,TRUE()))*$D$3)</f>
        <v>#N/A</v>
      </c>
      <c r="F377" s="47" t="e">
        <f aca="false">MAX($D$4,(1+Q376-VLOOKUP(VALUE(D377),$M$18:$Q376,5,TRUE()))*$D$4)</f>
        <v>#N/A</v>
      </c>
      <c r="G377" s="48" t="n">
        <v>0.5</v>
      </c>
      <c r="H377" s="46" t="e">
        <f aca="true">IF((B377=1),(IF((F377&lt;E377),1,(IF((F377=E377),(IF(RAND()&lt;G377,1,0)),0)))),(IF((RAND()&lt;G377),1,0)))</f>
        <v>#N/A</v>
      </c>
      <c r="I377" s="46" t="e">
        <f aca="true">IF((H377=1),0,$D$3+$D$5*(RAND()-0.5))</f>
        <v>#N/A</v>
      </c>
      <c r="J377" s="46" t="e">
        <f aca="false">I377+MAX(D377,J376)</f>
        <v>#N/A</v>
      </c>
      <c r="K377" s="46" t="e">
        <f aca="false">IF((H377=0),J377-D377,0)</f>
        <v>#N/A</v>
      </c>
      <c r="L377" s="46" t="e">
        <f aca="true">IF(($H377=0),0,$D$4+$D$5*(RAND()-0.5))</f>
        <v>#N/A</v>
      </c>
      <c r="M377" s="46" t="e">
        <f aca="false">L377+MAX(D377,M376)</f>
        <v>#N/A</v>
      </c>
      <c r="N377" s="46" t="e">
        <f aca="false">IF((H377=1),M377-D377,0)</f>
        <v>#N/A</v>
      </c>
      <c r="O377" s="29" t="n">
        <v>360</v>
      </c>
      <c r="P377" s="49" t="e">
        <f aca="false">IF((Arterial=0),P376+1,P376)</f>
        <v>#N/A</v>
      </c>
      <c r="Q377" s="49" t="e">
        <f aca="false">IF((Arterial=1),Q376+1,Q376)</f>
        <v>#N/A</v>
      </c>
      <c r="R377" s="50" t="n">
        <f aca="false">IF((RESET=1),0,R377+K377)</f>
        <v>0</v>
      </c>
      <c r="S377" s="19" t="n">
        <f aca="false">IF(RESET=1,0,S377+N377)</f>
        <v>0</v>
      </c>
      <c r="T377" s="0" t="n">
        <f aca="false">IF(RESET=1,0,T377+IF(H377=0,1,0))</f>
        <v>0</v>
      </c>
      <c r="U377" s="0" t="n">
        <f aca="false">IF(RESET=1,0,U377+H377)</f>
        <v>0</v>
      </c>
      <c r="V377" s="19" t="n">
        <f aca="false">R377/(T377+0.00001)</f>
        <v>0</v>
      </c>
      <c r="W377" s="19" t="n">
        <f aca="false">S377/(U377+0.0001)</f>
        <v>0</v>
      </c>
      <c r="X377" s="47" t="e">
        <f aca="false">IF(Informed=1,K377,0)</f>
        <v>#N/A</v>
      </c>
      <c r="Y377" s="47" t="n">
        <f aca="false">IF(Informed=0,K377,0)</f>
        <v>0</v>
      </c>
      <c r="Z377" s="47" t="e">
        <f aca="false">IF(Informed=1,N377,0)</f>
        <v>#N/A</v>
      </c>
      <c r="AA377" s="47" t="n">
        <f aca="false">IF(Informed=0,N377,0)</f>
        <v>0</v>
      </c>
      <c r="AB377" s="51" t="e">
        <f aca="false">IF(Arterial=0,IF(Informed=1,1,0),0)</f>
        <v>#N/A</v>
      </c>
      <c r="AC377" s="51" t="e">
        <f aca="false">IF(Arterial=0,IF(Informed=0,1,0),0)</f>
        <v>#N/A</v>
      </c>
      <c r="AD377" s="51" t="e">
        <f aca="false">IF(Arterial=1,IF(Informed=1,1,0),0)</f>
        <v>#N/A</v>
      </c>
      <c r="AE377" s="51" t="e">
        <f aca="false">IF(Arterial=1,IF(Informed=0,1,0),0)</f>
        <v>#N/A</v>
      </c>
      <c r="AF377" s="44" t="e">
        <f aca="false">IF(AB377=1,(X377-G$1030)^2,0)</f>
        <v>#N/A</v>
      </c>
      <c r="AG377" s="44" t="e">
        <f aca="false">IF(AC377=1,(Y377-H$1030)^2,0)</f>
        <v>#N/A</v>
      </c>
      <c r="AH377" s="44" t="e">
        <f aca="false">IF(AD377=1,(Z377-I$1030)^2,0)</f>
        <v>#N/A</v>
      </c>
      <c r="AI377" s="44" t="e">
        <f aca="false">IF(AE377=1,(AA377-J$1030)^2,0)</f>
        <v>#N/A</v>
      </c>
    </row>
    <row r="378" customFormat="false" ht="12" hidden="false" customHeight="false" outlineLevel="0" collapsed="false">
      <c r="A378" s="29" t="n">
        <v>361</v>
      </c>
      <c r="B378" s="45" t="n">
        <f aca="true">IF(RAND()&lt;$D$8,1,0)</f>
        <v>1</v>
      </c>
      <c r="C378" s="34" t="n">
        <f aca="true">-LN(RAND())/$D$2</f>
        <v>1.58033747965562</v>
      </c>
      <c r="D378" s="46" t="n">
        <f aca="false">D377+C378</f>
        <v>573.667714817933</v>
      </c>
      <c r="E378" s="47" t="e">
        <f aca="false">MAX($D$3,(1+P377-VLOOKUP(VALUE(D378),$J$18:$Q377,7,TRUE()))*$D$3)</f>
        <v>#N/A</v>
      </c>
      <c r="F378" s="47" t="e">
        <f aca="false">MAX($D$4,(1+Q377-VLOOKUP(VALUE(D378),$M$18:$Q377,5,TRUE()))*$D$4)</f>
        <v>#N/A</v>
      </c>
      <c r="G378" s="48" t="n">
        <v>0.5</v>
      </c>
      <c r="H378" s="46" t="e">
        <f aca="true">IF((B378=1),(IF((F378&lt;E378),1,(IF((F378=E378),(IF(RAND()&lt;G378,1,0)),0)))),(IF((RAND()&lt;G378),1,0)))</f>
        <v>#N/A</v>
      </c>
      <c r="I378" s="46" t="e">
        <f aca="true">IF((H378=1),0,$D$3+$D$5*(RAND()-0.5))</f>
        <v>#N/A</v>
      </c>
      <c r="J378" s="46" t="e">
        <f aca="false">I378+MAX(D378,J377)</f>
        <v>#N/A</v>
      </c>
      <c r="K378" s="46" t="e">
        <f aca="false">IF((H378=0),J378-D378,0)</f>
        <v>#N/A</v>
      </c>
      <c r="L378" s="46" t="e">
        <f aca="true">IF(($H378=0),0,$D$4+$D$5*(RAND()-0.5))</f>
        <v>#N/A</v>
      </c>
      <c r="M378" s="46" t="e">
        <f aca="false">L378+MAX(D378,M377)</f>
        <v>#N/A</v>
      </c>
      <c r="N378" s="46" t="e">
        <f aca="false">IF((H378=1),M378-D378,0)</f>
        <v>#N/A</v>
      </c>
      <c r="O378" s="29" t="n">
        <v>361</v>
      </c>
      <c r="P378" s="49" t="e">
        <f aca="false">IF((Arterial=0),P377+1,P377)</f>
        <v>#N/A</v>
      </c>
      <c r="Q378" s="49" t="e">
        <f aca="false">IF((Arterial=1),Q377+1,Q377)</f>
        <v>#N/A</v>
      </c>
      <c r="R378" s="50" t="n">
        <f aca="false">IF((RESET=1),0,R378+K378)</f>
        <v>0</v>
      </c>
      <c r="S378" s="19" t="n">
        <f aca="false">IF(RESET=1,0,S378+N378)</f>
        <v>0</v>
      </c>
      <c r="T378" s="0" t="n">
        <f aca="false">IF(RESET=1,0,T378+IF(H378=0,1,0))</f>
        <v>0</v>
      </c>
      <c r="U378" s="0" t="n">
        <f aca="false">IF(RESET=1,0,U378+H378)</f>
        <v>0</v>
      </c>
      <c r="V378" s="19" t="n">
        <f aca="false">R378/(T378+0.00001)</f>
        <v>0</v>
      </c>
      <c r="W378" s="19" t="n">
        <f aca="false">S378/(U378+0.0001)</f>
        <v>0</v>
      </c>
      <c r="X378" s="47" t="e">
        <f aca="false">IF(Informed=1,K378,0)</f>
        <v>#N/A</v>
      </c>
      <c r="Y378" s="47" t="n">
        <f aca="false">IF(Informed=0,K378,0)</f>
        <v>0</v>
      </c>
      <c r="Z378" s="47" t="e">
        <f aca="false">IF(Informed=1,N378,0)</f>
        <v>#N/A</v>
      </c>
      <c r="AA378" s="47" t="n">
        <f aca="false">IF(Informed=0,N378,0)</f>
        <v>0</v>
      </c>
      <c r="AB378" s="51" t="e">
        <f aca="false">IF(Arterial=0,IF(Informed=1,1,0),0)</f>
        <v>#N/A</v>
      </c>
      <c r="AC378" s="51" t="e">
        <f aca="false">IF(Arterial=0,IF(Informed=0,1,0),0)</f>
        <v>#N/A</v>
      </c>
      <c r="AD378" s="51" t="e">
        <f aca="false">IF(Arterial=1,IF(Informed=1,1,0),0)</f>
        <v>#N/A</v>
      </c>
      <c r="AE378" s="51" t="e">
        <f aca="false">IF(Arterial=1,IF(Informed=0,1,0),0)</f>
        <v>#N/A</v>
      </c>
      <c r="AF378" s="44" t="e">
        <f aca="false">IF(AB378=1,(X378-G$1030)^2,0)</f>
        <v>#N/A</v>
      </c>
      <c r="AG378" s="44" t="e">
        <f aca="false">IF(AC378=1,(Y378-H$1030)^2,0)</f>
        <v>#N/A</v>
      </c>
      <c r="AH378" s="44" t="e">
        <f aca="false">IF(AD378=1,(Z378-I$1030)^2,0)</f>
        <v>#N/A</v>
      </c>
      <c r="AI378" s="44" t="e">
        <f aca="false">IF(AE378=1,(AA378-J$1030)^2,0)</f>
        <v>#N/A</v>
      </c>
    </row>
    <row r="379" customFormat="false" ht="12" hidden="false" customHeight="false" outlineLevel="0" collapsed="false">
      <c r="A379" s="29" t="n">
        <v>362</v>
      </c>
      <c r="B379" s="45" t="n">
        <f aca="true">IF(RAND()&lt;$D$8,1,0)</f>
        <v>1</v>
      </c>
      <c r="C379" s="34" t="n">
        <f aca="true">-LN(RAND())/$D$2</f>
        <v>0.754856209084307</v>
      </c>
      <c r="D379" s="46" t="n">
        <f aca="false">D378+C379</f>
        <v>574.422571027017</v>
      </c>
      <c r="E379" s="47" t="e">
        <f aca="false">MAX($D$3,(1+P378-VLOOKUP(VALUE(D379),$J$18:$Q378,7,TRUE()))*$D$3)</f>
        <v>#N/A</v>
      </c>
      <c r="F379" s="47" t="e">
        <f aca="false">MAX($D$4,(1+Q378-VLOOKUP(VALUE(D379),$M$18:$Q378,5,TRUE()))*$D$4)</f>
        <v>#N/A</v>
      </c>
      <c r="G379" s="48" t="n">
        <v>0.5</v>
      </c>
      <c r="H379" s="46" t="e">
        <f aca="true">IF((B379=1),(IF((F379&lt;E379),1,(IF((F379=E379),(IF(RAND()&lt;G379,1,0)),0)))),(IF((RAND()&lt;G379),1,0)))</f>
        <v>#N/A</v>
      </c>
      <c r="I379" s="46" t="e">
        <f aca="true">IF((H379=1),0,$D$3+$D$5*(RAND()-0.5))</f>
        <v>#N/A</v>
      </c>
      <c r="J379" s="46" t="e">
        <f aca="false">I379+MAX(D379,J378)</f>
        <v>#N/A</v>
      </c>
      <c r="K379" s="46" t="e">
        <f aca="false">IF((H379=0),J379-D379,0)</f>
        <v>#N/A</v>
      </c>
      <c r="L379" s="46" t="e">
        <f aca="true">IF(($H379=0),0,$D$4+$D$5*(RAND()-0.5))</f>
        <v>#N/A</v>
      </c>
      <c r="M379" s="46" t="e">
        <f aca="false">L379+MAX(D379,M378)</f>
        <v>#N/A</v>
      </c>
      <c r="N379" s="46" t="e">
        <f aca="false">IF((H379=1),M379-D379,0)</f>
        <v>#N/A</v>
      </c>
      <c r="O379" s="29" t="n">
        <v>362</v>
      </c>
      <c r="P379" s="49" t="e">
        <f aca="false">IF((Arterial=0),P378+1,P378)</f>
        <v>#N/A</v>
      </c>
      <c r="Q379" s="49" t="e">
        <f aca="false">IF((Arterial=1),Q378+1,Q378)</f>
        <v>#N/A</v>
      </c>
      <c r="R379" s="50" t="n">
        <f aca="false">IF((RESET=1),0,R379+K379)</f>
        <v>0</v>
      </c>
      <c r="S379" s="19" t="n">
        <f aca="false">IF(RESET=1,0,S379+N379)</f>
        <v>0</v>
      </c>
      <c r="T379" s="0" t="n">
        <f aca="false">IF(RESET=1,0,T379+IF(H379=0,1,0))</f>
        <v>0</v>
      </c>
      <c r="U379" s="0" t="n">
        <f aca="false">IF(RESET=1,0,U379+H379)</f>
        <v>0</v>
      </c>
      <c r="V379" s="19" t="n">
        <f aca="false">R379/(T379+0.00001)</f>
        <v>0</v>
      </c>
      <c r="W379" s="19" t="n">
        <f aca="false">S379/(U379+0.0001)</f>
        <v>0</v>
      </c>
      <c r="X379" s="47" t="e">
        <f aca="false">IF(Informed=1,K379,0)</f>
        <v>#N/A</v>
      </c>
      <c r="Y379" s="47" t="n">
        <f aca="false">IF(Informed=0,K379,0)</f>
        <v>0</v>
      </c>
      <c r="Z379" s="47" t="e">
        <f aca="false">IF(Informed=1,N379,0)</f>
        <v>#N/A</v>
      </c>
      <c r="AA379" s="47" t="n">
        <f aca="false">IF(Informed=0,N379,0)</f>
        <v>0</v>
      </c>
      <c r="AB379" s="51" t="e">
        <f aca="false">IF(Arterial=0,IF(Informed=1,1,0),0)</f>
        <v>#N/A</v>
      </c>
      <c r="AC379" s="51" t="e">
        <f aca="false">IF(Arterial=0,IF(Informed=0,1,0),0)</f>
        <v>#N/A</v>
      </c>
      <c r="AD379" s="51" t="e">
        <f aca="false">IF(Arterial=1,IF(Informed=1,1,0),0)</f>
        <v>#N/A</v>
      </c>
      <c r="AE379" s="51" t="e">
        <f aca="false">IF(Arterial=1,IF(Informed=0,1,0),0)</f>
        <v>#N/A</v>
      </c>
      <c r="AF379" s="44" t="e">
        <f aca="false">IF(AB379=1,(X379-G$1030)^2,0)</f>
        <v>#N/A</v>
      </c>
      <c r="AG379" s="44" t="e">
        <f aca="false">IF(AC379=1,(Y379-H$1030)^2,0)</f>
        <v>#N/A</v>
      </c>
      <c r="AH379" s="44" t="e">
        <f aca="false">IF(AD379=1,(Z379-I$1030)^2,0)</f>
        <v>#N/A</v>
      </c>
      <c r="AI379" s="44" t="e">
        <f aca="false">IF(AE379=1,(AA379-J$1030)^2,0)</f>
        <v>#N/A</v>
      </c>
    </row>
    <row r="380" customFormat="false" ht="12" hidden="false" customHeight="false" outlineLevel="0" collapsed="false">
      <c r="A380" s="29" t="n">
        <v>363</v>
      </c>
      <c r="B380" s="45" t="n">
        <f aca="true">IF(RAND()&lt;$D$8,1,0)</f>
        <v>1</v>
      </c>
      <c r="C380" s="34" t="n">
        <f aca="true">-LN(RAND())/$D$2</f>
        <v>0.9060972084376</v>
      </c>
      <c r="D380" s="46" t="n">
        <f aca="false">D379+C380</f>
        <v>575.328668235455</v>
      </c>
      <c r="E380" s="47" t="e">
        <f aca="false">MAX($D$3,(1+P379-VLOOKUP(VALUE(D380),$J$18:$Q379,7,TRUE()))*$D$3)</f>
        <v>#N/A</v>
      </c>
      <c r="F380" s="47" t="e">
        <f aca="false">MAX($D$4,(1+Q379-VLOOKUP(VALUE(D380),$M$18:$Q379,5,TRUE()))*$D$4)</f>
        <v>#N/A</v>
      </c>
      <c r="G380" s="48" t="n">
        <v>0.5</v>
      </c>
      <c r="H380" s="46" t="e">
        <f aca="true">IF((B380=1),(IF((F380&lt;E380),1,(IF((F380=E380),(IF(RAND()&lt;G380,1,0)),0)))),(IF((RAND()&lt;G380),1,0)))</f>
        <v>#N/A</v>
      </c>
      <c r="I380" s="46" t="e">
        <f aca="true">IF((H380=1),0,$D$3+$D$5*(RAND()-0.5))</f>
        <v>#N/A</v>
      </c>
      <c r="J380" s="46" t="e">
        <f aca="false">I380+MAX(D380,J379)</f>
        <v>#N/A</v>
      </c>
      <c r="K380" s="46" t="e">
        <f aca="false">IF((H380=0),J380-D380,0)</f>
        <v>#N/A</v>
      </c>
      <c r="L380" s="46" t="e">
        <f aca="true">IF(($H380=0),0,$D$4+$D$5*(RAND()-0.5))</f>
        <v>#N/A</v>
      </c>
      <c r="M380" s="46" t="e">
        <f aca="false">L380+MAX(D380,M379)</f>
        <v>#N/A</v>
      </c>
      <c r="N380" s="46" t="e">
        <f aca="false">IF((H380=1),M380-D380,0)</f>
        <v>#N/A</v>
      </c>
      <c r="O380" s="29" t="n">
        <v>363</v>
      </c>
      <c r="P380" s="49" t="e">
        <f aca="false">IF((Arterial=0),P379+1,P379)</f>
        <v>#N/A</v>
      </c>
      <c r="Q380" s="49" t="e">
        <f aca="false">IF((Arterial=1),Q379+1,Q379)</f>
        <v>#N/A</v>
      </c>
      <c r="R380" s="50" t="n">
        <f aca="false">IF((RESET=1),0,R380+K380)</f>
        <v>0</v>
      </c>
      <c r="S380" s="19" t="n">
        <f aca="false">IF(RESET=1,0,S380+N380)</f>
        <v>0</v>
      </c>
      <c r="T380" s="0" t="n">
        <f aca="false">IF(RESET=1,0,T380+IF(H380=0,1,0))</f>
        <v>0</v>
      </c>
      <c r="U380" s="0" t="n">
        <f aca="false">IF(RESET=1,0,U380+H380)</f>
        <v>0</v>
      </c>
      <c r="V380" s="19" t="n">
        <f aca="false">R380/(T380+0.00001)</f>
        <v>0</v>
      </c>
      <c r="W380" s="19" t="n">
        <f aca="false">S380/(U380+0.0001)</f>
        <v>0</v>
      </c>
      <c r="X380" s="47" t="e">
        <f aca="false">IF(Informed=1,K380,0)</f>
        <v>#N/A</v>
      </c>
      <c r="Y380" s="47" t="n">
        <f aca="false">IF(Informed=0,K380,0)</f>
        <v>0</v>
      </c>
      <c r="Z380" s="47" t="e">
        <f aca="false">IF(Informed=1,N380,0)</f>
        <v>#N/A</v>
      </c>
      <c r="AA380" s="47" t="n">
        <f aca="false">IF(Informed=0,N380,0)</f>
        <v>0</v>
      </c>
      <c r="AB380" s="51" t="e">
        <f aca="false">IF(Arterial=0,IF(Informed=1,1,0),0)</f>
        <v>#N/A</v>
      </c>
      <c r="AC380" s="51" t="e">
        <f aca="false">IF(Arterial=0,IF(Informed=0,1,0),0)</f>
        <v>#N/A</v>
      </c>
      <c r="AD380" s="51" t="e">
        <f aca="false">IF(Arterial=1,IF(Informed=1,1,0),0)</f>
        <v>#N/A</v>
      </c>
      <c r="AE380" s="51" t="e">
        <f aca="false">IF(Arterial=1,IF(Informed=0,1,0),0)</f>
        <v>#N/A</v>
      </c>
      <c r="AF380" s="44" t="e">
        <f aca="false">IF(AB380=1,(X380-G$1030)^2,0)</f>
        <v>#N/A</v>
      </c>
      <c r="AG380" s="44" t="e">
        <f aca="false">IF(AC380=1,(Y380-H$1030)^2,0)</f>
        <v>#N/A</v>
      </c>
      <c r="AH380" s="44" t="e">
        <f aca="false">IF(AD380=1,(Z380-I$1030)^2,0)</f>
        <v>#N/A</v>
      </c>
      <c r="AI380" s="44" t="e">
        <f aca="false">IF(AE380=1,(AA380-J$1030)^2,0)</f>
        <v>#N/A</v>
      </c>
    </row>
    <row r="381" customFormat="false" ht="12" hidden="false" customHeight="false" outlineLevel="0" collapsed="false">
      <c r="A381" s="29" t="n">
        <v>364</v>
      </c>
      <c r="B381" s="45" t="n">
        <f aca="true">IF(RAND()&lt;$D$8,1,0)</f>
        <v>1</v>
      </c>
      <c r="C381" s="34" t="n">
        <f aca="true">-LN(RAND())/$D$2</f>
        <v>1.51718270701407</v>
      </c>
      <c r="D381" s="46" t="n">
        <f aca="false">D380+C381</f>
        <v>576.845850942469</v>
      </c>
      <c r="E381" s="47" t="e">
        <f aca="false">MAX($D$3,(1+P380-VLOOKUP(VALUE(D381),$J$18:$Q380,7,TRUE()))*$D$3)</f>
        <v>#N/A</v>
      </c>
      <c r="F381" s="47" t="e">
        <f aca="false">MAX($D$4,(1+Q380-VLOOKUP(VALUE(D381),$M$18:$Q380,5,TRUE()))*$D$4)</f>
        <v>#N/A</v>
      </c>
      <c r="G381" s="48" t="n">
        <v>0.5</v>
      </c>
      <c r="H381" s="46" t="e">
        <f aca="true">IF((B381=1),(IF((F381&lt;E381),1,(IF((F381=E381),(IF(RAND()&lt;G381,1,0)),0)))),(IF((RAND()&lt;G381),1,0)))</f>
        <v>#N/A</v>
      </c>
      <c r="I381" s="46" t="e">
        <f aca="true">IF((H381=1),0,$D$3+$D$5*(RAND()-0.5))</f>
        <v>#N/A</v>
      </c>
      <c r="J381" s="46" t="e">
        <f aca="false">I381+MAX(D381,J380)</f>
        <v>#N/A</v>
      </c>
      <c r="K381" s="46" t="e">
        <f aca="false">IF((H381=0),J381-D381,0)</f>
        <v>#N/A</v>
      </c>
      <c r="L381" s="46" t="e">
        <f aca="true">IF(($H381=0),0,$D$4+$D$5*(RAND()-0.5))</f>
        <v>#N/A</v>
      </c>
      <c r="M381" s="46" t="e">
        <f aca="false">L381+MAX(D381,M380)</f>
        <v>#N/A</v>
      </c>
      <c r="N381" s="46" t="e">
        <f aca="false">IF((H381=1),M381-D381,0)</f>
        <v>#N/A</v>
      </c>
      <c r="O381" s="29" t="n">
        <v>364</v>
      </c>
      <c r="P381" s="49" t="e">
        <f aca="false">IF((Arterial=0),P380+1,P380)</f>
        <v>#N/A</v>
      </c>
      <c r="Q381" s="49" t="e">
        <f aca="false">IF((Arterial=1),Q380+1,Q380)</f>
        <v>#N/A</v>
      </c>
      <c r="R381" s="50" t="n">
        <f aca="false">IF((RESET=1),0,R381+K381)</f>
        <v>0</v>
      </c>
      <c r="S381" s="19" t="n">
        <f aca="false">IF(RESET=1,0,S381+N381)</f>
        <v>0</v>
      </c>
      <c r="T381" s="0" t="n">
        <f aca="false">IF(RESET=1,0,T381+IF(H381=0,1,0))</f>
        <v>0</v>
      </c>
      <c r="U381" s="0" t="n">
        <f aca="false">IF(RESET=1,0,U381+H381)</f>
        <v>0</v>
      </c>
      <c r="V381" s="19" t="n">
        <f aca="false">R381/(T381+0.00001)</f>
        <v>0</v>
      </c>
      <c r="W381" s="19" t="n">
        <f aca="false">S381/(U381+0.0001)</f>
        <v>0</v>
      </c>
      <c r="X381" s="47" t="e">
        <f aca="false">IF(Informed=1,K381,0)</f>
        <v>#N/A</v>
      </c>
      <c r="Y381" s="47" t="n">
        <f aca="false">IF(Informed=0,K381,0)</f>
        <v>0</v>
      </c>
      <c r="Z381" s="47" t="e">
        <f aca="false">IF(Informed=1,N381,0)</f>
        <v>#N/A</v>
      </c>
      <c r="AA381" s="47" t="n">
        <f aca="false">IF(Informed=0,N381,0)</f>
        <v>0</v>
      </c>
      <c r="AB381" s="51" t="e">
        <f aca="false">IF(Arterial=0,IF(Informed=1,1,0),0)</f>
        <v>#N/A</v>
      </c>
      <c r="AC381" s="51" t="e">
        <f aca="false">IF(Arterial=0,IF(Informed=0,1,0),0)</f>
        <v>#N/A</v>
      </c>
      <c r="AD381" s="51" t="e">
        <f aca="false">IF(Arterial=1,IF(Informed=1,1,0),0)</f>
        <v>#N/A</v>
      </c>
      <c r="AE381" s="51" t="e">
        <f aca="false">IF(Arterial=1,IF(Informed=0,1,0),0)</f>
        <v>#N/A</v>
      </c>
      <c r="AF381" s="44" t="e">
        <f aca="false">IF(AB381=1,(X381-G$1030)^2,0)</f>
        <v>#N/A</v>
      </c>
      <c r="AG381" s="44" t="e">
        <f aca="false">IF(AC381=1,(Y381-H$1030)^2,0)</f>
        <v>#N/A</v>
      </c>
      <c r="AH381" s="44" t="e">
        <f aca="false">IF(AD381=1,(Z381-I$1030)^2,0)</f>
        <v>#N/A</v>
      </c>
      <c r="AI381" s="44" t="e">
        <f aca="false">IF(AE381=1,(AA381-J$1030)^2,0)</f>
        <v>#N/A</v>
      </c>
    </row>
    <row r="382" customFormat="false" ht="12" hidden="false" customHeight="false" outlineLevel="0" collapsed="false">
      <c r="A382" s="29" t="n">
        <v>365</v>
      </c>
      <c r="B382" s="45" t="n">
        <f aca="true">IF(RAND()&lt;$D$8,1,0)</f>
        <v>1</v>
      </c>
      <c r="C382" s="34" t="n">
        <f aca="true">-LN(RAND())/$D$2</f>
        <v>0.0134916194355781</v>
      </c>
      <c r="D382" s="46" t="n">
        <f aca="false">D381+C382</f>
        <v>576.859342561904</v>
      </c>
      <c r="E382" s="47" t="e">
        <f aca="false">MAX($D$3,(1+P381-VLOOKUP(VALUE(D382),$J$18:$Q381,7,TRUE()))*$D$3)</f>
        <v>#N/A</v>
      </c>
      <c r="F382" s="47" t="e">
        <f aca="false">MAX($D$4,(1+Q381-VLOOKUP(VALUE(D382),$M$18:$Q381,5,TRUE()))*$D$4)</f>
        <v>#N/A</v>
      </c>
      <c r="G382" s="48" t="n">
        <v>0.5</v>
      </c>
      <c r="H382" s="46" t="e">
        <f aca="true">IF((B382=1),(IF((F382&lt;E382),1,(IF((F382=E382),(IF(RAND()&lt;G382,1,0)),0)))),(IF((RAND()&lt;G382),1,0)))</f>
        <v>#N/A</v>
      </c>
      <c r="I382" s="46" t="e">
        <f aca="true">IF((H382=1),0,$D$3+$D$5*(RAND()-0.5))</f>
        <v>#N/A</v>
      </c>
      <c r="J382" s="46" t="e">
        <f aca="false">I382+MAX(D382,J381)</f>
        <v>#N/A</v>
      </c>
      <c r="K382" s="46" t="e">
        <f aca="false">IF((H382=0),J382-D382,0)</f>
        <v>#N/A</v>
      </c>
      <c r="L382" s="46" t="e">
        <f aca="true">IF(($H382=0),0,$D$4+$D$5*(RAND()-0.5))</f>
        <v>#N/A</v>
      </c>
      <c r="M382" s="46" t="e">
        <f aca="false">L382+MAX(D382,M381)</f>
        <v>#N/A</v>
      </c>
      <c r="N382" s="46" t="e">
        <f aca="false">IF((H382=1),M382-D382,0)</f>
        <v>#N/A</v>
      </c>
      <c r="O382" s="29" t="n">
        <v>365</v>
      </c>
      <c r="P382" s="49" t="e">
        <f aca="false">IF((Arterial=0),P381+1,P381)</f>
        <v>#N/A</v>
      </c>
      <c r="Q382" s="49" t="e">
        <f aca="false">IF((Arterial=1),Q381+1,Q381)</f>
        <v>#N/A</v>
      </c>
      <c r="R382" s="50" t="n">
        <f aca="false">IF((RESET=1),0,R382+K382)</f>
        <v>0</v>
      </c>
      <c r="S382" s="19" t="n">
        <f aca="false">IF(RESET=1,0,S382+N382)</f>
        <v>0</v>
      </c>
      <c r="T382" s="0" t="n">
        <f aca="false">IF(RESET=1,0,T382+IF(H382=0,1,0))</f>
        <v>0</v>
      </c>
      <c r="U382" s="0" t="n">
        <f aca="false">IF(RESET=1,0,U382+H382)</f>
        <v>0</v>
      </c>
      <c r="V382" s="19" t="n">
        <f aca="false">R382/(T382+0.00001)</f>
        <v>0</v>
      </c>
      <c r="W382" s="19" t="n">
        <f aca="false">S382/(U382+0.0001)</f>
        <v>0</v>
      </c>
      <c r="X382" s="47" t="e">
        <f aca="false">IF(Informed=1,K382,0)</f>
        <v>#N/A</v>
      </c>
      <c r="Y382" s="47" t="n">
        <f aca="false">IF(Informed=0,K382,0)</f>
        <v>0</v>
      </c>
      <c r="Z382" s="47" t="e">
        <f aca="false">IF(Informed=1,N382,0)</f>
        <v>#N/A</v>
      </c>
      <c r="AA382" s="47" t="n">
        <f aca="false">IF(Informed=0,N382,0)</f>
        <v>0</v>
      </c>
      <c r="AB382" s="51" t="e">
        <f aca="false">IF(Arterial=0,IF(Informed=1,1,0),0)</f>
        <v>#N/A</v>
      </c>
      <c r="AC382" s="51" t="e">
        <f aca="false">IF(Arterial=0,IF(Informed=0,1,0),0)</f>
        <v>#N/A</v>
      </c>
      <c r="AD382" s="51" t="e">
        <f aca="false">IF(Arterial=1,IF(Informed=1,1,0),0)</f>
        <v>#N/A</v>
      </c>
      <c r="AE382" s="51" t="e">
        <f aca="false">IF(Arterial=1,IF(Informed=0,1,0),0)</f>
        <v>#N/A</v>
      </c>
      <c r="AF382" s="44" t="e">
        <f aca="false">IF(AB382=1,(X382-G$1030)^2,0)</f>
        <v>#N/A</v>
      </c>
      <c r="AG382" s="44" t="e">
        <f aca="false">IF(AC382=1,(Y382-H$1030)^2,0)</f>
        <v>#N/A</v>
      </c>
      <c r="AH382" s="44" t="e">
        <f aca="false">IF(AD382=1,(Z382-I$1030)^2,0)</f>
        <v>#N/A</v>
      </c>
      <c r="AI382" s="44" t="e">
        <f aca="false">IF(AE382=1,(AA382-J$1030)^2,0)</f>
        <v>#N/A</v>
      </c>
    </row>
    <row r="383" customFormat="false" ht="12" hidden="false" customHeight="false" outlineLevel="0" collapsed="false">
      <c r="A383" s="29" t="n">
        <v>366</v>
      </c>
      <c r="B383" s="45" t="n">
        <f aca="true">IF(RAND()&lt;$D$8,1,0)</f>
        <v>1</v>
      </c>
      <c r="C383" s="34" t="n">
        <f aca="true">-LN(RAND())/$D$2</f>
        <v>0.64013248719614</v>
      </c>
      <c r="D383" s="46" t="n">
        <f aca="false">D382+C383</f>
        <v>577.499475049101</v>
      </c>
      <c r="E383" s="47" t="e">
        <f aca="false">MAX($D$3,(1+P382-VLOOKUP(VALUE(D383),$J$18:$Q382,7,TRUE()))*$D$3)</f>
        <v>#N/A</v>
      </c>
      <c r="F383" s="47" t="e">
        <f aca="false">MAX($D$4,(1+Q382-VLOOKUP(VALUE(D383),$M$18:$Q382,5,TRUE()))*$D$4)</f>
        <v>#N/A</v>
      </c>
      <c r="G383" s="48" t="n">
        <v>0.5</v>
      </c>
      <c r="H383" s="46" t="e">
        <f aca="true">IF((B383=1),(IF((F383&lt;E383),1,(IF((F383=E383),(IF(RAND()&lt;G383,1,0)),0)))),(IF((RAND()&lt;G383),1,0)))</f>
        <v>#N/A</v>
      </c>
      <c r="I383" s="46" t="e">
        <f aca="true">IF((H383=1),0,$D$3+$D$5*(RAND()-0.5))</f>
        <v>#N/A</v>
      </c>
      <c r="J383" s="46" t="e">
        <f aca="false">I383+MAX(D383,J382)</f>
        <v>#N/A</v>
      </c>
      <c r="K383" s="46" t="e">
        <f aca="false">IF((H383=0),J383-D383,0)</f>
        <v>#N/A</v>
      </c>
      <c r="L383" s="46" t="e">
        <f aca="true">IF(($H383=0),0,$D$4+$D$5*(RAND()-0.5))</f>
        <v>#N/A</v>
      </c>
      <c r="M383" s="46" t="e">
        <f aca="false">L383+MAX(D383,M382)</f>
        <v>#N/A</v>
      </c>
      <c r="N383" s="46" t="e">
        <f aca="false">IF((H383=1),M383-D383,0)</f>
        <v>#N/A</v>
      </c>
      <c r="O383" s="29" t="n">
        <v>366</v>
      </c>
      <c r="P383" s="49" t="e">
        <f aca="false">IF((Arterial=0),P382+1,P382)</f>
        <v>#N/A</v>
      </c>
      <c r="Q383" s="49" t="e">
        <f aca="false">IF((Arterial=1),Q382+1,Q382)</f>
        <v>#N/A</v>
      </c>
      <c r="R383" s="50" t="n">
        <f aca="false">IF((RESET=1),0,R383+K383)</f>
        <v>0</v>
      </c>
      <c r="S383" s="19" t="n">
        <f aca="false">IF(RESET=1,0,S383+N383)</f>
        <v>0</v>
      </c>
      <c r="T383" s="0" t="n">
        <f aca="false">IF(RESET=1,0,T383+IF(H383=0,1,0))</f>
        <v>0</v>
      </c>
      <c r="U383" s="0" t="n">
        <f aca="false">IF(RESET=1,0,U383+H383)</f>
        <v>0</v>
      </c>
      <c r="V383" s="19" t="n">
        <f aca="false">R383/(T383+0.00001)</f>
        <v>0</v>
      </c>
      <c r="W383" s="19" t="n">
        <f aca="false">S383/(U383+0.0001)</f>
        <v>0</v>
      </c>
      <c r="X383" s="47" t="e">
        <f aca="false">IF(Informed=1,K383,0)</f>
        <v>#N/A</v>
      </c>
      <c r="Y383" s="47" t="n">
        <f aca="false">IF(Informed=0,K383,0)</f>
        <v>0</v>
      </c>
      <c r="Z383" s="47" t="e">
        <f aca="false">IF(Informed=1,N383,0)</f>
        <v>#N/A</v>
      </c>
      <c r="AA383" s="47" t="n">
        <f aca="false">IF(Informed=0,N383,0)</f>
        <v>0</v>
      </c>
      <c r="AB383" s="51" t="e">
        <f aca="false">IF(Arterial=0,IF(Informed=1,1,0),0)</f>
        <v>#N/A</v>
      </c>
      <c r="AC383" s="51" t="e">
        <f aca="false">IF(Arterial=0,IF(Informed=0,1,0),0)</f>
        <v>#N/A</v>
      </c>
      <c r="AD383" s="51" t="e">
        <f aca="false">IF(Arterial=1,IF(Informed=1,1,0),0)</f>
        <v>#N/A</v>
      </c>
      <c r="AE383" s="51" t="e">
        <f aca="false">IF(Arterial=1,IF(Informed=0,1,0),0)</f>
        <v>#N/A</v>
      </c>
      <c r="AF383" s="44" t="e">
        <f aca="false">IF(AB383=1,(X383-G$1030)^2,0)</f>
        <v>#N/A</v>
      </c>
      <c r="AG383" s="44" t="e">
        <f aca="false">IF(AC383=1,(Y383-H$1030)^2,0)</f>
        <v>#N/A</v>
      </c>
      <c r="AH383" s="44" t="e">
        <f aca="false">IF(AD383=1,(Z383-I$1030)^2,0)</f>
        <v>#N/A</v>
      </c>
      <c r="AI383" s="44" t="e">
        <f aca="false">IF(AE383=1,(AA383-J$1030)^2,0)</f>
        <v>#N/A</v>
      </c>
    </row>
    <row r="384" customFormat="false" ht="12" hidden="false" customHeight="false" outlineLevel="0" collapsed="false">
      <c r="A384" s="29" t="n">
        <v>367</v>
      </c>
      <c r="B384" s="45" t="n">
        <f aca="true">IF(RAND()&lt;$D$8,1,0)</f>
        <v>1</v>
      </c>
      <c r="C384" s="34" t="n">
        <f aca="true">-LN(RAND())/$D$2</f>
        <v>0.133101891002978</v>
      </c>
      <c r="D384" s="46" t="n">
        <f aca="false">D383+C384</f>
        <v>577.632576940104</v>
      </c>
      <c r="E384" s="47" t="e">
        <f aca="false">MAX($D$3,(1+P383-VLOOKUP(VALUE(D384),$J$18:$Q383,7,TRUE()))*$D$3)</f>
        <v>#N/A</v>
      </c>
      <c r="F384" s="47" t="e">
        <f aca="false">MAX($D$4,(1+Q383-VLOOKUP(VALUE(D384),$M$18:$Q383,5,TRUE()))*$D$4)</f>
        <v>#N/A</v>
      </c>
      <c r="G384" s="48" t="n">
        <v>0.5</v>
      </c>
      <c r="H384" s="46" t="e">
        <f aca="true">IF((B384=1),(IF((F384&lt;E384),1,(IF((F384=E384),(IF(RAND()&lt;G384,1,0)),0)))),(IF((RAND()&lt;G384),1,0)))</f>
        <v>#N/A</v>
      </c>
      <c r="I384" s="46" t="e">
        <f aca="true">IF((H384=1),0,$D$3+$D$5*(RAND()-0.5))</f>
        <v>#N/A</v>
      </c>
      <c r="J384" s="46" t="e">
        <f aca="false">I384+MAX(D384,J383)</f>
        <v>#N/A</v>
      </c>
      <c r="K384" s="46" t="e">
        <f aca="false">IF((H384=0),J384-D384,0)</f>
        <v>#N/A</v>
      </c>
      <c r="L384" s="46" t="e">
        <f aca="true">IF(($H384=0),0,$D$4+$D$5*(RAND()-0.5))</f>
        <v>#N/A</v>
      </c>
      <c r="M384" s="46" t="e">
        <f aca="false">L384+MAX(D384,M383)</f>
        <v>#N/A</v>
      </c>
      <c r="N384" s="46" t="e">
        <f aca="false">IF((H384=1),M384-D384,0)</f>
        <v>#N/A</v>
      </c>
      <c r="O384" s="29" t="n">
        <v>367</v>
      </c>
      <c r="P384" s="49" t="e">
        <f aca="false">IF((Arterial=0),P383+1,P383)</f>
        <v>#N/A</v>
      </c>
      <c r="Q384" s="49" t="e">
        <f aca="false">IF((Arterial=1),Q383+1,Q383)</f>
        <v>#N/A</v>
      </c>
      <c r="R384" s="50" t="n">
        <f aca="false">IF((RESET=1),0,R384+K384)</f>
        <v>0</v>
      </c>
      <c r="S384" s="19" t="n">
        <f aca="false">IF(RESET=1,0,S384+N384)</f>
        <v>0</v>
      </c>
      <c r="T384" s="0" t="n">
        <f aca="false">IF(RESET=1,0,T384+IF(H384=0,1,0))</f>
        <v>0</v>
      </c>
      <c r="U384" s="0" t="n">
        <f aca="false">IF(RESET=1,0,U384+H384)</f>
        <v>0</v>
      </c>
      <c r="V384" s="19" t="n">
        <f aca="false">R384/(T384+0.00001)</f>
        <v>0</v>
      </c>
      <c r="W384" s="19" t="n">
        <f aca="false">S384/(U384+0.0001)</f>
        <v>0</v>
      </c>
      <c r="X384" s="47" t="e">
        <f aca="false">IF(Informed=1,K384,0)</f>
        <v>#N/A</v>
      </c>
      <c r="Y384" s="47" t="n">
        <f aca="false">IF(Informed=0,K384,0)</f>
        <v>0</v>
      </c>
      <c r="Z384" s="47" t="e">
        <f aca="false">IF(Informed=1,N384,0)</f>
        <v>#N/A</v>
      </c>
      <c r="AA384" s="47" t="n">
        <f aca="false">IF(Informed=0,N384,0)</f>
        <v>0</v>
      </c>
      <c r="AB384" s="51" t="e">
        <f aca="false">IF(Arterial=0,IF(Informed=1,1,0),0)</f>
        <v>#N/A</v>
      </c>
      <c r="AC384" s="51" t="e">
        <f aca="false">IF(Arterial=0,IF(Informed=0,1,0),0)</f>
        <v>#N/A</v>
      </c>
      <c r="AD384" s="51" t="e">
        <f aca="false">IF(Arterial=1,IF(Informed=1,1,0),0)</f>
        <v>#N/A</v>
      </c>
      <c r="AE384" s="51" t="e">
        <f aca="false">IF(Arterial=1,IF(Informed=0,1,0),0)</f>
        <v>#N/A</v>
      </c>
      <c r="AF384" s="44" t="e">
        <f aca="false">IF(AB384=1,(X384-G$1030)^2,0)</f>
        <v>#N/A</v>
      </c>
      <c r="AG384" s="44" t="e">
        <f aca="false">IF(AC384=1,(Y384-H$1030)^2,0)</f>
        <v>#N/A</v>
      </c>
      <c r="AH384" s="44" t="e">
        <f aca="false">IF(AD384=1,(Z384-I$1030)^2,0)</f>
        <v>#N/A</v>
      </c>
      <c r="AI384" s="44" t="e">
        <f aca="false">IF(AE384=1,(AA384-J$1030)^2,0)</f>
        <v>#N/A</v>
      </c>
    </row>
    <row r="385" customFormat="false" ht="12" hidden="false" customHeight="false" outlineLevel="0" collapsed="false">
      <c r="A385" s="29" t="n">
        <v>368</v>
      </c>
      <c r="B385" s="45" t="n">
        <f aca="true">IF(RAND()&lt;$D$8,1,0)</f>
        <v>1</v>
      </c>
      <c r="C385" s="34" t="n">
        <f aca="true">-LN(RAND())/$D$2</f>
        <v>1.88870022951615</v>
      </c>
      <c r="D385" s="46" t="n">
        <f aca="false">D384+C385</f>
        <v>579.52127716962</v>
      </c>
      <c r="E385" s="47" t="e">
        <f aca="false">MAX($D$3,(1+P384-VLOOKUP(VALUE(D385),$J$18:$Q384,7,TRUE()))*$D$3)</f>
        <v>#N/A</v>
      </c>
      <c r="F385" s="47" t="e">
        <f aca="false">MAX($D$4,(1+Q384-VLOOKUP(VALUE(D385),$M$18:$Q384,5,TRUE()))*$D$4)</f>
        <v>#N/A</v>
      </c>
      <c r="G385" s="48" t="n">
        <v>0.5</v>
      </c>
      <c r="H385" s="46" t="e">
        <f aca="true">IF((B385=1),(IF((F385&lt;E385),1,(IF((F385=E385),(IF(RAND()&lt;G385,1,0)),0)))),(IF((RAND()&lt;G385),1,0)))</f>
        <v>#N/A</v>
      </c>
      <c r="I385" s="46" t="e">
        <f aca="true">IF((H385=1),0,$D$3+$D$5*(RAND()-0.5))</f>
        <v>#N/A</v>
      </c>
      <c r="J385" s="46" t="e">
        <f aca="false">I385+MAX(D385,J384)</f>
        <v>#N/A</v>
      </c>
      <c r="K385" s="46" t="e">
        <f aca="false">IF((H385=0),J385-D385,0)</f>
        <v>#N/A</v>
      </c>
      <c r="L385" s="46" t="e">
        <f aca="true">IF(($H385=0),0,$D$4+$D$5*(RAND()-0.5))</f>
        <v>#N/A</v>
      </c>
      <c r="M385" s="46" t="e">
        <f aca="false">L385+MAX(D385,M384)</f>
        <v>#N/A</v>
      </c>
      <c r="N385" s="46" t="e">
        <f aca="false">IF((H385=1),M385-D385,0)</f>
        <v>#N/A</v>
      </c>
      <c r="O385" s="29" t="n">
        <v>368</v>
      </c>
      <c r="P385" s="49" t="e">
        <f aca="false">IF((Arterial=0),P384+1,P384)</f>
        <v>#N/A</v>
      </c>
      <c r="Q385" s="49" t="e">
        <f aca="false">IF((Arterial=1),Q384+1,Q384)</f>
        <v>#N/A</v>
      </c>
      <c r="R385" s="50" t="n">
        <f aca="false">IF((RESET=1),0,R385+K385)</f>
        <v>0</v>
      </c>
      <c r="S385" s="19" t="n">
        <f aca="false">IF(RESET=1,0,S385+N385)</f>
        <v>0</v>
      </c>
      <c r="T385" s="0" t="n">
        <f aca="false">IF(RESET=1,0,T385+IF(H385=0,1,0))</f>
        <v>0</v>
      </c>
      <c r="U385" s="0" t="n">
        <f aca="false">IF(RESET=1,0,U385+H385)</f>
        <v>0</v>
      </c>
      <c r="V385" s="19" t="n">
        <f aca="false">R385/(T385+0.00001)</f>
        <v>0</v>
      </c>
      <c r="W385" s="19" t="n">
        <f aca="false">S385/(U385+0.0001)</f>
        <v>0</v>
      </c>
      <c r="X385" s="47" t="e">
        <f aca="false">IF(Informed=1,K385,0)</f>
        <v>#N/A</v>
      </c>
      <c r="Y385" s="47" t="n">
        <f aca="false">IF(Informed=0,K385,0)</f>
        <v>0</v>
      </c>
      <c r="Z385" s="47" t="e">
        <f aca="false">IF(Informed=1,N385,0)</f>
        <v>#N/A</v>
      </c>
      <c r="AA385" s="47" t="n">
        <f aca="false">IF(Informed=0,N385,0)</f>
        <v>0</v>
      </c>
      <c r="AB385" s="51" t="e">
        <f aca="false">IF(Arterial=0,IF(Informed=1,1,0),0)</f>
        <v>#N/A</v>
      </c>
      <c r="AC385" s="51" t="e">
        <f aca="false">IF(Arterial=0,IF(Informed=0,1,0),0)</f>
        <v>#N/A</v>
      </c>
      <c r="AD385" s="51" t="e">
        <f aca="false">IF(Arterial=1,IF(Informed=1,1,0),0)</f>
        <v>#N/A</v>
      </c>
      <c r="AE385" s="51" t="e">
        <f aca="false">IF(Arterial=1,IF(Informed=0,1,0),0)</f>
        <v>#N/A</v>
      </c>
      <c r="AF385" s="44" t="e">
        <f aca="false">IF(AB385=1,(X385-G$1030)^2,0)</f>
        <v>#N/A</v>
      </c>
      <c r="AG385" s="44" t="e">
        <f aca="false">IF(AC385=1,(Y385-H$1030)^2,0)</f>
        <v>#N/A</v>
      </c>
      <c r="AH385" s="44" t="e">
        <f aca="false">IF(AD385=1,(Z385-I$1030)^2,0)</f>
        <v>#N/A</v>
      </c>
      <c r="AI385" s="44" t="e">
        <f aca="false">IF(AE385=1,(AA385-J$1030)^2,0)</f>
        <v>#N/A</v>
      </c>
    </row>
    <row r="386" customFormat="false" ht="12" hidden="false" customHeight="false" outlineLevel="0" collapsed="false">
      <c r="A386" s="29" t="n">
        <v>369</v>
      </c>
      <c r="B386" s="45" t="n">
        <f aca="true">IF(RAND()&lt;$D$8,1,0)</f>
        <v>1</v>
      </c>
      <c r="C386" s="34" t="n">
        <f aca="true">-LN(RAND())/$D$2</f>
        <v>0.314321326759936</v>
      </c>
      <c r="D386" s="46" t="n">
        <f aca="false">D385+C386</f>
        <v>579.83559849638</v>
      </c>
      <c r="E386" s="47" t="e">
        <f aca="false">MAX($D$3,(1+P385-VLOOKUP(VALUE(D386),$J$18:$Q385,7,TRUE()))*$D$3)</f>
        <v>#N/A</v>
      </c>
      <c r="F386" s="47" t="e">
        <f aca="false">MAX($D$4,(1+Q385-VLOOKUP(VALUE(D386),$M$18:$Q385,5,TRUE()))*$D$4)</f>
        <v>#N/A</v>
      </c>
      <c r="G386" s="48" t="n">
        <v>0.5</v>
      </c>
      <c r="H386" s="46" t="e">
        <f aca="true">IF((B386=1),(IF((F386&lt;E386),1,(IF((F386=E386),(IF(RAND()&lt;G386,1,0)),0)))),(IF((RAND()&lt;G386),1,0)))</f>
        <v>#N/A</v>
      </c>
      <c r="I386" s="46" t="e">
        <f aca="true">IF((H386=1),0,$D$3+$D$5*(RAND()-0.5))</f>
        <v>#N/A</v>
      </c>
      <c r="J386" s="46" t="e">
        <f aca="false">I386+MAX(D386,J385)</f>
        <v>#N/A</v>
      </c>
      <c r="K386" s="46" t="e">
        <f aca="false">IF((H386=0),J386-D386,0)</f>
        <v>#N/A</v>
      </c>
      <c r="L386" s="46" t="e">
        <f aca="true">IF(($H386=0),0,$D$4+$D$5*(RAND()-0.5))</f>
        <v>#N/A</v>
      </c>
      <c r="M386" s="46" t="e">
        <f aca="false">L386+MAX(D386,M385)</f>
        <v>#N/A</v>
      </c>
      <c r="N386" s="46" t="e">
        <f aca="false">IF((H386=1),M386-D386,0)</f>
        <v>#N/A</v>
      </c>
      <c r="O386" s="29" t="n">
        <v>369</v>
      </c>
      <c r="P386" s="49" t="e">
        <f aca="false">IF((Arterial=0),P385+1,P385)</f>
        <v>#N/A</v>
      </c>
      <c r="Q386" s="49" t="e">
        <f aca="false">IF((Arterial=1),Q385+1,Q385)</f>
        <v>#N/A</v>
      </c>
      <c r="R386" s="50" t="n">
        <f aca="false">IF((RESET=1),0,R386+K386)</f>
        <v>0</v>
      </c>
      <c r="S386" s="19" t="n">
        <f aca="false">IF(RESET=1,0,S386+N386)</f>
        <v>0</v>
      </c>
      <c r="T386" s="0" t="n">
        <f aca="false">IF(RESET=1,0,T386+IF(H386=0,1,0))</f>
        <v>0</v>
      </c>
      <c r="U386" s="0" t="n">
        <f aca="false">IF(RESET=1,0,U386+H386)</f>
        <v>0</v>
      </c>
      <c r="V386" s="19" t="n">
        <f aca="false">R386/(T386+0.00001)</f>
        <v>0</v>
      </c>
      <c r="W386" s="19" t="n">
        <f aca="false">S386/(U386+0.0001)</f>
        <v>0</v>
      </c>
      <c r="X386" s="47" t="e">
        <f aca="false">IF(Informed=1,K386,0)</f>
        <v>#N/A</v>
      </c>
      <c r="Y386" s="47" t="n">
        <f aca="false">IF(Informed=0,K386,0)</f>
        <v>0</v>
      </c>
      <c r="Z386" s="47" t="e">
        <f aca="false">IF(Informed=1,N386,0)</f>
        <v>#N/A</v>
      </c>
      <c r="AA386" s="47" t="n">
        <f aca="false">IF(Informed=0,N386,0)</f>
        <v>0</v>
      </c>
      <c r="AB386" s="51" t="e">
        <f aca="false">IF(Arterial=0,IF(Informed=1,1,0),0)</f>
        <v>#N/A</v>
      </c>
      <c r="AC386" s="51" t="e">
        <f aca="false">IF(Arterial=0,IF(Informed=0,1,0),0)</f>
        <v>#N/A</v>
      </c>
      <c r="AD386" s="51" t="e">
        <f aca="false">IF(Arterial=1,IF(Informed=1,1,0),0)</f>
        <v>#N/A</v>
      </c>
      <c r="AE386" s="51" t="e">
        <f aca="false">IF(Arterial=1,IF(Informed=0,1,0),0)</f>
        <v>#N/A</v>
      </c>
      <c r="AF386" s="44" t="e">
        <f aca="false">IF(AB386=1,(X386-G$1030)^2,0)</f>
        <v>#N/A</v>
      </c>
      <c r="AG386" s="44" t="e">
        <f aca="false">IF(AC386=1,(Y386-H$1030)^2,0)</f>
        <v>#N/A</v>
      </c>
      <c r="AH386" s="44" t="e">
        <f aca="false">IF(AD386=1,(Z386-I$1030)^2,0)</f>
        <v>#N/A</v>
      </c>
      <c r="AI386" s="44" t="e">
        <f aca="false">IF(AE386=1,(AA386-J$1030)^2,0)</f>
        <v>#N/A</v>
      </c>
    </row>
    <row r="387" customFormat="false" ht="12" hidden="false" customHeight="false" outlineLevel="0" collapsed="false">
      <c r="A387" s="29" t="n">
        <v>370</v>
      </c>
      <c r="B387" s="45" t="n">
        <f aca="true">IF(RAND()&lt;$D$8,1,0)</f>
        <v>1</v>
      </c>
      <c r="C387" s="34" t="n">
        <f aca="true">-LN(RAND())/$D$2</f>
        <v>0.253599785160848</v>
      </c>
      <c r="D387" s="46" t="n">
        <f aca="false">D386+C387</f>
        <v>580.089198281541</v>
      </c>
      <c r="E387" s="47" t="e">
        <f aca="false">MAX($D$3,(1+P386-VLOOKUP(VALUE(D387),$J$18:$Q386,7,TRUE()))*$D$3)</f>
        <v>#N/A</v>
      </c>
      <c r="F387" s="47" t="e">
        <f aca="false">MAX($D$4,(1+Q386-VLOOKUP(VALUE(D387),$M$18:$Q386,5,TRUE()))*$D$4)</f>
        <v>#N/A</v>
      </c>
      <c r="G387" s="48" t="n">
        <v>0.5</v>
      </c>
      <c r="H387" s="46" t="e">
        <f aca="true">IF((B387=1),(IF((F387&lt;E387),1,(IF((F387=E387),(IF(RAND()&lt;G387,1,0)),0)))),(IF((RAND()&lt;G387),1,0)))</f>
        <v>#N/A</v>
      </c>
      <c r="I387" s="46" t="e">
        <f aca="true">IF((H387=1),0,$D$3+$D$5*(RAND()-0.5))</f>
        <v>#N/A</v>
      </c>
      <c r="J387" s="46" t="e">
        <f aca="false">I387+MAX(D387,J386)</f>
        <v>#N/A</v>
      </c>
      <c r="K387" s="46" t="e">
        <f aca="false">IF((H387=0),J387-D387,0)</f>
        <v>#N/A</v>
      </c>
      <c r="L387" s="46" t="e">
        <f aca="true">IF(($H387=0),0,$D$4+$D$5*(RAND()-0.5))</f>
        <v>#N/A</v>
      </c>
      <c r="M387" s="46" t="e">
        <f aca="false">L387+MAX(D387,M386)</f>
        <v>#N/A</v>
      </c>
      <c r="N387" s="46" t="e">
        <f aca="false">IF((H387=1),M387-D387,0)</f>
        <v>#N/A</v>
      </c>
      <c r="O387" s="29" t="n">
        <v>370</v>
      </c>
      <c r="P387" s="49" t="e">
        <f aca="false">IF((Arterial=0),P386+1,P386)</f>
        <v>#N/A</v>
      </c>
      <c r="Q387" s="49" t="e">
        <f aca="false">IF((Arterial=1),Q386+1,Q386)</f>
        <v>#N/A</v>
      </c>
      <c r="R387" s="50" t="n">
        <f aca="false">IF((RESET=1),0,R387+K387)</f>
        <v>0</v>
      </c>
      <c r="S387" s="19" t="n">
        <f aca="false">IF(RESET=1,0,S387+N387)</f>
        <v>0</v>
      </c>
      <c r="T387" s="0" t="n">
        <f aca="false">IF(RESET=1,0,T387+IF(H387=0,1,0))</f>
        <v>0</v>
      </c>
      <c r="U387" s="0" t="n">
        <f aca="false">IF(RESET=1,0,U387+H387)</f>
        <v>0</v>
      </c>
      <c r="V387" s="19" t="n">
        <f aca="false">R387/(T387+0.00001)</f>
        <v>0</v>
      </c>
      <c r="W387" s="19" t="n">
        <f aca="false">S387/(U387+0.0001)</f>
        <v>0</v>
      </c>
      <c r="X387" s="47" t="e">
        <f aca="false">IF(Informed=1,K387,0)</f>
        <v>#N/A</v>
      </c>
      <c r="Y387" s="47" t="n">
        <f aca="false">IF(Informed=0,K387,0)</f>
        <v>0</v>
      </c>
      <c r="Z387" s="47" t="e">
        <f aca="false">IF(Informed=1,N387,0)</f>
        <v>#N/A</v>
      </c>
      <c r="AA387" s="47" t="n">
        <f aca="false">IF(Informed=0,N387,0)</f>
        <v>0</v>
      </c>
      <c r="AB387" s="51" t="e">
        <f aca="false">IF(Arterial=0,IF(Informed=1,1,0),0)</f>
        <v>#N/A</v>
      </c>
      <c r="AC387" s="51" t="e">
        <f aca="false">IF(Arterial=0,IF(Informed=0,1,0),0)</f>
        <v>#N/A</v>
      </c>
      <c r="AD387" s="51" t="e">
        <f aca="false">IF(Arterial=1,IF(Informed=1,1,0),0)</f>
        <v>#N/A</v>
      </c>
      <c r="AE387" s="51" t="e">
        <f aca="false">IF(Arterial=1,IF(Informed=0,1,0),0)</f>
        <v>#N/A</v>
      </c>
      <c r="AF387" s="44" t="e">
        <f aca="false">IF(AB387=1,(X387-G$1030)^2,0)</f>
        <v>#N/A</v>
      </c>
      <c r="AG387" s="44" t="e">
        <f aca="false">IF(AC387=1,(Y387-H$1030)^2,0)</f>
        <v>#N/A</v>
      </c>
      <c r="AH387" s="44" t="e">
        <f aca="false">IF(AD387=1,(Z387-I$1030)^2,0)</f>
        <v>#N/A</v>
      </c>
      <c r="AI387" s="44" t="e">
        <f aca="false">IF(AE387=1,(AA387-J$1030)^2,0)</f>
        <v>#N/A</v>
      </c>
    </row>
    <row r="388" customFormat="false" ht="12" hidden="false" customHeight="false" outlineLevel="0" collapsed="false">
      <c r="A388" s="29" t="n">
        <v>371</v>
      </c>
      <c r="B388" s="45" t="n">
        <f aca="true">IF(RAND()&lt;$D$8,1,0)</f>
        <v>1</v>
      </c>
      <c r="C388" s="34" t="n">
        <f aca="true">-LN(RAND())/$D$2</f>
        <v>0.0982465789108349</v>
      </c>
      <c r="D388" s="46" t="n">
        <f aca="false">D387+C388</f>
        <v>580.187444860451</v>
      </c>
      <c r="E388" s="47" t="e">
        <f aca="false">MAX($D$3,(1+P387-VLOOKUP(VALUE(D388),$J$18:$Q387,7,TRUE()))*$D$3)</f>
        <v>#N/A</v>
      </c>
      <c r="F388" s="47" t="e">
        <f aca="false">MAX($D$4,(1+Q387-VLOOKUP(VALUE(D388),$M$18:$Q387,5,TRUE()))*$D$4)</f>
        <v>#N/A</v>
      </c>
      <c r="G388" s="48" t="n">
        <v>0.5</v>
      </c>
      <c r="H388" s="46" t="e">
        <f aca="true">IF((B388=1),(IF((F388&lt;E388),1,(IF((F388=E388),(IF(RAND()&lt;G388,1,0)),0)))),(IF((RAND()&lt;G388),1,0)))</f>
        <v>#N/A</v>
      </c>
      <c r="I388" s="46" t="e">
        <f aca="true">IF((H388=1),0,$D$3+$D$5*(RAND()-0.5))</f>
        <v>#N/A</v>
      </c>
      <c r="J388" s="46" t="e">
        <f aca="false">I388+MAX(D388,J387)</f>
        <v>#N/A</v>
      </c>
      <c r="K388" s="46" t="e">
        <f aca="false">IF((H388=0),J388-D388,0)</f>
        <v>#N/A</v>
      </c>
      <c r="L388" s="46" t="e">
        <f aca="true">IF(($H388=0),0,$D$4+$D$5*(RAND()-0.5))</f>
        <v>#N/A</v>
      </c>
      <c r="M388" s="46" t="e">
        <f aca="false">L388+MAX(D388,M387)</f>
        <v>#N/A</v>
      </c>
      <c r="N388" s="46" t="e">
        <f aca="false">IF((H388=1),M388-D388,0)</f>
        <v>#N/A</v>
      </c>
      <c r="O388" s="29" t="n">
        <v>371</v>
      </c>
      <c r="P388" s="49" t="e">
        <f aca="false">IF((Arterial=0),P387+1,P387)</f>
        <v>#N/A</v>
      </c>
      <c r="Q388" s="49" t="e">
        <f aca="false">IF((Arterial=1),Q387+1,Q387)</f>
        <v>#N/A</v>
      </c>
      <c r="R388" s="50" t="n">
        <f aca="false">IF((RESET=1),0,R388+K388)</f>
        <v>0</v>
      </c>
      <c r="S388" s="19" t="n">
        <f aca="false">IF(RESET=1,0,S388+N388)</f>
        <v>0</v>
      </c>
      <c r="T388" s="0" t="n">
        <f aca="false">IF(RESET=1,0,T388+IF(H388=0,1,0))</f>
        <v>0</v>
      </c>
      <c r="U388" s="0" t="n">
        <f aca="false">IF(RESET=1,0,U388+H388)</f>
        <v>0</v>
      </c>
      <c r="V388" s="19" t="n">
        <f aca="false">R388/(T388+0.00001)</f>
        <v>0</v>
      </c>
      <c r="W388" s="19" t="n">
        <f aca="false">S388/(U388+0.0001)</f>
        <v>0</v>
      </c>
      <c r="X388" s="47" t="e">
        <f aca="false">IF(Informed=1,K388,0)</f>
        <v>#N/A</v>
      </c>
      <c r="Y388" s="47" t="n">
        <f aca="false">IF(Informed=0,K388,0)</f>
        <v>0</v>
      </c>
      <c r="Z388" s="47" t="e">
        <f aca="false">IF(Informed=1,N388,0)</f>
        <v>#N/A</v>
      </c>
      <c r="AA388" s="47" t="n">
        <f aca="false">IF(Informed=0,N388,0)</f>
        <v>0</v>
      </c>
      <c r="AB388" s="51" t="e">
        <f aca="false">IF(Arterial=0,IF(Informed=1,1,0),0)</f>
        <v>#N/A</v>
      </c>
      <c r="AC388" s="51" t="e">
        <f aca="false">IF(Arterial=0,IF(Informed=0,1,0),0)</f>
        <v>#N/A</v>
      </c>
      <c r="AD388" s="51" t="e">
        <f aca="false">IF(Arterial=1,IF(Informed=1,1,0),0)</f>
        <v>#N/A</v>
      </c>
      <c r="AE388" s="51" t="e">
        <f aca="false">IF(Arterial=1,IF(Informed=0,1,0),0)</f>
        <v>#N/A</v>
      </c>
      <c r="AF388" s="44" t="e">
        <f aca="false">IF(AB388=1,(X388-G$1030)^2,0)</f>
        <v>#N/A</v>
      </c>
      <c r="AG388" s="44" t="e">
        <f aca="false">IF(AC388=1,(Y388-H$1030)^2,0)</f>
        <v>#N/A</v>
      </c>
      <c r="AH388" s="44" t="e">
        <f aca="false">IF(AD388=1,(Z388-I$1030)^2,0)</f>
        <v>#N/A</v>
      </c>
      <c r="AI388" s="44" t="e">
        <f aca="false">IF(AE388=1,(AA388-J$1030)^2,0)</f>
        <v>#N/A</v>
      </c>
    </row>
    <row r="389" customFormat="false" ht="12" hidden="false" customHeight="false" outlineLevel="0" collapsed="false">
      <c r="A389" s="29" t="n">
        <v>372</v>
      </c>
      <c r="B389" s="45" t="n">
        <f aca="true">IF(RAND()&lt;$D$8,1,0)</f>
        <v>1</v>
      </c>
      <c r="C389" s="34" t="n">
        <f aca="true">-LN(RAND())/$D$2</f>
        <v>1.95055454443841</v>
      </c>
      <c r="D389" s="46" t="n">
        <f aca="false">D388+C389</f>
        <v>582.13799940489</v>
      </c>
      <c r="E389" s="47" t="e">
        <f aca="false">MAX($D$3,(1+P388-VLOOKUP(VALUE(D389),$J$18:$Q388,7,TRUE()))*$D$3)</f>
        <v>#N/A</v>
      </c>
      <c r="F389" s="47" t="e">
        <f aca="false">MAX($D$4,(1+Q388-VLOOKUP(VALUE(D389),$M$18:$Q388,5,TRUE()))*$D$4)</f>
        <v>#N/A</v>
      </c>
      <c r="G389" s="48" t="n">
        <v>0.5</v>
      </c>
      <c r="H389" s="46" t="e">
        <f aca="true">IF((B389=1),(IF((F389&lt;E389),1,(IF((F389=E389),(IF(RAND()&lt;G389,1,0)),0)))),(IF((RAND()&lt;G389),1,0)))</f>
        <v>#N/A</v>
      </c>
      <c r="I389" s="46" t="e">
        <f aca="true">IF((H389=1),0,$D$3+$D$5*(RAND()-0.5))</f>
        <v>#N/A</v>
      </c>
      <c r="J389" s="46" t="e">
        <f aca="false">I389+MAX(D389,J388)</f>
        <v>#N/A</v>
      </c>
      <c r="K389" s="46" t="e">
        <f aca="false">IF((H389=0),J389-D389,0)</f>
        <v>#N/A</v>
      </c>
      <c r="L389" s="46" t="e">
        <f aca="true">IF(($H389=0),0,$D$4+$D$5*(RAND()-0.5))</f>
        <v>#N/A</v>
      </c>
      <c r="M389" s="46" t="e">
        <f aca="false">L389+MAX(D389,M388)</f>
        <v>#N/A</v>
      </c>
      <c r="N389" s="46" t="e">
        <f aca="false">IF((H389=1),M389-D389,0)</f>
        <v>#N/A</v>
      </c>
      <c r="O389" s="29" t="n">
        <v>372</v>
      </c>
      <c r="P389" s="49" t="e">
        <f aca="false">IF((Arterial=0),P388+1,P388)</f>
        <v>#N/A</v>
      </c>
      <c r="Q389" s="49" t="e">
        <f aca="false">IF((Arterial=1),Q388+1,Q388)</f>
        <v>#N/A</v>
      </c>
      <c r="R389" s="50" t="n">
        <f aca="false">IF((RESET=1),0,R389+K389)</f>
        <v>0</v>
      </c>
      <c r="S389" s="19" t="n">
        <f aca="false">IF(RESET=1,0,S389+N389)</f>
        <v>0</v>
      </c>
      <c r="T389" s="0" t="n">
        <f aca="false">IF(RESET=1,0,T389+IF(H389=0,1,0))</f>
        <v>0</v>
      </c>
      <c r="U389" s="0" t="n">
        <f aca="false">IF(RESET=1,0,U389+H389)</f>
        <v>0</v>
      </c>
      <c r="V389" s="19" t="n">
        <f aca="false">R389/(T389+0.00001)</f>
        <v>0</v>
      </c>
      <c r="W389" s="19" t="n">
        <f aca="false">S389/(U389+0.0001)</f>
        <v>0</v>
      </c>
      <c r="X389" s="47" t="e">
        <f aca="false">IF(Informed=1,K389,0)</f>
        <v>#N/A</v>
      </c>
      <c r="Y389" s="47" t="n">
        <f aca="false">IF(Informed=0,K389,0)</f>
        <v>0</v>
      </c>
      <c r="Z389" s="47" t="e">
        <f aca="false">IF(Informed=1,N389,0)</f>
        <v>#N/A</v>
      </c>
      <c r="AA389" s="47" t="n">
        <f aca="false">IF(Informed=0,N389,0)</f>
        <v>0</v>
      </c>
      <c r="AB389" s="51" t="e">
        <f aca="false">IF(Arterial=0,IF(Informed=1,1,0),0)</f>
        <v>#N/A</v>
      </c>
      <c r="AC389" s="51" t="e">
        <f aca="false">IF(Arterial=0,IF(Informed=0,1,0),0)</f>
        <v>#N/A</v>
      </c>
      <c r="AD389" s="51" t="e">
        <f aca="false">IF(Arterial=1,IF(Informed=1,1,0),0)</f>
        <v>#N/A</v>
      </c>
      <c r="AE389" s="51" t="e">
        <f aca="false">IF(Arterial=1,IF(Informed=0,1,0),0)</f>
        <v>#N/A</v>
      </c>
      <c r="AF389" s="44" t="e">
        <f aca="false">IF(AB389=1,(X389-G$1030)^2,0)</f>
        <v>#N/A</v>
      </c>
      <c r="AG389" s="44" t="e">
        <f aca="false">IF(AC389=1,(Y389-H$1030)^2,0)</f>
        <v>#N/A</v>
      </c>
      <c r="AH389" s="44" t="e">
        <f aca="false">IF(AD389=1,(Z389-I$1030)^2,0)</f>
        <v>#N/A</v>
      </c>
      <c r="AI389" s="44" t="e">
        <f aca="false">IF(AE389=1,(AA389-J$1030)^2,0)</f>
        <v>#N/A</v>
      </c>
    </row>
    <row r="390" customFormat="false" ht="12" hidden="false" customHeight="false" outlineLevel="0" collapsed="false">
      <c r="A390" s="29" t="n">
        <v>373</v>
      </c>
      <c r="B390" s="45" t="n">
        <f aca="true">IF(RAND()&lt;$D$8,1,0)</f>
        <v>1</v>
      </c>
      <c r="C390" s="34" t="n">
        <f aca="true">-LN(RAND())/$D$2</f>
        <v>0.590980199149692</v>
      </c>
      <c r="D390" s="46" t="n">
        <f aca="false">D389+C390</f>
        <v>582.728979604039</v>
      </c>
      <c r="E390" s="47" t="e">
        <f aca="false">MAX($D$3,(1+P389-VLOOKUP(VALUE(D390),$J$18:$Q389,7,TRUE()))*$D$3)</f>
        <v>#N/A</v>
      </c>
      <c r="F390" s="47" t="e">
        <f aca="false">MAX($D$4,(1+Q389-VLOOKUP(VALUE(D390),$M$18:$Q389,5,TRUE()))*$D$4)</f>
        <v>#N/A</v>
      </c>
      <c r="G390" s="48" t="n">
        <v>0.5</v>
      </c>
      <c r="H390" s="46" t="e">
        <f aca="true">IF((B390=1),(IF((F390&lt;E390),1,(IF((F390=E390),(IF(RAND()&lt;G390,1,0)),0)))),(IF((RAND()&lt;G390),1,0)))</f>
        <v>#N/A</v>
      </c>
      <c r="I390" s="46" t="e">
        <f aca="true">IF((H390=1),0,$D$3+$D$5*(RAND()-0.5))</f>
        <v>#N/A</v>
      </c>
      <c r="J390" s="46" t="e">
        <f aca="false">I390+MAX(D390,J389)</f>
        <v>#N/A</v>
      </c>
      <c r="K390" s="46" t="e">
        <f aca="false">IF((H390=0),J390-D390,0)</f>
        <v>#N/A</v>
      </c>
      <c r="L390" s="46" t="e">
        <f aca="true">IF(($H390=0),0,$D$4+$D$5*(RAND()-0.5))</f>
        <v>#N/A</v>
      </c>
      <c r="M390" s="46" t="e">
        <f aca="false">L390+MAX(D390,M389)</f>
        <v>#N/A</v>
      </c>
      <c r="N390" s="46" t="e">
        <f aca="false">IF((H390=1),M390-D390,0)</f>
        <v>#N/A</v>
      </c>
      <c r="O390" s="29" t="n">
        <v>373</v>
      </c>
      <c r="P390" s="49" t="e">
        <f aca="false">IF((Arterial=0),P389+1,P389)</f>
        <v>#N/A</v>
      </c>
      <c r="Q390" s="49" t="e">
        <f aca="false">IF((Arterial=1),Q389+1,Q389)</f>
        <v>#N/A</v>
      </c>
      <c r="R390" s="50" t="n">
        <f aca="false">IF((RESET=1),0,R390+K390)</f>
        <v>0</v>
      </c>
      <c r="S390" s="19" t="n">
        <f aca="false">IF(RESET=1,0,S390+N390)</f>
        <v>0</v>
      </c>
      <c r="T390" s="0" t="n">
        <f aca="false">IF(RESET=1,0,T390+IF(H390=0,1,0))</f>
        <v>0</v>
      </c>
      <c r="U390" s="0" t="n">
        <f aca="false">IF(RESET=1,0,U390+H390)</f>
        <v>0</v>
      </c>
      <c r="V390" s="19" t="n">
        <f aca="false">R390/(T390+0.00001)</f>
        <v>0</v>
      </c>
      <c r="W390" s="19" t="n">
        <f aca="false">S390/(U390+0.0001)</f>
        <v>0</v>
      </c>
      <c r="X390" s="47" t="e">
        <f aca="false">IF(Informed=1,K390,0)</f>
        <v>#N/A</v>
      </c>
      <c r="Y390" s="47" t="n">
        <f aca="false">IF(Informed=0,K390,0)</f>
        <v>0</v>
      </c>
      <c r="Z390" s="47" t="e">
        <f aca="false">IF(Informed=1,N390,0)</f>
        <v>#N/A</v>
      </c>
      <c r="AA390" s="47" t="n">
        <f aca="false">IF(Informed=0,N390,0)</f>
        <v>0</v>
      </c>
      <c r="AB390" s="51" t="e">
        <f aca="false">IF(Arterial=0,IF(Informed=1,1,0),0)</f>
        <v>#N/A</v>
      </c>
      <c r="AC390" s="51" t="e">
        <f aca="false">IF(Arterial=0,IF(Informed=0,1,0),0)</f>
        <v>#N/A</v>
      </c>
      <c r="AD390" s="51" t="e">
        <f aca="false">IF(Arterial=1,IF(Informed=1,1,0),0)</f>
        <v>#N/A</v>
      </c>
      <c r="AE390" s="51" t="e">
        <f aca="false">IF(Arterial=1,IF(Informed=0,1,0),0)</f>
        <v>#N/A</v>
      </c>
      <c r="AF390" s="44" t="e">
        <f aca="false">IF(AB390=1,(X390-G$1030)^2,0)</f>
        <v>#N/A</v>
      </c>
      <c r="AG390" s="44" t="e">
        <f aca="false">IF(AC390=1,(Y390-H$1030)^2,0)</f>
        <v>#N/A</v>
      </c>
      <c r="AH390" s="44" t="e">
        <f aca="false">IF(AD390=1,(Z390-I$1030)^2,0)</f>
        <v>#N/A</v>
      </c>
      <c r="AI390" s="44" t="e">
        <f aca="false">IF(AE390=1,(AA390-J$1030)^2,0)</f>
        <v>#N/A</v>
      </c>
    </row>
    <row r="391" customFormat="false" ht="12" hidden="false" customHeight="false" outlineLevel="0" collapsed="false">
      <c r="A391" s="29" t="n">
        <v>374</v>
      </c>
      <c r="B391" s="45" t="n">
        <f aca="true">IF(RAND()&lt;$D$8,1,0)</f>
        <v>1</v>
      </c>
      <c r="C391" s="34" t="n">
        <f aca="true">-LN(RAND())/$D$2</f>
        <v>3.92940464375411</v>
      </c>
      <c r="D391" s="46" t="n">
        <f aca="false">D390+C391</f>
        <v>586.658384247794</v>
      </c>
      <c r="E391" s="47" t="e">
        <f aca="false">MAX($D$3,(1+P390-VLOOKUP(VALUE(D391),$J$18:$Q390,7,TRUE()))*$D$3)</f>
        <v>#N/A</v>
      </c>
      <c r="F391" s="47" t="e">
        <f aca="false">MAX($D$4,(1+Q390-VLOOKUP(VALUE(D391),$M$18:$Q390,5,TRUE()))*$D$4)</f>
        <v>#N/A</v>
      </c>
      <c r="G391" s="48" t="n">
        <v>0.5</v>
      </c>
      <c r="H391" s="46" t="e">
        <f aca="true">IF((B391=1),(IF((F391&lt;E391),1,(IF((F391=E391),(IF(RAND()&lt;G391,1,0)),0)))),(IF((RAND()&lt;G391),1,0)))</f>
        <v>#N/A</v>
      </c>
      <c r="I391" s="46" t="e">
        <f aca="true">IF((H391=1),0,$D$3+$D$5*(RAND()-0.5))</f>
        <v>#N/A</v>
      </c>
      <c r="J391" s="46" t="e">
        <f aca="false">I391+MAX(D391,J390)</f>
        <v>#N/A</v>
      </c>
      <c r="K391" s="46" t="e">
        <f aca="false">IF((H391=0),J391-D391,0)</f>
        <v>#N/A</v>
      </c>
      <c r="L391" s="46" t="e">
        <f aca="true">IF(($H391=0),0,$D$4+$D$5*(RAND()-0.5))</f>
        <v>#N/A</v>
      </c>
      <c r="M391" s="46" t="e">
        <f aca="false">L391+MAX(D391,M390)</f>
        <v>#N/A</v>
      </c>
      <c r="N391" s="46" t="e">
        <f aca="false">IF((H391=1),M391-D391,0)</f>
        <v>#N/A</v>
      </c>
      <c r="O391" s="29" t="n">
        <v>374</v>
      </c>
      <c r="P391" s="49" t="e">
        <f aca="false">IF((Arterial=0),P390+1,P390)</f>
        <v>#N/A</v>
      </c>
      <c r="Q391" s="49" t="e">
        <f aca="false">IF((Arterial=1),Q390+1,Q390)</f>
        <v>#N/A</v>
      </c>
      <c r="R391" s="50" t="n">
        <f aca="false">IF((RESET=1),0,R391+K391)</f>
        <v>0</v>
      </c>
      <c r="S391" s="19" t="n">
        <f aca="false">IF(RESET=1,0,S391+N391)</f>
        <v>0</v>
      </c>
      <c r="T391" s="0" t="n">
        <f aca="false">IF(RESET=1,0,T391+IF(H391=0,1,0))</f>
        <v>0</v>
      </c>
      <c r="U391" s="0" t="n">
        <f aca="false">IF(RESET=1,0,U391+H391)</f>
        <v>0</v>
      </c>
      <c r="V391" s="19" t="n">
        <f aca="false">R391/(T391+0.00001)</f>
        <v>0</v>
      </c>
      <c r="W391" s="19" t="n">
        <f aca="false">S391/(U391+0.0001)</f>
        <v>0</v>
      </c>
      <c r="X391" s="47" t="e">
        <f aca="false">IF(Informed=1,K391,0)</f>
        <v>#N/A</v>
      </c>
      <c r="Y391" s="47" t="n">
        <f aca="false">IF(Informed=0,K391,0)</f>
        <v>0</v>
      </c>
      <c r="Z391" s="47" t="e">
        <f aca="false">IF(Informed=1,N391,0)</f>
        <v>#N/A</v>
      </c>
      <c r="AA391" s="47" t="n">
        <f aca="false">IF(Informed=0,N391,0)</f>
        <v>0</v>
      </c>
      <c r="AB391" s="51" t="e">
        <f aca="false">IF(Arterial=0,IF(Informed=1,1,0),0)</f>
        <v>#N/A</v>
      </c>
      <c r="AC391" s="51" t="e">
        <f aca="false">IF(Arterial=0,IF(Informed=0,1,0),0)</f>
        <v>#N/A</v>
      </c>
      <c r="AD391" s="51" t="e">
        <f aca="false">IF(Arterial=1,IF(Informed=1,1,0),0)</f>
        <v>#N/A</v>
      </c>
      <c r="AE391" s="51" t="e">
        <f aca="false">IF(Arterial=1,IF(Informed=0,1,0),0)</f>
        <v>#N/A</v>
      </c>
      <c r="AF391" s="44" t="e">
        <f aca="false">IF(AB391=1,(X391-G$1030)^2,0)</f>
        <v>#N/A</v>
      </c>
      <c r="AG391" s="44" t="e">
        <f aca="false">IF(AC391=1,(Y391-H$1030)^2,0)</f>
        <v>#N/A</v>
      </c>
      <c r="AH391" s="44" t="e">
        <f aca="false">IF(AD391=1,(Z391-I$1030)^2,0)</f>
        <v>#N/A</v>
      </c>
      <c r="AI391" s="44" t="e">
        <f aca="false">IF(AE391=1,(AA391-J$1030)^2,0)</f>
        <v>#N/A</v>
      </c>
    </row>
    <row r="392" customFormat="false" ht="12" hidden="false" customHeight="false" outlineLevel="0" collapsed="false">
      <c r="A392" s="29" t="n">
        <v>375</v>
      </c>
      <c r="B392" s="45" t="n">
        <f aca="true">IF(RAND()&lt;$D$8,1,0)</f>
        <v>1</v>
      </c>
      <c r="C392" s="34" t="n">
        <f aca="true">-LN(RAND())/$D$2</f>
        <v>7.96855098015492</v>
      </c>
      <c r="D392" s="46" t="n">
        <f aca="false">D391+C392</f>
        <v>594.626935227948</v>
      </c>
      <c r="E392" s="47" t="e">
        <f aca="false">MAX($D$3,(1+P391-VLOOKUP(VALUE(D392),$J$18:$Q391,7,TRUE()))*$D$3)</f>
        <v>#N/A</v>
      </c>
      <c r="F392" s="47" t="e">
        <f aca="false">MAX($D$4,(1+Q391-VLOOKUP(VALUE(D392),$M$18:$Q391,5,TRUE()))*$D$4)</f>
        <v>#N/A</v>
      </c>
      <c r="G392" s="48" t="n">
        <v>0.5</v>
      </c>
      <c r="H392" s="46" t="e">
        <f aca="true">IF((B392=1),(IF((F392&lt;E392),1,(IF((F392=E392),(IF(RAND()&lt;G392,1,0)),0)))),(IF((RAND()&lt;G392),1,0)))</f>
        <v>#N/A</v>
      </c>
      <c r="I392" s="46" t="e">
        <f aca="true">IF((H392=1),0,$D$3+$D$5*(RAND()-0.5))</f>
        <v>#N/A</v>
      </c>
      <c r="J392" s="46" t="e">
        <f aca="false">I392+MAX(D392,J391)</f>
        <v>#N/A</v>
      </c>
      <c r="K392" s="46" t="e">
        <f aca="false">IF((H392=0),J392-D392,0)</f>
        <v>#N/A</v>
      </c>
      <c r="L392" s="46" t="e">
        <f aca="true">IF(($H392=0),0,$D$4+$D$5*(RAND()-0.5))</f>
        <v>#N/A</v>
      </c>
      <c r="M392" s="46" t="e">
        <f aca="false">L392+MAX(D392,M391)</f>
        <v>#N/A</v>
      </c>
      <c r="N392" s="46" t="e">
        <f aca="false">IF((H392=1),M392-D392,0)</f>
        <v>#N/A</v>
      </c>
      <c r="O392" s="29" t="n">
        <v>375</v>
      </c>
      <c r="P392" s="49" t="e">
        <f aca="false">IF((Arterial=0),P391+1,P391)</f>
        <v>#N/A</v>
      </c>
      <c r="Q392" s="49" t="e">
        <f aca="false">IF((Arterial=1),Q391+1,Q391)</f>
        <v>#N/A</v>
      </c>
      <c r="R392" s="50" t="n">
        <f aca="false">IF((RESET=1),0,R392+K392)</f>
        <v>0</v>
      </c>
      <c r="S392" s="19" t="n">
        <f aca="false">IF(RESET=1,0,S392+N392)</f>
        <v>0</v>
      </c>
      <c r="T392" s="0" t="n">
        <f aca="false">IF(RESET=1,0,T392+IF(H392=0,1,0))</f>
        <v>0</v>
      </c>
      <c r="U392" s="0" t="n">
        <f aca="false">IF(RESET=1,0,U392+H392)</f>
        <v>0</v>
      </c>
      <c r="V392" s="19" t="n">
        <f aca="false">R392/(T392+0.00001)</f>
        <v>0</v>
      </c>
      <c r="W392" s="19" t="n">
        <f aca="false">S392/(U392+0.0001)</f>
        <v>0</v>
      </c>
      <c r="X392" s="47" t="e">
        <f aca="false">IF(Informed=1,K392,0)</f>
        <v>#N/A</v>
      </c>
      <c r="Y392" s="47" t="n">
        <f aca="false">IF(Informed=0,K392,0)</f>
        <v>0</v>
      </c>
      <c r="Z392" s="47" t="e">
        <f aca="false">IF(Informed=1,N392,0)</f>
        <v>#N/A</v>
      </c>
      <c r="AA392" s="47" t="n">
        <f aca="false">IF(Informed=0,N392,0)</f>
        <v>0</v>
      </c>
      <c r="AB392" s="51" t="e">
        <f aca="false">IF(Arterial=0,IF(Informed=1,1,0),0)</f>
        <v>#N/A</v>
      </c>
      <c r="AC392" s="51" t="e">
        <f aca="false">IF(Arterial=0,IF(Informed=0,1,0),0)</f>
        <v>#N/A</v>
      </c>
      <c r="AD392" s="51" t="e">
        <f aca="false">IF(Arterial=1,IF(Informed=1,1,0),0)</f>
        <v>#N/A</v>
      </c>
      <c r="AE392" s="51" t="e">
        <f aca="false">IF(Arterial=1,IF(Informed=0,1,0),0)</f>
        <v>#N/A</v>
      </c>
      <c r="AF392" s="44" t="e">
        <f aca="false">IF(AB392=1,(X392-G$1030)^2,0)</f>
        <v>#N/A</v>
      </c>
      <c r="AG392" s="44" t="e">
        <f aca="false">IF(AC392=1,(Y392-H$1030)^2,0)</f>
        <v>#N/A</v>
      </c>
      <c r="AH392" s="44" t="e">
        <f aca="false">IF(AD392=1,(Z392-I$1030)^2,0)</f>
        <v>#N/A</v>
      </c>
      <c r="AI392" s="44" t="e">
        <f aca="false">IF(AE392=1,(AA392-J$1030)^2,0)</f>
        <v>#N/A</v>
      </c>
    </row>
    <row r="393" customFormat="false" ht="12" hidden="false" customHeight="false" outlineLevel="0" collapsed="false">
      <c r="A393" s="29" t="n">
        <v>376</v>
      </c>
      <c r="B393" s="45" t="n">
        <f aca="true">IF(RAND()&lt;$D$8,1,0)</f>
        <v>1</v>
      </c>
      <c r="C393" s="34" t="n">
        <f aca="true">-LN(RAND())/$D$2</f>
        <v>0.0371657072928815</v>
      </c>
      <c r="D393" s="46" t="n">
        <f aca="false">D392+C393</f>
        <v>594.664100935241</v>
      </c>
      <c r="E393" s="47" t="e">
        <f aca="false">MAX($D$3,(1+P392-VLOOKUP(VALUE(D393),$J$18:$Q392,7,TRUE()))*$D$3)</f>
        <v>#N/A</v>
      </c>
      <c r="F393" s="47" t="e">
        <f aca="false">MAX($D$4,(1+Q392-VLOOKUP(VALUE(D393),$M$18:$Q392,5,TRUE()))*$D$4)</f>
        <v>#N/A</v>
      </c>
      <c r="G393" s="48" t="n">
        <v>0.5</v>
      </c>
      <c r="H393" s="46" t="e">
        <f aca="true">IF((B393=1),(IF((F393&lt;E393),1,(IF((F393=E393),(IF(RAND()&lt;G393,1,0)),0)))),(IF((RAND()&lt;G393),1,0)))</f>
        <v>#N/A</v>
      </c>
      <c r="I393" s="46" t="e">
        <f aca="true">IF((H393=1),0,$D$3+$D$5*(RAND()-0.5))</f>
        <v>#N/A</v>
      </c>
      <c r="J393" s="46" t="e">
        <f aca="false">I393+MAX(D393,J392)</f>
        <v>#N/A</v>
      </c>
      <c r="K393" s="46" t="e">
        <f aca="false">IF((H393=0),J393-D393,0)</f>
        <v>#N/A</v>
      </c>
      <c r="L393" s="46" t="e">
        <f aca="true">IF(($H393=0),0,$D$4+$D$5*(RAND()-0.5))</f>
        <v>#N/A</v>
      </c>
      <c r="M393" s="46" t="e">
        <f aca="false">L393+MAX(D393,M392)</f>
        <v>#N/A</v>
      </c>
      <c r="N393" s="46" t="e">
        <f aca="false">IF((H393=1),M393-D393,0)</f>
        <v>#N/A</v>
      </c>
      <c r="O393" s="29" t="n">
        <v>376</v>
      </c>
      <c r="P393" s="49" t="e">
        <f aca="false">IF((Arterial=0),P392+1,P392)</f>
        <v>#N/A</v>
      </c>
      <c r="Q393" s="49" t="e">
        <f aca="false">IF((Arterial=1),Q392+1,Q392)</f>
        <v>#N/A</v>
      </c>
      <c r="R393" s="50" t="n">
        <f aca="false">IF((RESET=1),0,R393+K393)</f>
        <v>0</v>
      </c>
      <c r="S393" s="19" t="n">
        <f aca="false">IF(RESET=1,0,S393+N393)</f>
        <v>0</v>
      </c>
      <c r="T393" s="0" t="n">
        <f aca="false">IF(RESET=1,0,T393+IF(H393=0,1,0))</f>
        <v>0</v>
      </c>
      <c r="U393" s="0" t="n">
        <f aca="false">IF(RESET=1,0,U393+H393)</f>
        <v>0</v>
      </c>
      <c r="V393" s="19" t="n">
        <f aca="false">R393/(T393+0.00001)</f>
        <v>0</v>
      </c>
      <c r="W393" s="19" t="n">
        <f aca="false">S393/(U393+0.0001)</f>
        <v>0</v>
      </c>
      <c r="X393" s="47" t="e">
        <f aca="false">IF(Informed=1,K393,0)</f>
        <v>#N/A</v>
      </c>
      <c r="Y393" s="47" t="n">
        <f aca="false">IF(Informed=0,K393,0)</f>
        <v>0</v>
      </c>
      <c r="Z393" s="47" t="e">
        <f aca="false">IF(Informed=1,N393,0)</f>
        <v>#N/A</v>
      </c>
      <c r="AA393" s="47" t="n">
        <f aca="false">IF(Informed=0,N393,0)</f>
        <v>0</v>
      </c>
      <c r="AB393" s="51" t="e">
        <f aca="false">IF(Arterial=0,IF(Informed=1,1,0),0)</f>
        <v>#N/A</v>
      </c>
      <c r="AC393" s="51" t="e">
        <f aca="false">IF(Arterial=0,IF(Informed=0,1,0),0)</f>
        <v>#N/A</v>
      </c>
      <c r="AD393" s="51" t="e">
        <f aca="false">IF(Arterial=1,IF(Informed=1,1,0),0)</f>
        <v>#N/A</v>
      </c>
      <c r="AE393" s="51" t="e">
        <f aca="false">IF(Arterial=1,IF(Informed=0,1,0),0)</f>
        <v>#N/A</v>
      </c>
      <c r="AF393" s="44" t="e">
        <f aca="false">IF(AB393=1,(X393-G$1030)^2,0)</f>
        <v>#N/A</v>
      </c>
      <c r="AG393" s="44" t="e">
        <f aca="false">IF(AC393=1,(Y393-H$1030)^2,0)</f>
        <v>#N/A</v>
      </c>
      <c r="AH393" s="44" t="e">
        <f aca="false">IF(AD393=1,(Z393-I$1030)^2,0)</f>
        <v>#N/A</v>
      </c>
      <c r="AI393" s="44" t="e">
        <f aca="false">IF(AE393=1,(AA393-J$1030)^2,0)</f>
        <v>#N/A</v>
      </c>
    </row>
    <row r="394" customFormat="false" ht="12" hidden="false" customHeight="false" outlineLevel="0" collapsed="false">
      <c r="A394" s="29" t="n">
        <v>377</v>
      </c>
      <c r="B394" s="45" t="n">
        <f aca="true">IF(RAND()&lt;$D$8,1,0)</f>
        <v>1</v>
      </c>
      <c r="C394" s="34" t="n">
        <f aca="true">-LN(RAND())/$D$2</f>
        <v>0.589632213498952</v>
      </c>
      <c r="D394" s="46" t="n">
        <f aca="false">D393+C394</f>
        <v>595.25373314874</v>
      </c>
      <c r="E394" s="47" t="e">
        <f aca="false">MAX($D$3,(1+P393-VLOOKUP(VALUE(D394),$J$18:$Q393,7,TRUE()))*$D$3)</f>
        <v>#N/A</v>
      </c>
      <c r="F394" s="47" t="e">
        <f aca="false">MAX($D$4,(1+Q393-VLOOKUP(VALUE(D394),$M$18:$Q393,5,TRUE()))*$D$4)</f>
        <v>#N/A</v>
      </c>
      <c r="G394" s="48" t="n">
        <v>0.5</v>
      </c>
      <c r="H394" s="46" t="e">
        <f aca="true">IF((B394=1),(IF((F394&lt;E394),1,(IF((F394=E394),(IF(RAND()&lt;G394,1,0)),0)))),(IF((RAND()&lt;G394),1,0)))</f>
        <v>#N/A</v>
      </c>
      <c r="I394" s="46" t="e">
        <f aca="true">IF((H394=1),0,$D$3+$D$5*(RAND()-0.5))</f>
        <v>#N/A</v>
      </c>
      <c r="J394" s="46" t="e">
        <f aca="false">I394+MAX(D394,J393)</f>
        <v>#N/A</v>
      </c>
      <c r="K394" s="46" t="e">
        <f aca="false">IF((H394=0),J394-D394,0)</f>
        <v>#N/A</v>
      </c>
      <c r="L394" s="46" t="e">
        <f aca="true">IF(($H394=0),0,$D$4+$D$5*(RAND()-0.5))</f>
        <v>#N/A</v>
      </c>
      <c r="M394" s="46" t="e">
        <f aca="false">L394+MAX(D394,M393)</f>
        <v>#N/A</v>
      </c>
      <c r="N394" s="46" t="e">
        <f aca="false">IF((H394=1),M394-D394,0)</f>
        <v>#N/A</v>
      </c>
      <c r="O394" s="29" t="n">
        <v>377</v>
      </c>
      <c r="P394" s="49" t="e">
        <f aca="false">IF((Arterial=0),P393+1,P393)</f>
        <v>#N/A</v>
      </c>
      <c r="Q394" s="49" t="e">
        <f aca="false">IF((Arterial=1),Q393+1,Q393)</f>
        <v>#N/A</v>
      </c>
      <c r="R394" s="50" t="n">
        <f aca="false">IF((RESET=1),0,R394+K394)</f>
        <v>0</v>
      </c>
      <c r="S394" s="19" t="n">
        <f aca="false">IF(RESET=1,0,S394+N394)</f>
        <v>0</v>
      </c>
      <c r="T394" s="0" t="n">
        <f aca="false">IF(RESET=1,0,T394+IF(H394=0,1,0))</f>
        <v>0</v>
      </c>
      <c r="U394" s="0" t="n">
        <f aca="false">IF(RESET=1,0,U394+H394)</f>
        <v>0</v>
      </c>
      <c r="V394" s="19" t="n">
        <f aca="false">R394/(T394+0.00001)</f>
        <v>0</v>
      </c>
      <c r="W394" s="19" t="n">
        <f aca="false">S394/(U394+0.0001)</f>
        <v>0</v>
      </c>
      <c r="X394" s="47" t="e">
        <f aca="false">IF(Informed=1,K394,0)</f>
        <v>#N/A</v>
      </c>
      <c r="Y394" s="47" t="n">
        <f aca="false">IF(Informed=0,K394,0)</f>
        <v>0</v>
      </c>
      <c r="Z394" s="47" t="e">
        <f aca="false">IF(Informed=1,N394,0)</f>
        <v>#N/A</v>
      </c>
      <c r="AA394" s="47" t="n">
        <f aca="false">IF(Informed=0,N394,0)</f>
        <v>0</v>
      </c>
      <c r="AB394" s="51" t="e">
        <f aca="false">IF(Arterial=0,IF(Informed=1,1,0),0)</f>
        <v>#N/A</v>
      </c>
      <c r="AC394" s="51" t="e">
        <f aca="false">IF(Arterial=0,IF(Informed=0,1,0),0)</f>
        <v>#N/A</v>
      </c>
      <c r="AD394" s="51" t="e">
        <f aca="false">IF(Arterial=1,IF(Informed=1,1,0),0)</f>
        <v>#N/A</v>
      </c>
      <c r="AE394" s="51" t="e">
        <f aca="false">IF(Arterial=1,IF(Informed=0,1,0),0)</f>
        <v>#N/A</v>
      </c>
      <c r="AF394" s="44" t="e">
        <f aca="false">IF(AB394=1,(X394-G$1030)^2,0)</f>
        <v>#N/A</v>
      </c>
      <c r="AG394" s="44" t="e">
        <f aca="false">IF(AC394=1,(Y394-H$1030)^2,0)</f>
        <v>#N/A</v>
      </c>
      <c r="AH394" s="44" t="e">
        <f aca="false">IF(AD394=1,(Z394-I$1030)^2,0)</f>
        <v>#N/A</v>
      </c>
      <c r="AI394" s="44" t="e">
        <f aca="false">IF(AE394=1,(AA394-J$1030)^2,0)</f>
        <v>#N/A</v>
      </c>
    </row>
    <row r="395" customFormat="false" ht="12" hidden="false" customHeight="false" outlineLevel="0" collapsed="false">
      <c r="A395" s="29" t="n">
        <v>378</v>
      </c>
      <c r="B395" s="45" t="n">
        <f aca="true">IF(RAND()&lt;$D$8,1,0)</f>
        <v>1</v>
      </c>
      <c r="C395" s="34" t="n">
        <f aca="true">-LN(RAND())/$D$2</f>
        <v>1.97625619972743</v>
      </c>
      <c r="D395" s="46" t="n">
        <f aca="false">D394+C395</f>
        <v>597.229989348468</v>
      </c>
      <c r="E395" s="47" t="e">
        <f aca="false">MAX($D$3,(1+P394-VLOOKUP(VALUE(D395),$J$18:$Q394,7,TRUE()))*$D$3)</f>
        <v>#N/A</v>
      </c>
      <c r="F395" s="47" t="e">
        <f aca="false">MAX($D$4,(1+Q394-VLOOKUP(VALUE(D395),$M$18:$Q394,5,TRUE()))*$D$4)</f>
        <v>#N/A</v>
      </c>
      <c r="G395" s="48" t="n">
        <v>0.5</v>
      </c>
      <c r="H395" s="46" t="e">
        <f aca="true">IF((B395=1),(IF((F395&lt;E395),1,(IF((F395=E395),(IF(RAND()&lt;G395,1,0)),0)))),(IF((RAND()&lt;G395),1,0)))</f>
        <v>#N/A</v>
      </c>
      <c r="I395" s="46" t="e">
        <f aca="true">IF((H395=1),0,$D$3+$D$5*(RAND()-0.5))</f>
        <v>#N/A</v>
      </c>
      <c r="J395" s="46" t="e">
        <f aca="false">I395+MAX(D395,J394)</f>
        <v>#N/A</v>
      </c>
      <c r="K395" s="46" t="e">
        <f aca="false">IF((H395=0),J395-D395,0)</f>
        <v>#N/A</v>
      </c>
      <c r="L395" s="46" t="e">
        <f aca="true">IF(($H395=0),0,$D$4+$D$5*(RAND()-0.5))</f>
        <v>#N/A</v>
      </c>
      <c r="M395" s="46" t="e">
        <f aca="false">L395+MAX(D395,M394)</f>
        <v>#N/A</v>
      </c>
      <c r="N395" s="46" t="e">
        <f aca="false">IF((H395=1),M395-D395,0)</f>
        <v>#N/A</v>
      </c>
      <c r="O395" s="29" t="n">
        <v>378</v>
      </c>
      <c r="P395" s="49" t="e">
        <f aca="false">IF((Arterial=0),P394+1,P394)</f>
        <v>#N/A</v>
      </c>
      <c r="Q395" s="49" t="e">
        <f aca="false">IF((Arterial=1),Q394+1,Q394)</f>
        <v>#N/A</v>
      </c>
      <c r="R395" s="50" t="n">
        <f aca="false">IF((RESET=1),0,R395+K395)</f>
        <v>0</v>
      </c>
      <c r="S395" s="19" t="n">
        <f aca="false">IF(RESET=1,0,S395+N395)</f>
        <v>0</v>
      </c>
      <c r="T395" s="0" t="n">
        <f aca="false">IF(RESET=1,0,T395+IF(H395=0,1,0))</f>
        <v>0</v>
      </c>
      <c r="U395" s="0" t="n">
        <f aca="false">IF(RESET=1,0,U395+H395)</f>
        <v>0</v>
      </c>
      <c r="V395" s="19" t="n">
        <f aca="false">R395/(T395+0.00001)</f>
        <v>0</v>
      </c>
      <c r="W395" s="19" t="n">
        <f aca="false">S395/(U395+0.0001)</f>
        <v>0</v>
      </c>
      <c r="X395" s="47" t="e">
        <f aca="false">IF(Informed=1,K395,0)</f>
        <v>#N/A</v>
      </c>
      <c r="Y395" s="47" t="n">
        <f aca="false">IF(Informed=0,K395,0)</f>
        <v>0</v>
      </c>
      <c r="Z395" s="47" t="e">
        <f aca="false">IF(Informed=1,N395,0)</f>
        <v>#N/A</v>
      </c>
      <c r="AA395" s="47" t="n">
        <f aca="false">IF(Informed=0,N395,0)</f>
        <v>0</v>
      </c>
      <c r="AB395" s="51" t="e">
        <f aca="false">IF(Arterial=0,IF(Informed=1,1,0),0)</f>
        <v>#N/A</v>
      </c>
      <c r="AC395" s="51" t="e">
        <f aca="false">IF(Arterial=0,IF(Informed=0,1,0),0)</f>
        <v>#N/A</v>
      </c>
      <c r="AD395" s="51" t="e">
        <f aca="false">IF(Arterial=1,IF(Informed=1,1,0),0)</f>
        <v>#N/A</v>
      </c>
      <c r="AE395" s="51" t="e">
        <f aca="false">IF(Arterial=1,IF(Informed=0,1,0),0)</f>
        <v>#N/A</v>
      </c>
      <c r="AF395" s="44" t="e">
        <f aca="false">IF(AB395=1,(X395-G$1030)^2,0)</f>
        <v>#N/A</v>
      </c>
      <c r="AG395" s="44" t="e">
        <f aca="false">IF(AC395=1,(Y395-H$1030)^2,0)</f>
        <v>#N/A</v>
      </c>
      <c r="AH395" s="44" t="e">
        <f aca="false">IF(AD395=1,(Z395-I$1030)^2,0)</f>
        <v>#N/A</v>
      </c>
      <c r="AI395" s="44" t="e">
        <f aca="false">IF(AE395=1,(AA395-J$1030)^2,0)</f>
        <v>#N/A</v>
      </c>
    </row>
    <row r="396" customFormat="false" ht="12" hidden="false" customHeight="false" outlineLevel="0" collapsed="false">
      <c r="A396" s="29" t="n">
        <v>379</v>
      </c>
      <c r="B396" s="45" t="n">
        <f aca="true">IF(RAND()&lt;$D$8,1,0)</f>
        <v>1</v>
      </c>
      <c r="C396" s="34" t="n">
        <f aca="true">-LN(RAND())/$D$2</f>
        <v>1.09585314080819</v>
      </c>
      <c r="D396" s="46" t="n">
        <f aca="false">D395+C396</f>
        <v>598.325842489276</v>
      </c>
      <c r="E396" s="47" t="e">
        <f aca="false">MAX($D$3,(1+P395-VLOOKUP(VALUE(D396),$J$18:$Q395,7,TRUE()))*$D$3)</f>
        <v>#N/A</v>
      </c>
      <c r="F396" s="47" t="e">
        <f aca="false">MAX($D$4,(1+Q395-VLOOKUP(VALUE(D396),$M$18:$Q395,5,TRUE()))*$D$4)</f>
        <v>#N/A</v>
      </c>
      <c r="G396" s="48" t="n">
        <v>0.5</v>
      </c>
      <c r="H396" s="46" t="e">
        <f aca="true">IF((B396=1),(IF((F396&lt;E396),1,(IF((F396=E396),(IF(RAND()&lt;G396,1,0)),0)))),(IF((RAND()&lt;G396),1,0)))</f>
        <v>#N/A</v>
      </c>
      <c r="I396" s="46" t="e">
        <f aca="true">IF((H396=1),0,$D$3+$D$5*(RAND()-0.5))</f>
        <v>#N/A</v>
      </c>
      <c r="J396" s="46" t="e">
        <f aca="false">I396+MAX(D396,J395)</f>
        <v>#N/A</v>
      </c>
      <c r="K396" s="46" t="e">
        <f aca="false">IF((H396=0),J396-D396,0)</f>
        <v>#N/A</v>
      </c>
      <c r="L396" s="46" t="e">
        <f aca="true">IF(($H396=0),0,$D$4+$D$5*(RAND()-0.5))</f>
        <v>#N/A</v>
      </c>
      <c r="M396" s="46" t="e">
        <f aca="false">L396+MAX(D396,M395)</f>
        <v>#N/A</v>
      </c>
      <c r="N396" s="46" t="e">
        <f aca="false">IF((H396=1),M396-D396,0)</f>
        <v>#N/A</v>
      </c>
      <c r="O396" s="29" t="n">
        <v>379</v>
      </c>
      <c r="P396" s="49" t="e">
        <f aca="false">IF((Arterial=0),P395+1,P395)</f>
        <v>#N/A</v>
      </c>
      <c r="Q396" s="49" t="e">
        <f aca="false">IF((Arterial=1),Q395+1,Q395)</f>
        <v>#N/A</v>
      </c>
      <c r="R396" s="50" t="n">
        <f aca="false">IF((RESET=1),0,R396+K396)</f>
        <v>0</v>
      </c>
      <c r="S396" s="19" t="n">
        <f aca="false">IF(RESET=1,0,S396+N396)</f>
        <v>0</v>
      </c>
      <c r="T396" s="0" t="n">
        <f aca="false">IF(RESET=1,0,T396+IF(H396=0,1,0))</f>
        <v>0</v>
      </c>
      <c r="U396" s="0" t="n">
        <f aca="false">IF(RESET=1,0,U396+H396)</f>
        <v>0</v>
      </c>
      <c r="V396" s="19" t="n">
        <f aca="false">R396/(T396+0.00001)</f>
        <v>0</v>
      </c>
      <c r="W396" s="19" t="n">
        <f aca="false">S396/(U396+0.0001)</f>
        <v>0</v>
      </c>
      <c r="X396" s="47" t="e">
        <f aca="false">IF(Informed=1,K396,0)</f>
        <v>#N/A</v>
      </c>
      <c r="Y396" s="47" t="n">
        <f aca="false">IF(Informed=0,K396,0)</f>
        <v>0</v>
      </c>
      <c r="Z396" s="47" t="e">
        <f aca="false">IF(Informed=1,N396,0)</f>
        <v>#N/A</v>
      </c>
      <c r="AA396" s="47" t="n">
        <f aca="false">IF(Informed=0,N396,0)</f>
        <v>0</v>
      </c>
      <c r="AB396" s="51" t="e">
        <f aca="false">IF(Arterial=0,IF(Informed=1,1,0),0)</f>
        <v>#N/A</v>
      </c>
      <c r="AC396" s="51" t="e">
        <f aca="false">IF(Arterial=0,IF(Informed=0,1,0),0)</f>
        <v>#N/A</v>
      </c>
      <c r="AD396" s="51" t="e">
        <f aca="false">IF(Arterial=1,IF(Informed=1,1,0),0)</f>
        <v>#N/A</v>
      </c>
      <c r="AE396" s="51" t="e">
        <f aca="false">IF(Arterial=1,IF(Informed=0,1,0),0)</f>
        <v>#N/A</v>
      </c>
      <c r="AF396" s="44" t="e">
        <f aca="false">IF(AB396=1,(X396-G$1030)^2,0)</f>
        <v>#N/A</v>
      </c>
      <c r="AG396" s="44" t="e">
        <f aca="false">IF(AC396=1,(Y396-H$1030)^2,0)</f>
        <v>#N/A</v>
      </c>
      <c r="AH396" s="44" t="e">
        <f aca="false">IF(AD396=1,(Z396-I$1030)^2,0)</f>
        <v>#N/A</v>
      </c>
      <c r="AI396" s="44" t="e">
        <f aca="false">IF(AE396=1,(AA396-J$1030)^2,0)</f>
        <v>#N/A</v>
      </c>
    </row>
    <row r="397" customFormat="false" ht="12" hidden="false" customHeight="false" outlineLevel="0" collapsed="false">
      <c r="A397" s="29" t="n">
        <v>380</v>
      </c>
      <c r="B397" s="45" t="n">
        <f aca="true">IF(RAND()&lt;$D$8,1,0)</f>
        <v>1</v>
      </c>
      <c r="C397" s="34" t="n">
        <f aca="true">-LN(RAND())/$D$2</f>
        <v>1.97829383460285</v>
      </c>
      <c r="D397" s="46" t="n">
        <f aca="false">D396+C397</f>
        <v>600.304136323879</v>
      </c>
      <c r="E397" s="47" t="e">
        <f aca="false">MAX($D$3,(1+P396-VLOOKUP(VALUE(D397),$J$18:$Q396,7,TRUE()))*$D$3)</f>
        <v>#N/A</v>
      </c>
      <c r="F397" s="47" t="e">
        <f aca="false">MAX($D$4,(1+Q396-VLOOKUP(VALUE(D397),$M$18:$Q396,5,TRUE()))*$D$4)</f>
        <v>#N/A</v>
      </c>
      <c r="G397" s="48" t="n">
        <v>0.5</v>
      </c>
      <c r="H397" s="46" t="e">
        <f aca="true">IF((B397=1),(IF((F397&lt;E397),1,(IF((F397=E397),(IF(RAND()&lt;G397,1,0)),0)))),(IF((RAND()&lt;G397),1,0)))</f>
        <v>#N/A</v>
      </c>
      <c r="I397" s="46" t="e">
        <f aca="true">IF((H397=1),0,$D$3+$D$5*(RAND()-0.5))</f>
        <v>#N/A</v>
      </c>
      <c r="J397" s="46" t="e">
        <f aca="false">I397+MAX(D397,J396)</f>
        <v>#N/A</v>
      </c>
      <c r="K397" s="46" t="e">
        <f aca="false">IF((H397=0),J397-D397,0)</f>
        <v>#N/A</v>
      </c>
      <c r="L397" s="46" t="e">
        <f aca="true">IF(($H397=0),0,$D$4+$D$5*(RAND()-0.5))</f>
        <v>#N/A</v>
      </c>
      <c r="M397" s="46" t="e">
        <f aca="false">L397+MAX(D397,M396)</f>
        <v>#N/A</v>
      </c>
      <c r="N397" s="46" t="e">
        <f aca="false">IF((H397=1),M397-D397,0)</f>
        <v>#N/A</v>
      </c>
      <c r="O397" s="29" t="n">
        <v>380</v>
      </c>
      <c r="P397" s="49" t="e">
        <f aca="false">IF((Arterial=0),P396+1,P396)</f>
        <v>#N/A</v>
      </c>
      <c r="Q397" s="49" t="e">
        <f aca="false">IF((Arterial=1),Q396+1,Q396)</f>
        <v>#N/A</v>
      </c>
      <c r="R397" s="50" t="n">
        <f aca="false">IF((RESET=1),0,R397+K397)</f>
        <v>0</v>
      </c>
      <c r="S397" s="19" t="n">
        <f aca="false">IF(RESET=1,0,S397+N397)</f>
        <v>0</v>
      </c>
      <c r="T397" s="0" t="n">
        <f aca="false">IF(RESET=1,0,T397+IF(H397=0,1,0))</f>
        <v>0</v>
      </c>
      <c r="U397" s="0" t="n">
        <f aca="false">IF(RESET=1,0,U397+H397)</f>
        <v>0</v>
      </c>
      <c r="V397" s="19" t="n">
        <f aca="false">R397/(T397+0.00001)</f>
        <v>0</v>
      </c>
      <c r="W397" s="19" t="n">
        <f aca="false">S397/(U397+0.0001)</f>
        <v>0</v>
      </c>
      <c r="X397" s="47" t="e">
        <f aca="false">IF(Informed=1,K397,0)</f>
        <v>#N/A</v>
      </c>
      <c r="Y397" s="47" t="n">
        <f aca="false">IF(Informed=0,K397,0)</f>
        <v>0</v>
      </c>
      <c r="Z397" s="47" t="e">
        <f aca="false">IF(Informed=1,N397,0)</f>
        <v>#N/A</v>
      </c>
      <c r="AA397" s="47" t="n">
        <f aca="false">IF(Informed=0,N397,0)</f>
        <v>0</v>
      </c>
      <c r="AB397" s="51" t="e">
        <f aca="false">IF(Arterial=0,IF(Informed=1,1,0),0)</f>
        <v>#N/A</v>
      </c>
      <c r="AC397" s="51" t="e">
        <f aca="false">IF(Arterial=0,IF(Informed=0,1,0),0)</f>
        <v>#N/A</v>
      </c>
      <c r="AD397" s="51" t="e">
        <f aca="false">IF(Arterial=1,IF(Informed=1,1,0),0)</f>
        <v>#N/A</v>
      </c>
      <c r="AE397" s="51" t="e">
        <f aca="false">IF(Arterial=1,IF(Informed=0,1,0),0)</f>
        <v>#N/A</v>
      </c>
      <c r="AF397" s="44" t="e">
        <f aca="false">IF(AB397=1,(X397-G$1030)^2,0)</f>
        <v>#N/A</v>
      </c>
      <c r="AG397" s="44" t="e">
        <f aca="false">IF(AC397=1,(Y397-H$1030)^2,0)</f>
        <v>#N/A</v>
      </c>
      <c r="AH397" s="44" t="e">
        <f aca="false">IF(AD397=1,(Z397-I$1030)^2,0)</f>
        <v>#N/A</v>
      </c>
      <c r="AI397" s="44" t="e">
        <f aca="false">IF(AE397=1,(AA397-J$1030)^2,0)</f>
        <v>#N/A</v>
      </c>
    </row>
    <row r="398" customFormat="false" ht="12" hidden="false" customHeight="false" outlineLevel="0" collapsed="false">
      <c r="A398" s="29" t="n">
        <v>381</v>
      </c>
      <c r="B398" s="45" t="n">
        <f aca="true">IF(RAND()&lt;$D$8,1,0)</f>
        <v>1</v>
      </c>
      <c r="C398" s="34" t="n">
        <f aca="true">-LN(RAND())/$D$2</f>
        <v>0.383993233536081</v>
      </c>
      <c r="D398" s="46" t="n">
        <f aca="false">D397+C398</f>
        <v>600.688129557415</v>
      </c>
      <c r="E398" s="47" t="e">
        <f aca="false">MAX($D$3,(1+P397-VLOOKUP(VALUE(D398),$J$18:$Q397,7,TRUE()))*$D$3)</f>
        <v>#N/A</v>
      </c>
      <c r="F398" s="47" t="e">
        <f aca="false">MAX($D$4,(1+Q397-VLOOKUP(VALUE(D398),$M$18:$Q397,5,TRUE()))*$D$4)</f>
        <v>#N/A</v>
      </c>
      <c r="G398" s="48" t="n">
        <v>0.5</v>
      </c>
      <c r="H398" s="46" t="e">
        <f aca="true">IF((B398=1),(IF((F398&lt;E398),1,(IF((F398=E398),(IF(RAND()&lt;G398,1,0)),0)))),(IF((RAND()&lt;G398),1,0)))</f>
        <v>#N/A</v>
      </c>
      <c r="I398" s="46" t="e">
        <f aca="true">IF((H398=1),0,$D$3+$D$5*(RAND()-0.5))</f>
        <v>#N/A</v>
      </c>
      <c r="J398" s="46" t="e">
        <f aca="false">I398+MAX(D398,J397)</f>
        <v>#N/A</v>
      </c>
      <c r="K398" s="46" t="e">
        <f aca="false">IF((H398=0),J398-D398,0)</f>
        <v>#N/A</v>
      </c>
      <c r="L398" s="46" t="e">
        <f aca="true">IF(($H398=0),0,$D$4+$D$5*(RAND()-0.5))</f>
        <v>#N/A</v>
      </c>
      <c r="M398" s="46" t="e">
        <f aca="false">L398+MAX(D398,M397)</f>
        <v>#N/A</v>
      </c>
      <c r="N398" s="46" t="e">
        <f aca="false">IF((H398=1),M398-D398,0)</f>
        <v>#N/A</v>
      </c>
      <c r="O398" s="29" t="n">
        <v>381</v>
      </c>
      <c r="P398" s="49" t="e">
        <f aca="false">IF((Arterial=0),P397+1,P397)</f>
        <v>#N/A</v>
      </c>
      <c r="Q398" s="49" t="e">
        <f aca="false">IF((Arterial=1),Q397+1,Q397)</f>
        <v>#N/A</v>
      </c>
      <c r="R398" s="50" t="n">
        <f aca="false">IF((RESET=1),0,R398+K398)</f>
        <v>0</v>
      </c>
      <c r="S398" s="19" t="n">
        <f aca="false">IF(RESET=1,0,S398+N398)</f>
        <v>0</v>
      </c>
      <c r="T398" s="0" t="n">
        <f aca="false">IF(RESET=1,0,T398+IF(H398=0,1,0))</f>
        <v>0</v>
      </c>
      <c r="U398" s="0" t="n">
        <f aca="false">IF(RESET=1,0,U398+H398)</f>
        <v>0</v>
      </c>
      <c r="V398" s="19" t="n">
        <f aca="false">R398/(T398+0.00001)</f>
        <v>0</v>
      </c>
      <c r="W398" s="19" t="n">
        <f aca="false">S398/(U398+0.0001)</f>
        <v>0</v>
      </c>
      <c r="X398" s="47" t="e">
        <f aca="false">IF(Informed=1,K398,0)</f>
        <v>#N/A</v>
      </c>
      <c r="Y398" s="47" t="n">
        <f aca="false">IF(Informed=0,K398,0)</f>
        <v>0</v>
      </c>
      <c r="Z398" s="47" t="e">
        <f aca="false">IF(Informed=1,N398,0)</f>
        <v>#N/A</v>
      </c>
      <c r="AA398" s="47" t="n">
        <f aca="false">IF(Informed=0,N398,0)</f>
        <v>0</v>
      </c>
      <c r="AB398" s="51" t="e">
        <f aca="false">IF(Arterial=0,IF(Informed=1,1,0),0)</f>
        <v>#N/A</v>
      </c>
      <c r="AC398" s="51" t="e">
        <f aca="false">IF(Arterial=0,IF(Informed=0,1,0),0)</f>
        <v>#N/A</v>
      </c>
      <c r="AD398" s="51" t="e">
        <f aca="false">IF(Arterial=1,IF(Informed=1,1,0),0)</f>
        <v>#N/A</v>
      </c>
      <c r="AE398" s="51" t="e">
        <f aca="false">IF(Arterial=1,IF(Informed=0,1,0),0)</f>
        <v>#N/A</v>
      </c>
      <c r="AF398" s="44" t="e">
        <f aca="false">IF(AB398=1,(X398-G$1030)^2,0)</f>
        <v>#N/A</v>
      </c>
      <c r="AG398" s="44" t="e">
        <f aca="false">IF(AC398=1,(Y398-H$1030)^2,0)</f>
        <v>#N/A</v>
      </c>
      <c r="AH398" s="44" t="e">
        <f aca="false">IF(AD398=1,(Z398-I$1030)^2,0)</f>
        <v>#N/A</v>
      </c>
      <c r="AI398" s="44" t="e">
        <f aca="false">IF(AE398=1,(AA398-J$1030)^2,0)</f>
        <v>#N/A</v>
      </c>
    </row>
    <row r="399" customFormat="false" ht="12" hidden="false" customHeight="false" outlineLevel="0" collapsed="false">
      <c r="A399" s="29" t="n">
        <v>382</v>
      </c>
      <c r="B399" s="45" t="n">
        <f aca="true">IF(RAND()&lt;$D$8,1,0)</f>
        <v>1</v>
      </c>
      <c r="C399" s="34" t="n">
        <f aca="true">-LN(RAND())/$D$2</f>
        <v>1.28996783687224</v>
      </c>
      <c r="D399" s="46" t="n">
        <f aca="false">D398+C399</f>
        <v>601.978097394287</v>
      </c>
      <c r="E399" s="47" t="e">
        <f aca="false">MAX($D$3,(1+P398-VLOOKUP(VALUE(D399),$J$18:$Q398,7,TRUE()))*$D$3)</f>
        <v>#N/A</v>
      </c>
      <c r="F399" s="47" t="e">
        <f aca="false">MAX($D$4,(1+Q398-VLOOKUP(VALUE(D399),$M$18:$Q398,5,TRUE()))*$D$4)</f>
        <v>#N/A</v>
      </c>
      <c r="G399" s="48" t="n">
        <v>0.5</v>
      </c>
      <c r="H399" s="46" t="e">
        <f aca="true">IF((B399=1),(IF((F399&lt;E399),1,(IF((F399=E399),(IF(RAND()&lt;G399,1,0)),0)))),(IF((RAND()&lt;G399),1,0)))</f>
        <v>#N/A</v>
      </c>
      <c r="I399" s="46" t="e">
        <f aca="true">IF((H399=1),0,$D$3+$D$5*(RAND()-0.5))</f>
        <v>#N/A</v>
      </c>
      <c r="J399" s="46" t="e">
        <f aca="false">I399+MAX(D399,J398)</f>
        <v>#N/A</v>
      </c>
      <c r="K399" s="46" t="e">
        <f aca="false">IF((H399=0),J399-D399,0)</f>
        <v>#N/A</v>
      </c>
      <c r="L399" s="46" t="e">
        <f aca="true">IF(($H399=0),0,$D$4+$D$5*(RAND()-0.5))</f>
        <v>#N/A</v>
      </c>
      <c r="M399" s="46" t="e">
        <f aca="false">L399+MAX(D399,M398)</f>
        <v>#N/A</v>
      </c>
      <c r="N399" s="46" t="e">
        <f aca="false">IF((H399=1),M399-D399,0)</f>
        <v>#N/A</v>
      </c>
      <c r="O399" s="29" t="n">
        <v>382</v>
      </c>
      <c r="P399" s="49" t="e">
        <f aca="false">IF((Arterial=0),P398+1,P398)</f>
        <v>#N/A</v>
      </c>
      <c r="Q399" s="49" t="e">
        <f aca="false">IF((Arterial=1),Q398+1,Q398)</f>
        <v>#N/A</v>
      </c>
      <c r="R399" s="50" t="n">
        <f aca="false">IF((RESET=1),0,R399+K399)</f>
        <v>0</v>
      </c>
      <c r="S399" s="19" t="n">
        <f aca="false">IF(RESET=1,0,S399+N399)</f>
        <v>0</v>
      </c>
      <c r="T399" s="0" t="n">
        <f aca="false">IF(RESET=1,0,T399+IF(H399=0,1,0))</f>
        <v>0</v>
      </c>
      <c r="U399" s="0" t="n">
        <f aca="false">IF(RESET=1,0,U399+H399)</f>
        <v>0</v>
      </c>
      <c r="V399" s="19" t="n">
        <f aca="false">R399/(T399+0.00001)</f>
        <v>0</v>
      </c>
      <c r="W399" s="19" t="n">
        <f aca="false">S399/(U399+0.0001)</f>
        <v>0</v>
      </c>
      <c r="X399" s="47" t="e">
        <f aca="false">IF(Informed=1,K399,0)</f>
        <v>#N/A</v>
      </c>
      <c r="Y399" s="47" t="n">
        <f aca="false">IF(Informed=0,K399,0)</f>
        <v>0</v>
      </c>
      <c r="Z399" s="47" t="e">
        <f aca="false">IF(Informed=1,N399,0)</f>
        <v>#N/A</v>
      </c>
      <c r="AA399" s="47" t="n">
        <f aca="false">IF(Informed=0,N399,0)</f>
        <v>0</v>
      </c>
      <c r="AB399" s="51" t="e">
        <f aca="false">IF(Arterial=0,IF(Informed=1,1,0),0)</f>
        <v>#N/A</v>
      </c>
      <c r="AC399" s="51" t="e">
        <f aca="false">IF(Arterial=0,IF(Informed=0,1,0),0)</f>
        <v>#N/A</v>
      </c>
      <c r="AD399" s="51" t="e">
        <f aca="false">IF(Arterial=1,IF(Informed=1,1,0),0)</f>
        <v>#N/A</v>
      </c>
      <c r="AE399" s="51" t="e">
        <f aca="false">IF(Arterial=1,IF(Informed=0,1,0),0)</f>
        <v>#N/A</v>
      </c>
      <c r="AF399" s="44" t="e">
        <f aca="false">IF(AB399=1,(X399-G$1030)^2,0)</f>
        <v>#N/A</v>
      </c>
      <c r="AG399" s="44" t="e">
        <f aca="false">IF(AC399=1,(Y399-H$1030)^2,0)</f>
        <v>#N/A</v>
      </c>
      <c r="AH399" s="44" t="e">
        <f aca="false">IF(AD399=1,(Z399-I$1030)^2,0)</f>
        <v>#N/A</v>
      </c>
      <c r="AI399" s="44" t="e">
        <f aca="false">IF(AE399=1,(AA399-J$1030)^2,0)</f>
        <v>#N/A</v>
      </c>
    </row>
    <row r="400" customFormat="false" ht="12" hidden="false" customHeight="false" outlineLevel="0" collapsed="false">
      <c r="A400" s="29" t="n">
        <v>383</v>
      </c>
      <c r="B400" s="45" t="n">
        <f aca="true">IF(RAND()&lt;$D$8,1,0)</f>
        <v>1</v>
      </c>
      <c r="C400" s="34" t="n">
        <f aca="true">-LN(RAND())/$D$2</f>
        <v>0.212673512338196</v>
      </c>
      <c r="D400" s="46" t="n">
        <f aca="false">D399+C400</f>
        <v>602.190770906625</v>
      </c>
      <c r="E400" s="47" t="e">
        <f aca="false">MAX($D$3,(1+P399-VLOOKUP(VALUE(D400),$J$18:$Q399,7,TRUE()))*$D$3)</f>
        <v>#N/A</v>
      </c>
      <c r="F400" s="47" t="e">
        <f aca="false">MAX($D$4,(1+Q399-VLOOKUP(VALUE(D400),$M$18:$Q399,5,TRUE()))*$D$4)</f>
        <v>#N/A</v>
      </c>
      <c r="G400" s="48" t="n">
        <v>0.5</v>
      </c>
      <c r="H400" s="46" t="e">
        <f aca="true">IF((B400=1),(IF((F400&lt;E400),1,(IF((F400=E400),(IF(RAND()&lt;G400,1,0)),0)))),(IF((RAND()&lt;G400),1,0)))</f>
        <v>#N/A</v>
      </c>
      <c r="I400" s="46" t="e">
        <f aca="true">IF((H400=1),0,$D$3+$D$5*(RAND()-0.5))</f>
        <v>#N/A</v>
      </c>
      <c r="J400" s="46" t="e">
        <f aca="false">I400+MAX(D400,J399)</f>
        <v>#N/A</v>
      </c>
      <c r="K400" s="46" t="e">
        <f aca="false">IF((H400=0),J400-D400,0)</f>
        <v>#N/A</v>
      </c>
      <c r="L400" s="46" t="e">
        <f aca="true">IF(($H400=0),0,$D$4+$D$5*(RAND()-0.5))</f>
        <v>#N/A</v>
      </c>
      <c r="M400" s="46" t="e">
        <f aca="false">L400+MAX(D400,M399)</f>
        <v>#N/A</v>
      </c>
      <c r="N400" s="46" t="e">
        <f aca="false">IF((H400=1),M400-D400,0)</f>
        <v>#N/A</v>
      </c>
      <c r="O400" s="29" t="n">
        <v>383</v>
      </c>
      <c r="P400" s="49" t="e">
        <f aca="false">IF((Arterial=0),P399+1,P399)</f>
        <v>#N/A</v>
      </c>
      <c r="Q400" s="49" t="e">
        <f aca="false">IF((Arterial=1),Q399+1,Q399)</f>
        <v>#N/A</v>
      </c>
      <c r="R400" s="50" t="n">
        <f aca="false">IF((RESET=1),0,R400+K400)</f>
        <v>0</v>
      </c>
      <c r="S400" s="19" t="n">
        <f aca="false">IF(RESET=1,0,S400+N400)</f>
        <v>0</v>
      </c>
      <c r="T400" s="0" t="n">
        <f aca="false">IF(RESET=1,0,T400+IF(H400=0,1,0))</f>
        <v>0</v>
      </c>
      <c r="U400" s="0" t="n">
        <f aca="false">IF(RESET=1,0,U400+H400)</f>
        <v>0</v>
      </c>
      <c r="V400" s="19" t="n">
        <f aca="false">R400/(T400+0.00001)</f>
        <v>0</v>
      </c>
      <c r="W400" s="19" t="n">
        <f aca="false">S400/(U400+0.0001)</f>
        <v>0</v>
      </c>
      <c r="X400" s="47" t="e">
        <f aca="false">IF(Informed=1,K400,0)</f>
        <v>#N/A</v>
      </c>
      <c r="Y400" s="47" t="n">
        <f aca="false">IF(Informed=0,K400,0)</f>
        <v>0</v>
      </c>
      <c r="Z400" s="47" t="e">
        <f aca="false">IF(Informed=1,N400,0)</f>
        <v>#N/A</v>
      </c>
      <c r="AA400" s="47" t="n">
        <f aca="false">IF(Informed=0,N400,0)</f>
        <v>0</v>
      </c>
      <c r="AB400" s="51" t="e">
        <f aca="false">IF(Arterial=0,IF(Informed=1,1,0),0)</f>
        <v>#N/A</v>
      </c>
      <c r="AC400" s="51" t="e">
        <f aca="false">IF(Arterial=0,IF(Informed=0,1,0),0)</f>
        <v>#N/A</v>
      </c>
      <c r="AD400" s="51" t="e">
        <f aca="false">IF(Arterial=1,IF(Informed=1,1,0),0)</f>
        <v>#N/A</v>
      </c>
      <c r="AE400" s="51" t="e">
        <f aca="false">IF(Arterial=1,IF(Informed=0,1,0),0)</f>
        <v>#N/A</v>
      </c>
      <c r="AF400" s="44" t="e">
        <f aca="false">IF(AB400=1,(X400-G$1030)^2,0)</f>
        <v>#N/A</v>
      </c>
      <c r="AG400" s="44" t="e">
        <f aca="false">IF(AC400=1,(Y400-H$1030)^2,0)</f>
        <v>#N/A</v>
      </c>
      <c r="AH400" s="44" t="e">
        <f aca="false">IF(AD400=1,(Z400-I$1030)^2,0)</f>
        <v>#N/A</v>
      </c>
      <c r="AI400" s="44" t="e">
        <f aca="false">IF(AE400=1,(AA400-J$1030)^2,0)</f>
        <v>#N/A</v>
      </c>
    </row>
    <row r="401" customFormat="false" ht="12" hidden="false" customHeight="false" outlineLevel="0" collapsed="false">
      <c r="A401" s="29" t="n">
        <v>384</v>
      </c>
      <c r="B401" s="45" t="n">
        <f aca="true">IF(RAND()&lt;$D$8,1,0)</f>
        <v>1</v>
      </c>
      <c r="C401" s="34" t="n">
        <f aca="true">-LN(RAND())/$D$2</f>
        <v>0.0704620229484042</v>
      </c>
      <c r="D401" s="46" t="n">
        <f aca="false">D400+C401</f>
        <v>602.261232929574</v>
      </c>
      <c r="E401" s="47" t="e">
        <f aca="false">MAX($D$3,(1+P400-VLOOKUP(VALUE(D401),$J$18:$Q400,7,TRUE()))*$D$3)</f>
        <v>#N/A</v>
      </c>
      <c r="F401" s="47" t="e">
        <f aca="false">MAX($D$4,(1+Q400-VLOOKUP(VALUE(D401),$M$18:$Q400,5,TRUE()))*$D$4)</f>
        <v>#N/A</v>
      </c>
      <c r="G401" s="48" t="n">
        <v>0.5</v>
      </c>
      <c r="H401" s="46" t="e">
        <f aca="true">IF((B401=1),(IF((F401&lt;E401),1,(IF((F401=E401),(IF(RAND()&lt;G401,1,0)),0)))),(IF((RAND()&lt;G401),1,0)))</f>
        <v>#N/A</v>
      </c>
      <c r="I401" s="46" t="e">
        <f aca="true">IF((H401=1),0,$D$3+$D$5*(RAND()-0.5))</f>
        <v>#N/A</v>
      </c>
      <c r="J401" s="46" t="e">
        <f aca="false">I401+MAX(D401,J400)</f>
        <v>#N/A</v>
      </c>
      <c r="K401" s="46" t="e">
        <f aca="false">IF((H401=0),J401-D401,0)</f>
        <v>#N/A</v>
      </c>
      <c r="L401" s="46" t="e">
        <f aca="true">IF(($H401=0),0,$D$4+$D$5*(RAND()-0.5))</f>
        <v>#N/A</v>
      </c>
      <c r="M401" s="46" t="e">
        <f aca="false">L401+MAX(D401,M400)</f>
        <v>#N/A</v>
      </c>
      <c r="N401" s="46" t="e">
        <f aca="false">IF((H401=1),M401-D401,0)</f>
        <v>#N/A</v>
      </c>
      <c r="O401" s="29" t="n">
        <v>384</v>
      </c>
      <c r="P401" s="49" t="e">
        <f aca="false">IF((Arterial=0),P400+1,P400)</f>
        <v>#N/A</v>
      </c>
      <c r="Q401" s="49" t="e">
        <f aca="false">IF((Arterial=1),Q400+1,Q400)</f>
        <v>#N/A</v>
      </c>
      <c r="R401" s="50" t="n">
        <f aca="false">IF((RESET=1),0,R401+K401)</f>
        <v>0</v>
      </c>
      <c r="S401" s="19" t="n">
        <f aca="false">IF(RESET=1,0,S401+N401)</f>
        <v>0</v>
      </c>
      <c r="T401" s="0" t="n">
        <f aca="false">IF(RESET=1,0,T401+IF(H401=0,1,0))</f>
        <v>0</v>
      </c>
      <c r="U401" s="0" t="n">
        <f aca="false">IF(RESET=1,0,U401+H401)</f>
        <v>0</v>
      </c>
      <c r="V401" s="19" t="n">
        <f aca="false">R401/(T401+0.00001)</f>
        <v>0</v>
      </c>
      <c r="W401" s="19" t="n">
        <f aca="false">S401/(U401+0.0001)</f>
        <v>0</v>
      </c>
      <c r="X401" s="47" t="e">
        <f aca="false">IF(Informed=1,K401,0)</f>
        <v>#N/A</v>
      </c>
      <c r="Y401" s="47" t="n">
        <f aca="false">IF(Informed=0,K401,0)</f>
        <v>0</v>
      </c>
      <c r="Z401" s="47" t="e">
        <f aca="false">IF(Informed=1,N401,0)</f>
        <v>#N/A</v>
      </c>
      <c r="AA401" s="47" t="n">
        <f aca="false">IF(Informed=0,N401,0)</f>
        <v>0</v>
      </c>
      <c r="AB401" s="51" t="e">
        <f aca="false">IF(Arterial=0,IF(Informed=1,1,0),0)</f>
        <v>#N/A</v>
      </c>
      <c r="AC401" s="51" t="e">
        <f aca="false">IF(Arterial=0,IF(Informed=0,1,0),0)</f>
        <v>#N/A</v>
      </c>
      <c r="AD401" s="51" t="e">
        <f aca="false">IF(Arterial=1,IF(Informed=1,1,0),0)</f>
        <v>#N/A</v>
      </c>
      <c r="AE401" s="51" t="e">
        <f aca="false">IF(Arterial=1,IF(Informed=0,1,0),0)</f>
        <v>#N/A</v>
      </c>
      <c r="AF401" s="44" t="e">
        <f aca="false">IF(AB401=1,(X401-G$1030)^2,0)</f>
        <v>#N/A</v>
      </c>
      <c r="AG401" s="44" t="e">
        <f aca="false">IF(AC401=1,(Y401-H$1030)^2,0)</f>
        <v>#N/A</v>
      </c>
      <c r="AH401" s="44" t="e">
        <f aca="false">IF(AD401=1,(Z401-I$1030)^2,0)</f>
        <v>#N/A</v>
      </c>
      <c r="AI401" s="44" t="e">
        <f aca="false">IF(AE401=1,(AA401-J$1030)^2,0)</f>
        <v>#N/A</v>
      </c>
    </row>
    <row r="402" customFormat="false" ht="12" hidden="false" customHeight="false" outlineLevel="0" collapsed="false">
      <c r="A402" s="29" t="n">
        <v>385</v>
      </c>
      <c r="B402" s="45" t="n">
        <f aca="true">IF(RAND()&lt;$D$8,1,0)</f>
        <v>1</v>
      </c>
      <c r="C402" s="34" t="n">
        <f aca="true">-LN(RAND())/$D$2</f>
        <v>0.0779730458741533</v>
      </c>
      <c r="D402" s="46" t="n">
        <f aca="false">D401+C402</f>
        <v>602.339205975448</v>
      </c>
      <c r="E402" s="47" t="e">
        <f aca="false">MAX($D$3,(1+P401-VLOOKUP(VALUE(D402),$J$18:$Q401,7,TRUE()))*$D$3)</f>
        <v>#N/A</v>
      </c>
      <c r="F402" s="47" t="e">
        <f aca="false">MAX($D$4,(1+Q401-VLOOKUP(VALUE(D402),$M$18:$Q401,5,TRUE()))*$D$4)</f>
        <v>#N/A</v>
      </c>
      <c r="G402" s="48" t="n">
        <v>0.5</v>
      </c>
      <c r="H402" s="46" t="e">
        <f aca="true">IF((B402=1),(IF((F402&lt;E402),1,(IF((F402=E402),(IF(RAND()&lt;G402,1,0)),0)))),(IF((RAND()&lt;G402),1,0)))</f>
        <v>#N/A</v>
      </c>
      <c r="I402" s="46" t="e">
        <f aca="true">IF((H402=1),0,$D$3+$D$5*(RAND()-0.5))</f>
        <v>#N/A</v>
      </c>
      <c r="J402" s="46" t="e">
        <f aca="false">I402+MAX(D402,J401)</f>
        <v>#N/A</v>
      </c>
      <c r="K402" s="46" t="e">
        <f aca="false">IF((H402=0),J402-D402,0)</f>
        <v>#N/A</v>
      </c>
      <c r="L402" s="46" t="e">
        <f aca="true">IF(($H402=0),0,$D$4+$D$5*(RAND()-0.5))</f>
        <v>#N/A</v>
      </c>
      <c r="M402" s="46" t="e">
        <f aca="false">L402+MAX(D402,M401)</f>
        <v>#N/A</v>
      </c>
      <c r="N402" s="46" t="e">
        <f aca="false">IF((H402=1),M402-D402,0)</f>
        <v>#N/A</v>
      </c>
      <c r="O402" s="29" t="n">
        <v>385</v>
      </c>
      <c r="P402" s="49" t="e">
        <f aca="false">IF((Arterial=0),P401+1,P401)</f>
        <v>#N/A</v>
      </c>
      <c r="Q402" s="49" t="e">
        <f aca="false">IF((Arterial=1),Q401+1,Q401)</f>
        <v>#N/A</v>
      </c>
      <c r="R402" s="50" t="n">
        <f aca="false">IF((RESET=1),0,R402+K402)</f>
        <v>0</v>
      </c>
      <c r="S402" s="19" t="n">
        <f aca="false">IF(RESET=1,0,S402+N402)</f>
        <v>0</v>
      </c>
      <c r="T402" s="0" t="n">
        <f aca="false">IF(RESET=1,0,T402+IF(H402=0,1,0))</f>
        <v>0</v>
      </c>
      <c r="U402" s="0" t="n">
        <f aca="false">IF(RESET=1,0,U402+H402)</f>
        <v>0</v>
      </c>
      <c r="V402" s="19" t="n">
        <f aca="false">R402/(T402+0.00001)</f>
        <v>0</v>
      </c>
      <c r="W402" s="19" t="n">
        <f aca="false">S402/(U402+0.0001)</f>
        <v>0</v>
      </c>
      <c r="X402" s="47" t="e">
        <f aca="false">IF(Informed=1,K402,0)</f>
        <v>#N/A</v>
      </c>
      <c r="Y402" s="47" t="n">
        <f aca="false">IF(Informed=0,K402,0)</f>
        <v>0</v>
      </c>
      <c r="Z402" s="47" t="e">
        <f aca="false">IF(Informed=1,N402,0)</f>
        <v>#N/A</v>
      </c>
      <c r="AA402" s="47" t="n">
        <f aca="false">IF(Informed=0,N402,0)</f>
        <v>0</v>
      </c>
      <c r="AB402" s="51" t="e">
        <f aca="false">IF(Arterial=0,IF(Informed=1,1,0),0)</f>
        <v>#N/A</v>
      </c>
      <c r="AC402" s="51" t="e">
        <f aca="false">IF(Arterial=0,IF(Informed=0,1,0),0)</f>
        <v>#N/A</v>
      </c>
      <c r="AD402" s="51" t="e">
        <f aca="false">IF(Arterial=1,IF(Informed=1,1,0),0)</f>
        <v>#N/A</v>
      </c>
      <c r="AE402" s="51" t="e">
        <f aca="false">IF(Arterial=1,IF(Informed=0,1,0),0)</f>
        <v>#N/A</v>
      </c>
      <c r="AF402" s="44" t="e">
        <f aca="false">IF(AB402=1,(X402-G$1030)^2,0)</f>
        <v>#N/A</v>
      </c>
      <c r="AG402" s="44" t="e">
        <f aca="false">IF(AC402=1,(Y402-H$1030)^2,0)</f>
        <v>#N/A</v>
      </c>
      <c r="AH402" s="44" t="e">
        <f aca="false">IF(AD402=1,(Z402-I$1030)^2,0)</f>
        <v>#N/A</v>
      </c>
      <c r="AI402" s="44" t="e">
        <f aca="false">IF(AE402=1,(AA402-J$1030)^2,0)</f>
        <v>#N/A</v>
      </c>
    </row>
    <row r="403" customFormat="false" ht="12" hidden="false" customHeight="false" outlineLevel="0" collapsed="false">
      <c r="A403" s="29" t="n">
        <v>386</v>
      </c>
      <c r="B403" s="45" t="n">
        <f aca="true">IF(RAND()&lt;$D$8,1,0)</f>
        <v>1</v>
      </c>
      <c r="C403" s="34" t="n">
        <f aca="true">-LN(RAND())/$D$2</f>
        <v>0.373169813706111</v>
      </c>
      <c r="D403" s="46" t="n">
        <f aca="false">D402+C403</f>
        <v>602.712375789154</v>
      </c>
      <c r="E403" s="47" t="e">
        <f aca="false">MAX($D$3,(1+P402-VLOOKUP(VALUE(D403),$J$18:$Q402,7,TRUE()))*$D$3)</f>
        <v>#N/A</v>
      </c>
      <c r="F403" s="47" t="e">
        <f aca="false">MAX($D$4,(1+Q402-VLOOKUP(VALUE(D403),$M$18:$Q402,5,TRUE()))*$D$4)</f>
        <v>#N/A</v>
      </c>
      <c r="G403" s="48" t="n">
        <v>0.5</v>
      </c>
      <c r="H403" s="46" t="e">
        <f aca="true">IF((B403=1),(IF((F403&lt;E403),1,(IF((F403=E403),(IF(RAND()&lt;G403,1,0)),0)))),(IF((RAND()&lt;G403),1,0)))</f>
        <v>#N/A</v>
      </c>
      <c r="I403" s="46" t="e">
        <f aca="true">IF((H403=1),0,$D$3+$D$5*(RAND()-0.5))</f>
        <v>#N/A</v>
      </c>
      <c r="J403" s="46" t="e">
        <f aca="false">I403+MAX(D403,J402)</f>
        <v>#N/A</v>
      </c>
      <c r="K403" s="46" t="e">
        <f aca="false">IF((H403=0),J403-D403,0)</f>
        <v>#N/A</v>
      </c>
      <c r="L403" s="46" t="e">
        <f aca="true">IF(($H403=0),0,$D$4+$D$5*(RAND()-0.5))</f>
        <v>#N/A</v>
      </c>
      <c r="M403" s="46" t="e">
        <f aca="false">L403+MAX(D403,M402)</f>
        <v>#N/A</v>
      </c>
      <c r="N403" s="46" t="e">
        <f aca="false">IF((H403=1),M403-D403,0)</f>
        <v>#N/A</v>
      </c>
      <c r="O403" s="29" t="n">
        <v>386</v>
      </c>
      <c r="P403" s="49" t="e">
        <f aca="false">IF((Arterial=0),P402+1,P402)</f>
        <v>#N/A</v>
      </c>
      <c r="Q403" s="49" t="e">
        <f aca="false">IF((Arterial=1),Q402+1,Q402)</f>
        <v>#N/A</v>
      </c>
      <c r="R403" s="50" t="n">
        <f aca="false">IF((RESET=1),0,R403+K403)</f>
        <v>0</v>
      </c>
      <c r="S403" s="19" t="n">
        <f aca="false">IF(RESET=1,0,S403+N403)</f>
        <v>0</v>
      </c>
      <c r="T403" s="0" t="n">
        <f aca="false">IF(RESET=1,0,T403+IF(H403=0,1,0))</f>
        <v>0</v>
      </c>
      <c r="U403" s="0" t="n">
        <f aca="false">IF(RESET=1,0,U403+H403)</f>
        <v>0</v>
      </c>
      <c r="V403" s="19" t="n">
        <f aca="false">R403/(T403+0.00001)</f>
        <v>0</v>
      </c>
      <c r="W403" s="19" t="n">
        <f aca="false">S403/(U403+0.0001)</f>
        <v>0</v>
      </c>
      <c r="X403" s="47" t="e">
        <f aca="false">IF(Informed=1,K403,0)</f>
        <v>#N/A</v>
      </c>
      <c r="Y403" s="47" t="n">
        <f aca="false">IF(Informed=0,K403,0)</f>
        <v>0</v>
      </c>
      <c r="Z403" s="47" t="e">
        <f aca="false">IF(Informed=1,N403,0)</f>
        <v>#N/A</v>
      </c>
      <c r="AA403" s="47" t="n">
        <f aca="false">IF(Informed=0,N403,0)</f>
        <v>0</v>
      </c>
      <c r="AB403" s="51" t="e">
        <f aca="false">IF(Arterial=0,IF(Informed=1,1,0),0)</f>
        <v>#N/A</v>
      </c>
      <c r="AC403" s="51" t="e">
        <f aca="false">IF(Arterial=0,IF(Informed=0,1,0),0)</f>
        <v>#N/A</v>
      </c>
      <c r="AD403" s="51" t="e">
        <f aca="false">IF(Arterial=1,IF(Informed=1,1,0),0)</f>
        <v>#N/A</v>
      </c>
      <c r="AE403" s="51" t="e">
        <f aca="false">IF(Arterial=1,IF(Informed=0,1,0),0)</f>
        <v>#N/A</v>
      </c>
      <c r="AF403" s="44" t="e">
        <f aca="false">IF(AB403=1,(X403-G$1030)^2,0)</f>
        <v>#N/A</v>
      </c>
      <c r="AG403" s="44" t="e">
        <f aca="false">IF(AC403=1,(Y403-H$1030)^2,0)</f>
        <v>#N/A</v>
      </c>
      <c r="AH403" s="44" t="e">
        <f aca="false">IF(AD403=1,(Z403-I$1030)^2,0)</f>
        <v>#N/A</v>
      </c>
      <c r="AI403" s="44" t="e">
        <f aca="false">IF(AE403=1,(AA403-J$1030)^2,0)</f>
        <v>#N/A</v>
      </c>
    </row>
    <row r="404" customFormat="false" ht="12" hidden="false" customHeight="false" outlineLevel="0" collapsed="false">
      <c r="A404" s="29" t="n">
        <v>387</v>
      </c>
      <c r="B404" s="45" t="n">
        <f aca="true">IF(RAND()&lt;$D$8,1,0)</f>
        <v>1</v>
      </c>
      <c r="C404" s="34" t="n">
        <f aca="true">-LN(RAND())/$D$2</f>
        <v>0.0878330676573714</v>
      </c>
      <c r="D404" s="46" t="n">
        <f aca="false">D403+C404</f>
        <v>602.800208856811</v>
      </c>
      <c r="E404" s="47" t="e">
        <f aca="false">MAX($D$3,(1+P403-VLOOKUP(VALUE(D404),$J$18:$Q403,7,TRUE()))*$D$3)</f>
        <v>#N/A</v>
      </c>
      <c r="F404" s="47" t="e">
        <f aca="false">MAX($D$4,(1+Q403-VLOOKUP(VALUE(D404),$M$18:$Q403,5,TRUE()))*$D$4)</f>
        <v>#N/A</v>
      </c>
      <c r="G404" s="48" t="n">
        <v>0.5</v>
      </c>
      <c r="H404" s="46" t="e">
        <f aca="true">IF((B404=1),(IF((F404&lt;E404),1,(IF((F404=E404),(IF(RAND()&lt;G404,1,0)),0)))),(IF((RAND()&lt;G404),1,0)))</f>
        <v>#N/A</v>
      </c>
      <c r="I404" s="46" t="e">
        <f aca="true">IF((H404=1),0,$D$3+$D$5*(RAND()-0.5))</f>
        <v>#N/A</v>
      </c>
      <c r="J404" s="46" t="e">
        <f aca="false">I404+MAX(D404,J403)</f>
        <v>#N/A</v>
      </c>
      <c r="K404" s="46" t="e">
        <f aca="false">IF((H404=0),J404-D404,0)</f>
        <v>#N/A</v>
      </c>
      <c r="L404" s="46" t="e">
        <f aca="true">IF(($H404=0),0,$D$4+$D$5*(RAND()-0.5))</f>
        <v>#N/A</v>
      </c>
      <c r="M404" s="46" t="e">
        <f aca="false">L404+MAX(D404,M403)</f>
        <v>#N/A</v>
      </c>
      <c r="N404" s="46" t="e">
        <f aca="false">IF((H404=1),M404-D404,0)</f>
        <v>#N/A</v>
      </c>
      <c r="O404" s="29" t="n">
        <v>387</v>
      </c>
      <c r="P404" s="49" t="e">
        <f aca="false">IF((Arterial=0),P403+1,P403)</f>
        <v>#N/A</v>
      </c>
      <c r="Q404" s="49" t="e">
        <f aca="false">IF((Arterial=1),Q403+1,Q403)</f>
        <v>#N/A</v>
      </c>
      <c r="R404" s="50" t="n">
        <f aca="false">IF((RESET=1),0,R404+K404)</f>
        <v>0</v>
      </c>
      <c r="S404" s="19" t="n">
        <f aca="false">IF(RESET=1,0,S404+N404)</f>
        <v>0</v>
      </c>
      <c r="T404" s="0" t="n">
        <f aca="false">IF(RESET=1,0,T404+IF(H404=0,1,0))</f>
        <v>0</v>
      </c>
      <c r="U404" s="0" t="n">
        <f aca="false">IF(RESET=1,0,U404+H404)</f>
        <v>0</v>
      </c>
      <c r="V404" s="19" t="n">
        <f aca="false">R404/(T404+0.00001)</f>
        <v>0</v>
      </c>
      <c r="W404" s="19" t="n">
        <f aca="false">S404/(U404+0.0001)</f>
        <v>0</v>
      </c>
      <c r="X404" s="47" t="e">
        <f aca="false">IF(Informed=1,K404,0)</f>
        <v>#N/A</v>
      </c>
      <c r="Y404" s="47" t="n">
        <f aca="false">IF(Informed=0,K404,0)</f>
        <v>0</v>
      </c>
      <c r="Z404" s="47" t="e">
        <f aca="false">IF(Informed=1,N404,0)</f>
        <v>#N/A</v>
      </c>
      <c r="AA404" s="47" t="n">
        <f aca="false">IF(Informed=0,N404,0)</f>
        <v>0</v>
      </c>
      <c r="AB404" s="51" t="e">
        <f aca="false">IF(Arterial=0,IF(Informed=1,1,0),0)</f>
        <v>#N/A</v>
      </c>
      <c r="AC404" s="51" t="e">
        <f aca="false">IF(Arterial=0,IF(Informed=0,1,0),0)</f>
        <v>#N/A</v>
      </c>
      <c r="AD404" s="51" t="e">
        <f aca="false">IF(Arterial=1,IF(Informed=1,1,0),0)</f>
        <v>#N/A</v>
      </c>
      <c r="AE404" s="51" t="e">
        <f aca="false">IF(Arterial=1,IF(Informed=0,1,0),0)</f>
        <v>#N/A</v>
      </c>
      <c r="AF404" s="44" t="e">
        <f aca="false">IF(AB404=1,(X404-G$1030)^2,0)</f>
        <v>#N/A</v>
      </c>
      <c r="AG404" s="44" t="e">
        <f aca="false">IF(AC404=1,(Y404-H$1030)^2,0)</f>
        <v>#N/A</v>
      </c>
      <c r="AH404" s="44" t="e">
        <f aca="false">IF(AD404=1,(Z404-I$1030)^2,0)</f>
        <v>#N/A</v>
      </c>
      <c r="AI404" s="44" t="e">
        <f aca="false">IF(AE404=1,(AA404-J$1030)^2,0)</f>
        <v>#N/A</v>
      </c>
    </row>
    <row r="405" customFormat="false" ht="12" hidden="false" customHeight="false" outlineLevel="0" collapsed="false">
      <c r="A405" s="29" t="n">
        <v>388</v>
      </c>
      <c r="B405" s="45" t="n">
        <f aca="true">IF(RAND()&lt;$D$8,1,0)</f>
        <v>1</v>
      </c>
      <c r="C405" s="34" t="n">
        <f aca="true">-LN(RAND())/$D$2</f>
        <v>1.37536709576312</v>
      </c>
      <c r="D405" s="46" t="n">
        <f aca="false">D404+C405</f>
        <v>604.175575952574</v>
      </c>
      <c r="E405" s="47" t="e">
        <f aca="false">MAX($D$3,(1+P404-VLOOKUP(VALUE(D405),$J$18:$Q404,7,TRUE()))*$D$3)</f>
        <v>#N/A</v>
      </c>
      <c r="F405" s="47" t="e">
        <f aca="false">MAX($D$4,(1+Q404-VLOOKUP(VALUE(D405),$M$18:$Q404,5,TRUE()))*$D$4)</f>
        <v>#N/A</v>
      </c>
      <c r="G405" s="48" t="n">
        <v>0.5</v>
      </c>
      <c r="H405" s="46" t="e">
        <f aca="true">IF((B405=1),(IF((F405&lt;E405),1,(IF((F405=E405),(IF(RAND()&lt;G405,1,0)),0)))),(IF((RAND()&lt;G405),1,0)))</f>
        <v>#N/A</v>
      </c>
      <c r="I405" s="46" t="e">
        <f aca="true">IF((H405=1),0,$D$3+$D$5*(RAND()-0.5))</f>
        <v>#N/A</v>
      </c>
      <c r="J405" s="46" t="e">
        <f aca="false">I405+MAX(D405,J404)</f>
        <v>#N/A</v>
      </c>
      <c r="K405" s="46" t="e">
        <f aca="false">IF((H405=0),J405-D405,0)</f>
        <v>#N/A</v>
      </c>
      <c r="L405" s="46" t="e">
        <f aca="true">IF(($H405=0),0,$D$4+$D$5*(RAND()-0.5))</f>
        <v>#N/A</v>
      </c>
      <c r="M405" s="46" t="e">
        <f aca="false">L405+MAX(D405,M404)</f>
        <v>#N/A</v>
      </c>
      <c r="N405" s="46" t="e">
        <f aca="false">IF((H405=1),M405-D405,0)</f>
        <v>#N/A</v>
      </c>
      <c r="O405" s="29" t="n">
        <v>388</v>
      </c>
      <c r="P405" s="49" t="e">
        <f aca="false">IF((Arterial=0),P404+1,P404)</f>
        <v>#N/A</v>
      </c>
      <c r="Q405" s="49" t="e">
        <f aca="false">IF((Arterial=1),Q404+1,Q404)</f>
        <v>#N/A</v>
      </c>
      <c r="R405" s="50" t="n">
        <f aca="false">IF((RESET=1),0,R405+K405)</f>
        <v>0</v>
      </c>
      <c r="S405" s="19" t="n">
        <f aca="false">IF(RESET=1,0,S405+N405)</f>
        <v>0</v>
      </c>
      <c r="T405" s="0" t="n">
        <f aca="false">IF(RESET=1,0,T405+IF(H405=0,1,0))</f>
        <v>0</v>
      </c>
      <c r="U405" s="0" t="n">
        <f aca="false">IF(RESET=1,0,U405+H405)</f>
        <v>0</v>
      </c>
      <c r="V405" s="19" t="n">
        <f aca="false">R405/(T405+0.00001)</f>
        <v>0</v>
      </c>
      <c r="W405" s="19" t="n">
        <f aca="false">S405/(U405+0.0001)</f>
        <v>0</v>
      </c>
      <c r="X405" s="47" t="e">
        <f aca="false">IF(Informed=1,K405,0)</f>
        <v>#N/A</v>
      </c>
      <c r="Y405" s="47" t="n">
        <f aca="false">IF(Informed=0,K405,0)</f>
        <v>0</v>
      </c>
      <c r="Z405" s="47" t="e">
        <f aca="false">IF(Informed=1,N405,0)</f>
        <v>#N/A</v>
      </c>
      <c r="AA405" s="47" t="n">
        <f aca="false">IF(Informed=0,N405,0)</f>
        <v>0</v>
      </c>
      <c r="AB405" s="51" t="e">
        <f aca="false">IF(Arterial=0,IF(Informed=1,1,0),0)</f>
        <v>#N/A</v>
      </c>
      <c r="AC405" s="51" t="e">
        <f aca="false">IF(Arterial=0,IF(Informed=0,1,0),0)</f>
        <v>#N/A</v>
      </c>
      <c r="AD405" s="51" t="e">
        <f aca="false">IF(Arterial=1,IF(Informed=1,1,0),0)</f>
        <v>#N/A</v>
      </c>
      <c r="AE405" s="51" t="e">
        <f aca="false">IF(Arterial=1,IF(Informed=0,1,0),0)</f>
        <v>#N/A</v>
      </c>
      <c r="AF405" s="44" t="e">
        <f aca="false">IF(AB405=1,(X405-G$1030)^2,0)</f>
        <v>#N/A</v>
      </c>
      <c r="AG405" s="44" t="e">
        <f aca="false">IF(AC405=1,(Y405-H$1030)^2,0)</f>
        <v>#N/A</v>
      </c>
      <c r="AH405" s="44" t="e">
        <f aca="false">IF(AD405=1,(Z405-I$1030)^2,0)</f>
        <v>#N/A</v>
      </c>
      <c r="AI405" s="44" t="e">
        <f aca="false">IF(AE405=1,(AA405-J$1030)^2,0)</f>
        <v>#N/A</v>
      </c>
    </row>
    <row r="406" customFormat="false" ht="12" hidden="false" customHeight="false" outlineLevel="0" collapsed="false">
      <c r="A406" s="29" t="n">
        <v>389</v>
      </c>
      <c r="B406" s="45" t="n">
        <f aca="true">IF(RAND()&lt;$D$8,1,0)</f>
        <v>1</v>
      </c>
      <c r="C406" s="34" t="n">
        <f aca="true">-LN(RAND())/$D$2</f>
        <v>2.2643598058612</v>
      </c>
      <c r="D406" s="46" t="n">
        <f aca="false">D405+C406</f>
        <v>606.439935758436</v>
      </c>
      <c r="E406" s="47" t="e">
        <f aca="false">MAX($D$3,(1+P405-VLOOKUP(VALUE(D406),$J$18:$Q405,7,TRUE()))*$D$3)</f>
        <v>#N/A</v>
      </c>
      <c r="F406" s="47" t="e">
        <f aca="false">MAX($D$4,(1+Q405-VLOOKUP(VALUE(D406),$M$18:$Q405,5,TRUE()))*$D$4)</f>
        <v>#N/A</v>
      </c>
      <c r="G406" s="48" t="n">
        <v>0.5</v>
      </c>
      <c r="H406" s="46" t="e">
        <f aca="true">IF((B406=1),(IF((F406&lt;E406),1,(IF((F406=E406),(IF(RAND()&lt;G406,1,0)),0)))),(IF((RAND()&lt;G406),1,0)))</f>
        <v>#N/A</v>
      </c>
      <c r="I406" s="46" t="e">
        <f aca="true">IF((H406=1),0,$D$3+$D$5*(RAND()-0.5))</f>
        <v>#N/A</v>
      </c>
      <c r="J406" s="46" t="e">
        <f aca="false">I406+MAX(D406,J405)</f>
        <v>#N/A</v>
      </c>
      <c r="K406" s="46" t="e">
        <f aca="false">IF((H406=0),J406-D406,0)</f>
        <v>#N/A</v>
      </c>
      <c r="L406" s="46" t="e">
        <f aca="true">IF(($H406=0),0,$D$4+$D$5*(RAND()-0.5))</f>
        <v>#N/A</v>
      </c>
      <c r="M406" s="46" t="e">
        <f aca="false">L406+MAX(D406,M405)</f>
        <v>#N/A</v>
      </c>
      <c r="N406" s="46" t="e">
        <f aca="false">IF((H406=1),M406-D406,0)</f>
        <v>#N/A</v>
      </c>
      <c r="O406" s="29" t="n">
        <v>389</v>
      </c>
      <c r="P406" s="49" t="e">
        <f aca="false">IF((Arterial=0),P405+1,P405)</f>
        <v>#N/A</v>
      </c>
      <c r="Q406" s="49" t="e">
        <f aca="false">IF((Arterial=1),Q405+1,Q405)</f>
        <v>#N/A</v>
      </c>
      <c r="R406" s="50" t="n">
        <f aca="false">IF((RESET=1),0,R406+K406)</f>
        <v>0</v>
      </c>
      <c r="S406" s="19" t="n">
        <f aca="false">IF(RESET=1,0,S406+N406)</f>
        <v>0</v>
      </c>
      <c r="T406" s="0" t="n">
        <f aca="false">IF(RESET=1,0,T406+IF(H406=0,1,0))</f>
        <v>0</v>
      </c>
      <c r="U406" s="0" t="n">
        <f aca="false">IF(RESET=1,0,U406+H406)</f>
        <v>0</v>
      </c>
      <c r="V406" s="19" t="n">
        <f aca="false">R406/(T406+0.00001)</f>
        <v>0</v>
      </c>
      <c r="W406" s="19" t="n">
        <f aca="false">S406/(U406+0.0001)</f>
        <v>0</v>
      </c>
      <c r="X406" s="47" t="e">
        <f aca="false">IF(Informed=1,K406,0)</f>
        <v>#N/A</v>
      </c>
      <c r="Y406" s="47" t="n">
        <f aca="false">IF(Informed=0,K406,0)</f>
        <v>0</v>
      </c>
      <c r="Z406" s="47" t="e">
        <f aca="false">IF(Informed=1,N406,0)</f>
        <v>#N/A</v>
      </c>
      <c r="AA406" s="47" t="n">
        <f aca="false">IF(Informed=0,N406,0)</f>
        <v>0</v>
      </c>
      <c r="AB406" s="51" t="e">
        <f aca="false">IF(Arterial=0,IF(Informed=1,1,0),0)</f>
        <v>#N/A</v>
      </c>
      <c r="AC406" s="51" t="e">
        <f aca="false">IF(Arterial=0,IF(Informed=0,1,0),0)</f>
        <v>#N/A</v>
      </c>
      <c r="AD406" s="51" t="e">
        <f aca="false">IF(Arterial=1,IF(Informed=1,1,0),0)</f>
        <v>#N/A</v>
      </c>
      <c r="AE406" s="51" t="e">
        <f aca="false">IF(Arterial=1,IF(Informed=0,1,0),0)</f>
        <v>#N/A</v>
      </c>
      <c r="AF406" s="44" t="e">
        <f aca="false">IF(AB406=1,(X406-G$1030)^2,0)</f>
        <v>#N/A</v>
      </c>
      <c r="AG406" s="44" t="e">
        <f aca="false">IF(AC406=1,(Y406-H$1030)^2,0)</f>
        <v>#N/A</v>
      </c>
      <c r="AH406" s="44" t="e">
        <f aca="false">IF(AD406=1,(Z406-I$1030)^2,0)</f>
        <v>#N/A</v>
      </c>
      <c r="AI406" s="44" t="e">
        <f aca="false">IF(AE406=1,(AA406-J$1030)^2,0)</f>
        <v>#N/A</v>
      </c>
    </row>
    <row r="407" customFormat="false" ht="12" hidden="false" customHeight="false" outlineLevel="0" collapsed="false">
      <c r="A407" s="29" t="n">
        <v>390</v>
      </c>
      <c r="B407" s="45" t="n">
        <f aca="true">IF(RAND()&lt;$D$8,1,0)</f>
        <v>1</v>
      </c>
      <c r="C407" s="34" t="n">
        <f aca="true">-LN(RAND())/$D$2</f>
        <v>1.15949913162043</v>
      </c>
      <c r="D407" s="46" t="n">
        <f aca="false">D406+C407</f>
        <v>607.599434890056</v>
      </c>
      <c r="E407" s="47" t="e">
        <f aca="false">MAX($D$3,(1+P406-VLOOKUP(VALUE(D407),$J$18:$Q406,7,TRUE()))*$D$3)</f>
        <v>#N/A</v>
      </c>
      <c r="F407" s="47" t="e">
        <f aca="false">MAX($D$4,(1+Q406-VLOOKUP(VALUE(D407),$M$18:$Q406,5,TRUE()))*$D$4)</f>
        <v>#N/A</v>
      </c>
      <c r="G407" s="48" t="n">
        <v>0.5</v>
      </c>
      <c r="H407" s="46" t="e">
        <f aca="true">IF((B407=1),(IF((F407&lt;E407),1,(IF((F407=E407),(IF(RAND()&lt;G407,1,0)),0)))),(IF((RAND()&lt;G407),1,0)))</f>
        <v>#N/A</v>
      </c>
      <c r="I407" s="46" t="e">
        <f aca="true">IF((H407=1),0,$D$3+$D$5*(RAND()-0.5))</f>
        <v>#N/A</v>
      </c>
      <c r="J407" s="46" t="e">
        <f aca="false">I407+MAX(D407,J406)</f>
        <v>#N/A</v>
      </c>
      <c r="K407" s="46" t="e">
        <f aca="false">IF((H407=0),J407-D407,0)</f>
        <v>#N/A</v>
      </c>
      <c r="L407" s="46" t="e">
        <f aca="true">IF(($H407=0),0,$D$4+$D$5*(RAND()-0.5))</f>
        <v>#N/A</v>
      </c>
      <c r="M407" s="46" t="e">
        <f aca="false">L407+MAX(D407,M406)</f>
        <v>#N/A</v>
      </c>
      <c r="N407" s="46" t="e">
        <f aca="false">IF((H407=1),M407-D407,0)</f>
        <v>#N/A</v>
      </c>
      <c r="O407" s="29" t="n">
        <v>390</v>
      </c>
      <c r="P407" s="49" t="e">
        <f aca="false">IF((Arterial=0),P406+1,P406)</f>
        <v>#N/A</v>
      </c>
      <c r="Q407" s="49" t="e">
        <f aca="false">IF((Arterial=1),Q406+1,Q406)</f>
        <v>#N/A</v>
      </c>
      <c r="R407" s="50" t="n">
        <f aca="false">IF((RESET=1),0,R407+K407)</f>
        <v>0</v>
      </c>
      <c r="S407" s="19" t="n">
        <f aca="false">IF(RESET=1,0,S407+N407)</f>
        <v>0</v>
      </c>
      <c r="T407" s="0" t="n">
        <f aca="false">IF(RESET=1,0,T407+IF(H407=0,1,0))</f>
        <v>0</v>
      </c>
      <c r="U407" s="0" t="n">
        <f aca="false">IF(RESET=1,0,U407+H407)</f>
        <v>0</v>
      </c>
      <c r="V407" s="19" t="n">
        <f aca="false">R407/(T407+0.00001)</f>
        <v>0</v>
      </c>
      <c r="W407" s="19" t="n">
        <f aca="false">S407/(U407+0.0001)</f>
        <v>0</v>
      </c>
      <c r="X407" s="47" t="e">
        <f aca="false">IF(Informed=1,K407,0)</f>
        <v>#N/A</v>
      </c>
      <c r="Y407" s="47" t="n">
        <f aca="false">IF(Informed=0,K407,0)</f>
        <v>0</v>
      </c>
      <c r="Z407" s="47" t="e">
        <f aca="false">IF(Informed=1,N407,0)</f>
        <v>#N/A</v>
      </c>
      <c r="AA407" s="47" t="n">
        <f aca="false">IF(Informed=0,N407,0)</f>
        <v>0</v>
      </c>
      <c r="AB407" s="51" t="e">
        <f aca="false">IF(Arterial=0,IF(Informed=1,1,0),0)</f>
        <v>#N/A</v>
      </c>
      <c r="AC407" s="51" t="e">
        <f aca="false">IF(Arterial=0,IF(Informed=0,1,0),0)</f>
        <v>#N/A</v>
      </c>
      <c r="AD407" s="51" t="e">
        <f aca="false">IF(Arterial=1,IF(Informed=1,1,0),0)</f>
        <v>#N/A</v>
      </c>
      <c r="AE407" s="51" t="e">
        <f aca="false">IF(Arterial=1,IF(Informed=0,1,0),0)</f>
        <v>#N/A</v>
      </c>
      <c r="AF407" s="44" t="e">
        <f aca="false">IF(AB407=1,(X407-G$1030)^2,0)</f>
        <v>#N/A</v>
      </c>
      <c r="AG407" s="44" t="e">
        <f aca="false">IF(AC407=1,(Y407-H$1030)^2,0)</f>
        <v>#N/A</v>
      </c>
      <c r="AH407" s="44" t="e">
        <f aca="false">IF(AD407=1,(Z407-I$1030)^2,0)</f>
        <v>#N/A</v>
      </c>
      <c r="AI407" s="44" t="e">
        <f aca="false">IF(AE407=1,(AA407-J$1030)^2,0)</f>
        <v>#N/A</v>
      </c>
    </row>
    <row r="408" customFormat="false" ht="12" hidden="false" customHeight="false" outlineLevel="0" collapsed="false">
      <c r="A408" s="29" t="n">
        <v>391</v>
      </c>
      <c r="B408" s="45" t="n">
        <f aca="true">IF(RAND()&lt;$D$8,1,0)</f>
        <v>1</v>
      </c>
      <c r="C408" s="34" t="n">
        <f aca="true">-LN(RAND())/$D$2</f>
        <v>4.78974593313474</v>
      </c>
      <c r="D408" s="46" t="n">
        <f aca="false">D407+C408</f>
        <v>612.389180823191</v>
      </c>
      <c r="E408" s="47" t="e">
        <f aca="false">MAX($D$3,(1+P407-VLOOKUP(VALUE(D408),$J$18:$Q407,7,TRUE()))*$D$3)</f>
        <v>#N/A</v>
      </c>
      <c r="F408" s="47" t="e">
        <f aca="false">MAX($D$4,(1+Q407-VLOOKUP(VALUE(D408),$M$18:$Q407,5,TRUE()))*$D$4)</f>
        <v>#N/A</v>
      </c>
      <c r="G408" s="48" t="n">
        <v>0.5</v>
      </c>
      <c r="H408" s="46" t="e">
        <f aca="true">IF((B408=1),(IF((F408&lt;E408),1,(IF((F408=E408),(IF(RAND()&lt;G408,1,0)),0)))),(IF((RAND()&lt;G408),1,0)))</f>
        <v>#N/A</v>
      </c>
      <c r="I408" s="46" t="e">
        <f aca="true">IF((H408=1),0,$D$3+$D$5*(RAND()-0.5))</f>
        <v>#N/A</v>
      </c>
      <c r="J408" s="46" t="e">
        <f aca="false">I408+MAX(D408,J407)</f>
        <v>#N/A</v>
      </c>
      <c r="K408" s="46" t="e">
        <f aca="false">IF((H408=0),J408-D408,0)</f>
        <v>#N/A</v>
      </c>
      <c r="L408" s="46" t="e">
        <f aca="true">IF(($H408=0),0,$D$4+$D$5*(RAND()-0.5))</f>
        <v>#N/A</v>
      </c>
      <c r="M408" s="46" t="e">
        <f aca="false">L408+MAX(D408,M407)</f>
        <v>#N/A</v>
      </c>
      <c r="N408" s="46" t="e">
        <f aca="false">IF((H408=1),M408-D408,0)</f>
        <v>#N/A</v>
      </c>
      <c r="O408" s="29" t="n">
        <v>391</v>
      </c>
      <c r="P408" s="49" t="e">
        <f aca="false">IF((Arterial=0),P407+1,P407)</f>
        <v>#N/A</v>
      </c>
      <c r="Q408" s="49" t="e">
        <f aca="false">IF((Arterial=1),Q407+1,Q407)</f>
        <v>#N/A</v>
      </c>
      <c r="R408" s="50" t="n">
        <f aca="false">IF((RESET=1),0,R408+K408)</f>
        <v>0</v>
      </c>
      <c r="S408" s="19" t="n">
        <f aca="false">IF(RESET=1,0,S408+N408)</f>
        <v>0</v>
      </c>
      <c r="T408" s="0" t="n">
        <f aca="false">IF(RESET=1,0,T408+IF(H408=0,1,0))</f>
        <v>0</v>
      </c>
      <c r="U408" s="0" t="n">
        <f aca="false">IF(RESET=1,0,U408+H408)</f>
        <v>0</v>
      </c>
      <c r="V408" s="19" t="n">
        <f aca="false">R408/(T408+0.00001)</f>
        <v>0</v>
      </c>
      <c r="W408" s="19" t="n">
        <f aca="false">S408/(U408+0.0001)</f>
        <v>0</v>
      </c>
      <c r="X408" s="47" t="e">
        <f aca="false">IF(Informed=1,K408,0)</f>
        <v>#N/A</v>
      </c>
      <c r="Y408" s="47" t="n">
        <f aca="false">IF(Informed=0,K408,0)</f>
        <v>0</v>
      </c>
      <c r="Z408" s="47" t="e">
        <f aca="false">IF(Informed=1,N408,0)</f>
        <v>#N/A</v>
      </c>
      <c r="AA408" s="47" t="n">
        <f aca="false">IF(Informed=0,N408,0)</f>
        <v>0</v>
      </c>
      <c r="AB408" s="51" t="e">
        <f aca="false">IF(Arterial=0,IF(Informed=1,1,0),0)</f>
        <v>#N/A</v>
      </c>
      <c r="AC408" s="51" t="e">
        <f aca="false">IF(Arterial=0,IF(Informed=0,1,0),0)</f>
        <v>#N/A</v>
      </c>
      <c r="AD408" s="51" t="e">
        <f aca="false">IF(Arterial=1,IF(Informed=1,1,0),0)</f>
        <v>#N/A</v>
      </c>
      <c r="AE408" s="51" t="e">
        <f aca="false">IF(Arterial=1,IF(Informed=0,1,0),0)</f>
        <v>#N/A</v>
      </c>
      <c r="AF408" s="44" t="e">
        <f aca="false">IF(AB408=1,(X408-G$1030)^2,0)</f>
        <v>#N/A</v>
      </c>
      <c r="AG408" s="44" t="e">
        <f aca="false">IF(AC408=1,(Y408-H$1030)^2,0)</f>
        <v>#N/A</v>
      </c>
      <c r="AH408" s="44" t="e">
        <f aca="false">IF(AD408=1,(Z408-I$1030)^2,0)</f>
        <v>#N/A</v>
      </c>
      <c r="AI408" s="44" t="e">
        <f aca="false">IF(AE408=1,(AA408-J$1030)^2,0)</f>
        <v>#N/A</v>
      </c>
    </row>
    <row r="409" customFormat="false" ht="12" hidden="false" customHeight="false" outlineLevel="0" collapsed="false">
      <c r="A409" s="29" t="n">
        <v>392</v>
      </c>
      <c r="B409" s="45" t="n">
        <f aca="true">IF(RAND()&lt;$D$8,1,0)</f>
        <v>1</v>
      </c>
      <c r="C409" s="34" t="n">
        <f aca="true">-LN(RAND())/$D$2</f>
        <v>0.0230720921813137</v>
      </c>
      <c r="D409" s="46" t="n">
        <f aca="false">D408+C409</f>
        <v>612.412252915372</v>
      </c>
      <c r="E409" s="47" t="e">
        <f aca="false">MAX($D$3,(1+P408-VLOOKUP(VALUE(D409),$J$18:$Q408,7,TRUE()))*$D$3)</f>
        <v>#N/A</v>
      </c>
      <c r="F409" s="47" t="e">
        <f aca="false">MAX($D$4,(1+Q408-VLOOKUP(VALUE(D409),$M$18:$Q408,5,TRUE()))*$D$4)</f>
        <v>#N/A</v>
      </c>
      <c r="G409" s="48" t="n">
        <v>0.5</v>
      </c>
      <c r="H409" s="46" t="e">
        <f aca="true">IF((B409=1),(IF((F409&lt;E409),1,(IF((F409=E409),(IF(RAND()&lt;G409,1,0)),0)))),(IF((RAND()&lt;G409),1,0)))</f>
        <v>#N/A</v>
      </c>
      <c r="I409" s="46" t="e">
        <f aca="true">IF((H409=1),0,$D$3+$D$5*(RAND()-0.5))</f>
        <v>#N/A</v>
      </c>
      <c r="J409" s="46" t="e">
        <f aca="false">I409+MAX(D409,J408)</f>
        <v>#N/A</v>
      </c>
      <c r="K409" s="46" t="e">
        <f aca="false">IF((H409=0),J409-D409,0)</f>
        <v>#N/A</v>
      </c>
      <c r="L409" s="46" t="e">
        <f aca="true">IF(($H409=0),0,$D$4+$D$5*(RAND()-0.5))</f>
        <v>#N/A</v>
      </c>
      <c r="M409" s="46" t="e">
        <f aca="false">L409+MAX(D409,M408)</f>
        <v>#N/A</v>
      </c>
      <c r="N409" s="46" t="e">
        <f aca="false">IF((H409=1),M409-D409,0)</f>
        <v>#N/A</v>
      </c>
      <c r="O409" s="29" t="n">
        <v>392</v>
      </c>
      <c r="P409" s="49" t="e">
        <f aca="false">IF((Arterial=0),P408+1,P408)</f>
        <v>#N/A</v>
      </c>
      <c r="Q409" s="49" t="e">
        <f aca="false">IF((Arterial=1),Q408+1,Q408)</f>
        <v>#N/A</v>
      </c>
      <c r="R409" s="50" t="n">
        <f aca="false">IF((RESET=1),0,R409+K409)</f>
        <v>0</v>
      </c>
      <c r="S409" s="19" t="n">
        <f aca="false">IF(RESET=1,0,S409+N409)</f>
        <v>0</v>
      </c>
      <c r="T409" s="0" t="n">
        <f aca="false">IF(RESET=1,0,T409+IF(H409=0,1,0))</f>
        <v>0</v>
      </c>
      <c r="U409" s="0" t="n">
        <f aca="false">IF(RESET=1,0,U409+H409)</f>
        <v>0</v>
      </c>
      <c r="V409" s="19" t="n">
        <f aca="false">R409/(T409+0.00001)</f>
        <v>0</v>
      </c>
      <c r="W409" s="19" t="n">
        <f aca="false">S409/(U409+0.0001)</f>
        <v>0</v>
      </c>
      <c r="X409" s="47" t="e">
        <f aca="false">IF(Informed=1,K409,0)</f>
        <v>#N/A</v>
      </c>
      <c r="Y409" s="47" t="n">
        <f aca="false">IF(Informed=0,K409,0)</f>
        <v>0</v>
      </c>
      <c r="Z409" s="47" t="e">
        <f aca="false">IF(Informed=1,N409,0)</f>
        <v>#N/A</v>
      </c>
      <c r="AA409" s="47" t="n">
        <f aca="false">IF(Informed=0,N409,0)</f>
        <v>0</v>
      </c>
      <c r="AB409" s="51" t="e">
        <f aca="false">IF(Arterial=0,IF(Informed=1,1,0),0)</f>
        <v>#N/A</v>
      </c>
      <c r="AC409" s="51" t="e">
        <f aca="false">IF(Arterial=0,IF(Informed=0,1,0),0)</f>
        <v>#N/A</v>
      </c>
      <c r="AD409" s="51" t="e">
        <f aca="false">IF(Arterial=1,IF(Informed=1,1,0),0)</f>
        <v>#N/A</v>
      </c>
      <c r="AE409" s="51" t="e">
        <f aca="false">IF(Arterial=1,IF(Informed=0,1,0),0)</f>
        <v>#N/A</v>
      </c>
      <c r="AF409" s="44" t="e">
        <f aca="false">IF(AB409=1,(X409-G$1030)^2,0)</f>
        <v>#N/A</v>
      </c>
      <c r="AG409" s="44" t="e">
        <f aca="false">IF(AC409=1,(Y409-H$1030)^2,0)</f>
        <v>#N/A</v>
      </c>
      <c r="AH409" s="44" t="e">
        <f aca="false">IF(AD409=1,(Z409-I$1030)^2,0)</f>
        <v>#N/A</v>
      </c>
      <c r="AI409" s="44" t="e">
        <f aca="false">IF(AE409=1,(AA409-J$1030)^2,0)</f>
        <v>#N/A</v>
      </c>
    </row>
    <row r="410" customFormat="false" ht="12" hidden="false" customHeight="false" outlineLevel="0" collapsed="false">
      <c r="A410" s="29" t="n">
        <v>393</v>
      </c>
      <c r="B410" s="45" t="n">
        <f aca="true">IF(RAND()&lt;$D$8,1,0)</f>
        <v>1</v>
      </c>
      <c r="C410" s="34" t="n">
        <f aca="true">-LN(RAND())/$D$2</f>
        <v>0.213398600863417</v>
      </c>
      <c r="D410" s="46" t="n">
        <f aca="false">D409+C410</f>
        <v>612.625651516236</v>
      </c>
      <c r="E410" s="47" t="e">
        <f aca="false">MAX($D$3,(1+P409-VLOOKUP(VALUE(D410),$J$18:$Q409,7,TRUE()))*$D$3)</f>
        <v>#N/A</v>
      </c>
      <c r="F410" s="47" t="e">
        <f aca="false">MAX($D$4,(1+Q409-VLOOKUP(VALUE(D410),$M$18:$Q409,5,TRUE()))*$D$4)</f>
        <v>#N/A</v>
      </c>
      <c r="G410" s="48" t="n">
        <v>0.5</v>
      </c>
      <c r="H410" s="46" t="e">
        <f aca="true">IF((B410=1),(IF((F410&lt;E410),1,(IF((F410=E410),(IF(RAND()&lt;G410,1,0)),0)))),(IF((RAND()&lt;G410),1,0)))</f>
        <v>#N/A</v>
      </c>
      <c r="I410" s="46" t="e">
        <f aca="true">IF((H410=1),0,$D$3+$D$5*(RAND()-0.5))</f>
        <v>#N/A</v>
      </c>
      <c r="J410" s="46" t="e">
        <f aca="false">I410+MAX(D410,J409)</f>
        <v>#N/A</v>
      </c>
      <c r="K410" s="46" t="e">
        <f aca="false">IF((H410=0),J410-D410,0)</f>
        <v>#N/A</v>
      </c>
      <c r="L410" s="46" t="e">
        <f aca="true">IF(($H410=0),0,$D$4+$D$5*(RAND()-0.5))</f>
        <v>#N/A</v>
      </c>
      <c r="M410" s="46" t="e">
        <f aca="false">L410+MAX(D410,M409)</f>
        <v>#N/A</v>
      </c>
      <c r="N410" s="46" t="e">
        <f aca="false">IF((H410=1),M410-D410,0)</f>
        <v>#N/A</v>
      </c>
      <c r="O410" s="29" t="n">
        <v>393</v>
      </c>
      <c r="P410" s="49" t="e">
        <f aca="false">IF((Arterial=0),P409+1,P409)</f>
        <v>#N/A</v>
      </c>
      <c r="Q410" s="49" t="e">
        <f aca="false">IF((Arterial=1),Q409+1,Q409)</f>
        <v>#N/A</v>
      </c>
      <c r="R410" s="50" t="n">
        <f aca="false">IF((RESET=1),0,R410+K410)</f>
        <v>0</v>
      </c>
      <c r="S410" s="19" t="n">
        <f aca="false">IF(RESET=1,0,S410+N410)</f>
        <v>0</v>
      </c>
      <c r="T410" s="0" t="n">
        <f aca="false">IF(RESET=1,0,T410+IF(H410=0,1,0))</f>
        <v>0</v>
      </c>
      <c r="U410" s="0" t="n">
        <f aca="false">IF(RESET=1,0,U410+H410)</f>
        <v>0</v>
      </c>
      <c r="V410" s="19" t="n">
        <f aca="false">R410/(T410+0.00001)</f>
        <v>0</v>
      </c>
      <c r="W410" s="19" t="n">
        <f aca="false">S410/(U410+0.0001)</f>
        <v>0</v>
      </c>
      <c r="X410" s="47" t="e">
        <f aca="false">IF(Informed=1,K410,0)</f>
        <v>#N/A</v>
      </c>
      <c r="Y410" s="47" t="n">
        <f aca="false">IF(Informed=0,K410,0)</f>
        <v>0</v>
      </c>
      <c r="Z410" s="47" t="e">
        <f aca="false">IF(Informed=1,N410,0)</f>
        <v>#N/A</v>
      </c>
      <c r="AA410" s="47" t="n">
        <f aca="false">IF(Informed=0,N410,0)</f>
        <v>0</v>
      </c>
      <c r="AB410" s="51" t="e">
        <f aca="false">IF(Arterial=0,IF(Informed=1,1,0),0)</f>
        <v>#N/A</v>
      </c>
      <c r="AC410" s="51" t="e">
        <f aca="false">IF(Arterial=0,IF(Informed=0,1,0),0)</f>
        <v>#N/A</v>
      </c>
      <c r="AD410" s="51" t="e">
        <f aca="false">IF(Arterial=1,IF(Informed=1,1,0),0)</f>
        <v>#N/A</v>
      </c>
      <c r="AE410" s="51" t="e">
        <f aca="false">IF(Arterial=1,IF(Informed=0,1,0),0)</f>
        <v>#N/A</v>
      </c>
      <c r="AF410" s="44" t="e">
        <f aca="false">IF(AB410=1,(X410-G$1030)^2,0)</f>
        <v>#N/A</v>
      </c>
      <c r="AG410" s="44" t="e">
        <f aca="false">IF(AC410=1,(Y410-H$1030)^2,0)</f>
        <v>#N/A</v>
      </c>
      <c r="AH410" s="44" t="e">
        <f aca="false">IF(AD410=1,(Z410-I$1030)^2,0)</f>
        <v>#N/A</v>
      </c>
      <c r="AI410" s="44" t="e">
        <f aca="false">IF(AE410=1,(AA410-J$1030)^2,0)</f>
        <v>#N/A</v>
      </c>
    </row>
    <row r="411" customFormat="false" ht="12" hidden="false" customHeight="false" outlineLevel="0" collapsed="false">
      <c r="A411" s="29" t="n">
        <v>394</v>
      </c>
      <c r="B411" s="45" t="n">
        <f aca="true">IF(RAND()&lt;$D$8,1,0)</f>
        <v>1</v>
      </c>
      <c r="C411" s="34" t="n">
        <f aca="true">-LN(RAND())/$D$2</f>
        <v>0.059858048164012</v>
      </c>
      <c r="D411" s="46" t="n">
        <f aca="false">D410+C411</f>
        <v>612.6855095644</v>
      </c>
      <c r="E411" s="47" t="e">
        <f aca="false">MAX($D$3,(1+P410-VLOOKUP(VALUE(D411),$J$18:$Q410,7,TRUE()))*$D$3)</f>
        <v>#N/A</v>
      </c>
      <c r="F411" s="47" t="e">
        <f aca="false">MAX($D$4,(1+Q410-VLOOKUP(VALUE(D411),$M$18:$Q410,5,TRUE()))*$D$4)</f>
        <v>#N/A</v>
      </c>
      <c r="G411" s="48" t="n">
        <v>0.5</v>
      </c>
      <c r="H411" s="46" t="e">
        <f aca="true">IF((B411=1),(IF((F411&lt;E411),1,(IF((F411=E411),(IF(RAND()&lt;G411,1,0)),0)))),(IF((RAND()&lt;G411),1,0)))</f>
        <v>#N/A</v>
      </c>
      <c r="I411" s="46" t="e">
        <f aca="true">IF((H411=1),0,$D$3+$D$5*(RAND()-0.5))</f>
        <v>#N/A</v>
      </c>
      <c r="J411" s="46" t="e">
        <f aca="false">I411+MAX(D411,J410)</f>
        <v>#N/A</v>
      </c>
      <c r="K411" s="46" t="e">
        <f aca="false">IF((H411=0),J411-D411,0)</f>
        <v>#N/A</v>
      </c>
      <c r="L411" s="46" t="e">
        <f aca="true">IF(($H411=0),0,$D$4+$D$5*(RAND()-0.5))</f>
        <v>#N/A</v>
      </c>
      <c r="M411" s="46" t="e">
        <f aca="false">L411+MAX(D411,M410)</f>
        <v>#N/A</v>
      </c>
      <c r="N411" s="46" t="e">
        <f aca="false">IF((H411=1),M411-D411,0)</f>
        <v>#N/A</v>
      </c>
      <c r="O411" s="29" t="n">
        <v>394</v>
      </c>
      <c r="P411" s="49" t="e">
        <f aca="false">IF((Arterial=0),P410+1,P410)</f>
        <v>#N/A</v>
      </c>
      <c r="Q411" s="49" t="e">
        <f aca="false">IF((Arterial=1),Q410+1,Q410)</f>
        <v>#N/A</v>
      </c>
      <c r="R411" s="50" t="n">
        <f aca="false">IF((RESET=1),0,R411+K411)</f>
        <v>0</v>
      </c>
      <c r="S411" s="19" t="n">
        <f aca="false">IF(RESET=1,0,S411+N411)</f>
        <v>0</v>
      </c>
      <c r="T411" s="0" t="n">
        <f aca="false">IF(RESET=1,0,T411+IF(H411=0,1,0))</f>
        <v>0</v>
      </c>
      <c r="U411" s="0" t="n">
        <f aca="false">IF(RESET=1,0,U411+H411)</f>
        <v>0</v>
      </c>
      <c r="V411" s="19" t="n">
        <f aca="false">R411/(T411+0.00001)</f>
        <v>0</v>
      </c>
      <c r="W411" s="19" t="n">
        <f aca="false">S411/(U411+0.0001)</f>
        <v>0</v>
      </c>
      <c r="X411" s="47" t="e">
        <f aca="false">IF(Informed=1,K411,0)</f>
        <v>#N/A</v>
      </c>
      <c r="Y411" s="47" t="n">
        <f aca="false">IF(Informed=0,K411,0)</f>
        <v>0</v>
      </c>
      <c r="Z411" s="47" t="e">
        <f aca="false">IF(Informed=1,N411,0)</f>
        <v>#N/A</v>
      </c>
      <c r="AA411" s="47" t="n">
        <f aca="false">IF(Informed=0,N411,0)</f>
        <v>0</v>
      </c>
      <c r="AB411" s="51" t="e">
        <f aca="false">IF(Arterial=0,IF(Informed=1,1,0),0)</f>
        <v>#N/A</v>
      </c>
      <c r="AC411" s="51" t="e">
        <f aca="false">IF(Arterial=0,IF(Informed=0,1,0),0)</f>
        <v>#N/A</v>
      </c>
      <c r="AD411" s="51" t="e">
        <f aca="false">IF(Arterial=1,IF(Informed=1,1,0),0)</f>
        <v>#N/A</v>
      </c>
      <c r="AE411" s="51" t="e">
        <f aca="false">IF(Arterial=1,IF(Informed=0,1,0),0)</f>
        <v>#N/A</v>
      </c>
      <c r="AF411" s="44" t="e">
        <f aca="false">IF(AB411=1,(X411-G$1030)^2,0)</f>
        <v>#N/A</v>
      </c>
      <c r="AG411" s="44" t="e">
        <f aca="false">IF(AC411=1,(Y411-H$1030)^2,0)</f>
        <v>#N/A</v>
      </c>
      <c r="AH411" s="44" t="e">
        <f aca="false">IF(AD411=1,(Z411-I$1030)^2,0)</f>
        <v>#N/A</v>
      </c>
      <c r="AI411" s="44" t="e">
        <f aca="false">IF(AE411=1,(AA411-J$1030)^2,0)</f>
        <v>#N/A</v>
      </c>
    </row>
    <row r="412" customFormat="false" ht="12" hidden="false" customHeight="false" outlineLevel="0" collapsed="false">
      <c r="A412" s="29" t="n">
        <v>395</v>
      </c>
      <c r="B412" s="45" t="n">
        <f aca="true">IF(RAND()&lt;$D$8,1,0)</f>
        <v>1</v>
      </c>
      <c r="C412" s="34" t="n">
        <f aca="true">-LN(RAND())/$D$2</f>
        <v>0.506417647466151</v>
      </c>
      <c r="D412" s="46" t="n">
        <f aca="false">D411+C412</f>
        <v>613.191927211866</v>
      </c>
      <c r="E412" s="47" t="e">
        <f aca="false">MAX($D$3,(1+P411-VLOOKUP(VALUE(D412),$J$18:$Q411,7,TRUE()))*$D$3)</f>
        <v>#N/A</v>
      </c>
      <c r="F412" s="47" t="e">
        <f aca="false">MAX($D$4,(1+Q411-VLOOKUP(VALUE(D412),$M$18:$Q411,5,TRUE()))*$D$4)</f>
        <v>#N/A</v>
      </c>
      <c r="G412" s="48" t="n">
        <v>0.5</v>
      </c>
      <c r="H412" s="46" t="e">
        <f aca="true">IF((B412=1),(IF((F412&lt;E412),1,(IF((F412=E412),(IF(RAND()&lt;G412,1,0)),0)))),(IF((RAND()&lt;G412),1,0)))</f>
        <v>#N/A</v>
      </c>
      <c r="I412" s="46" t="e">
        <f aca="true">IF((H412=1),0,$D$3+$D$5*(RAND()-0.5))</f>
        <v>#N/A</v>
      </c>
      <c r="J412" s="46" t="e">
        <f aca="false">I412+MAX(D412,J411)</f>
        <v>#N/A</v>
      </c>
      <c r="K412" s="46" t="e">
        <f aca="false">IF((H412=0),J412-D412,0)</f>
        <v>#N/A</v>
      </c>
      <c r="L412" s="46" t="e">
        <f aca="true">IF(($H412=0),0,$D$4+$D$5*(RAND()-0.5))</f>
        <v>#N/A</v>
      </c>
      <c r="M412" s="46" t="e">
        <f aca="false">L412+MAX(D412,M411)</f>
        <v>#N/A</v>
      </c>
      <c r="N412" s="46" t="e">
        <f aca="false">IF((H412=1),M412-D412,0)</f>
        <v>#N/A</v>
      </c>
      <c r="O412" s="29" t="n">
        <v>395</v>
      </c>
      <c r="P412" s="49" t="e">
        <f aca="false">IF((Arterial=0),P411+1,P411)</f>
        <v>#N/A</v>
      </c>
      <c r="Q412" s="49" t="e">
        <f aca="false">IF((Arterial=1),Q411+1,Q411)</f>
        <v>#N/A</v>
      </c>
      <c r="R412" s="50" t="n">
        <f aca="false">IF((RESET=1),0,R412+K412)</f>
        <v>0</v>
      </c>
      <c r="S412" s="19" t="n">
        <f aca="false">IF(RESET=1,0,S412+N412)</f>
        <v>0</v>
      </c>
      <c r="T412" s="0" t="n">
        <f aca="false">IF(RESET=1,0,T412+IF(H412=0,1,0))</f>
        <v>0</v>
      </c>
      <c r="U412" s="0" t="n">
        <f aca="false">IF(RESET=1,0,U412+H412)</f>
        <v>0</v>
      </c>
      <c r="V412" s="19" t="n">
        <f aca="false">R412/(T412+0.00001)</f>
        <v>0</v>
      </c>
      <c r="W412" s="19" t="n">
        <f aca="false">S412/(U412+0.0001)</f>
        <v>0</v>
      </c>
      <c r="X412" s="47" t="e">
        <f aca="false">IF(Informed=1,K412,0)</f>
        <v>#N/A</v>
      </c>
      <c r="Y412" s="47" t="n">
        <f aca="false">IF(Informed=0,K412,0)</f>
        <v>0</v>
      </c>
      <c r="Z412" s="47" t="e">
        <f aca="false">IF(Informed=1,N412,0)</f>
        <v>#N/A</v>
      </c>
      <c r="AA412" s="47" t="n">
        <f aca="false">IF(Informed=0,N412,0)</f>
        <v>0</v>
      </c>
      <c r="AB412" s="51" t="e">
        <f aca="false">IF(Arterial=0,IF(Informed=1,1,0),0)</f>
        <v>#N/A</v>
      </c>
      <c r="AC412" s="51" t="e">
        <f aca="false">IF(Arterial=0,IF(Informed=0,1,0),0)</f>
        <v>#N/A</v>
      </c>
      <c r="AD412" s="51" t="e">
        <f aca="false">IF(Arterial=1,IF(Informed=1,1,0),0)</f>
        <v>#N/A</v>
      </c>
      <c r="AE412" s="51" t="e">
        <f aca="false">IF(Arterial=1,IF(Informed=0,1,0),0)</f>
        <v>#N/A</v>
      </c>
      <c r="AF412" s="44" t="e">
        <f aca="false">IF(AB412=1,(X412-G$1030)^2,0)</f>
        <v>#N/A</v>
      </c>
      <c r="AG412" s="44" t="e">
        <f aca="false">IF(AC412=1,(Y412-H$1030)^2,0)</f>
        <v>#N/A</v>
      </c>
      <c r="AH412" s="44" t="e">
        <f aca="false">IF(AD412=1,(Z412-I$1030)^2,0)</f>
        <v>#N/A</v>
      </c>
      <c r="AI412" s="44" t="e">
        <f aca="false">IF(AE412=1,(AA412-J$1030)^2,0)</f>
        <v>#N/A</v>
      </c>
    </row>
    <row r="413" customFormat="false" ht="12" hidden="false" customHeight="false" outlineLevel="0" collapsed="false">
      <c r="A413" s="29" t="n">
        <v>396</v>
      </c>
      <c r="B413" s="45" t="n">
        <f aca="true">IF(RAND()&lt;$D$8,1,0)</f>
        <v>1</v>
      </c>
      <c r="C413" s="34" t="n">
        <f aca="true">-LN(RAND())/$D$2</f>
        <v>0.860382577190445</v>
      </c>
      <c r="D413" s="46" t="n">
        <f aca="false">D412+C413</f>
        <v>614.052309789056</v>
      </c>
      <c r="E413" s="47" t="e">
        <f aca="false">MAX($D$3,(1+P412-VLOOKUP(VALUE(D413),$J$18:$Q412,7,TRUE()))*$D$3)</f>
        <v>#N/A</v>
      </c>
      <c r="F413" s="47" t="e">
        <f aca="false">MAX($D$4,(1+Q412-VLOOKUP(VALUE(D413),$M$18:$Q412,5,TRUE()))*$D$4)</f>
        <v>#N/A</v>
      </c>
      <c r="G413" s="48" t="n">
        <v>0.5</v>
      </c>
      <c r="H413" s="46" t="e">
        <f aca="true">IF((B413=1),(IF((F413&lt;E413),1,(IF((F413=E413),(IF(RAND()&lt;G413,1,0)),0)))),(IF((RAND()&lt;G413),1,0)))</f>
        <v>#N/A</v>
      </c>
      <c r="I413" s="46" t="e">
        <f aca="true">IF((H413=1),0,$D$3+$D$5*(RAND()-0.5))</f>
        <v>#N/A</v>
      </c>
      <c r="J413" s="46" t="e">
        <f aca="false">I413+MAX(D413,J412)</f>
        <v>#N/A</v>
      </c>
      <c r="K413" s="46" t="e">
        <f aca="false">IF((H413=0),J413-D413,0)</f>
        <v>#N/A</v>
      </c>
      <c r="L413" s="46" t="e">
        <f aca="true">IF(($H413=0),0,$D$4+$D$5*(RAND()-0.5))</f>
        <v>#N/A</v>
      </c>
      <c r="M413" s="46" t="e">
        <f aca="false">L413+MAX(D413,M412)</f>
        <v>#N/A</v>
      </c>
      <c r="N413" s="46" t="e">
        <f aca="false">IF((H413=1),M413-D413,0)</f>
        <v>#N/A</v>
      </c>
      <c r="O413" s="29" t="n">
        <v>396</v>
      </c>
      <c r="P413" s="49" t="e">
        <f aca="false">IF((Arterial=0),P412+1,P412)</f>
        <v>#N/A</v>
      </c>
      <c r="Q413" s="49" t="e">
        <f aca="false">IF((Arterial=1),Q412+1,Q412)</f>
        <v>#N/A</v>
      </c>
      <c r="R413" s="50" t="n">
        <f aca="false">IF((RESET=1),0,R413+K413)</f>
        <v>0</v>
      </c>
      <c r="S413" s="19" t="n">
        <f aca="false">IF(RESET=1,0,S413+N413)</f>
        <v>0</v>
      </c>
      <c r="T413" s="0" t="n">
        <f aca="false">IF(RESET=1,0,T413+IF(H413=0,1,0))</f>
        <v>0</v>
      </c>
      <c r="U413" s="0" t="n">
        <f aca="false">IF(RESET=1,0,U413+H413)</f>
        <v>0</v>
      </c>
      <c r="V413" s="19" t="n">
        <f aca="false">R413/(T413+0.00001)</f>
        <v>0</v>
      </c>
      <c r="W413" s="19" t="n">
        <f aca="false">S413/(U413+0.0001)</f>
        <v>0</v>
      </c>
      <c r="X413" s="47" t="e">
        <f aca="false">IF(Informed=1,K413,0)</f>
        <v>#N/A</v>
      </c>
      <c r="Y413" s="47" t="n">
        <f aca="false">IF(Informed=0,K413,0)</f>
        <v>0</v>
      </c>
      <c r="Z413" s="47" t="e">
        <f aca="false">IF(Informed=1,N413,0)</f>
        <v>#N/A</v>
      </c>
      <c r="AA413" s="47" t="n">
        <f aca="false">IF(Informed=0,N413,0)</f>
        <v>0</v>
      </c>
      <c r="AB413" s="51" t="e">
        <f aca="false">IF(Arterial=0,IF(Informed=1,1,0),0)</f>
        <v>#N/A</v>
      </c>
      <c r="AC413" s="51" t="e">
        <f aca="false">IF(Arterial=0,IF(Informed=0,1,0),0)</f>
        <v>#N/A</v>
      </c>
      <c r="AD413" s="51" t="e">
        <f aca="false">IF(Arterial=1,IF(Informed=1,1,0),0)</f>
        <v>#N/A</v>
      </c>
      <c r="AE413" s="51" t="e">
        <f aca="false">IF(Arterial=1,IF(Informed=0,1,0),0)</f>
        <v>#N/A</v>
      </c>
      <c r="AF413" s="44" t="e">
        <f aca="false">IF(AB413=1,(X413-G$1030)^2,0)</f>
        <v>#N/A</v>
      </c>
      <c r="AG413" s="44" t="e">
        <f aca="false">IF(AC413=1,(Y413-H$1030)^2,0)</f>
        <v>#N/A</v>
      </c>
      <c r="AH413" s="44" t="e">
        <f aca="false">IF(AD413=1,(Z413-I$1030)^2,0)</f>
        <v>#N/A</v>
      </c>
      <c r="AI413" s="44" t="e">
        <f aca="false">IF(AE413=1,(AA413-J$1030)^2,0)</f>
        <v>#N/A</v>
      </c>
    </row>
    <row r="414" customFormat="false" ht="12" hidden="false" customHeight="false" outlineLevel="0" collapsed="false">
      <c r="A414" s="29" t="n">
        <v>397</v>
      </c>
      <c r="B414" s="45" t="n">
        <f aca="true">IF(RAND()&lt;$D$8,1,0)</f>
        <v>1</v>
      </c>
      <c r="C414" s="34" t="n">
        <f aca="true">-LN(RAND())/$D$2</f>
        <v>1.26327475270554</v>
      </c>
      <c r="D414" s="46" t="n">
        <f aca="false">D413+C414</f>
        <v>615.315584541762</v>
      </c>
      <c r="E414" s="47" t="e">
        <f aca="false">MAX($D$3,(1+P413-VLOOKUP(VALUE(D414),$J$18:$Q413,7,TRUE()))*$D$3)</f>
        <v>#N/A</v>
      </c>
      <c r="F414" s="47" t="e">
        <f aca="false">MAX($D$4,(1+Q413-VLOOKUP(VALUE(D414),$M$18:$Q413,5,TRUE()))*$D$4)</f>
        <v>#N/A</v>
      </c>
      <c r="G414" s="48" t="n">
        <v>0.5</v>
      </c>
      <c r="H414" s="46" t="e">
        <f aca="true">IF((B414=1),(IF((F414&lt;E414),1,(IF((F414=E414),(IF(RAND()&lt;G414,1,0)),0)))),(IF((RAND()&lt;G414),1,0)))</f>
        <v>#N/A</v>
      </c>
      <c r="I414" s="46" t="e">
        <f aca="true">IF((H414=1),0,$D$3+$D$5*(RAND()-0.5))</f>
        <v>#N/A</v>
      </c>
      <c r="J414" s="46" t="e">
        <f aca="false">I414+MAX(D414,J413)</f>
        <v>#N/A</v>
      </c>
      <c r="K414" s="46" t="e">
        <f aca="false">IF((H414=0),J414-D414,0)</f>
        <v>#N/A</v>
      </c>
      <c r="L414" s="46" t="e">
        <f aca="true">IF(($H414=0),0,$D$4+$D$5*(RAND()-0.5))</f>
        <v>#N/A</v>
      </c>
      <c r="M414" s="46" t="e">
        <f aca="false">L414+MAX(D414,M413)</f>
        <v>#N/A</v>
      </c>
      <c r="N414" s="46" t="e">
        <f aca="false">IF((H414=1),M414-D414,0)</f>
        <v>#N/A</v>
      </c>
      <c r="O414" s="29" t="n">
        <v>397</v>
      </c>
      <c r="P414" s="49" t="e">
        <f aca="false">IF((Arterial=0),P413+1,P413)</f>
        <v>#N/A</v>
      </c>
      <c r="Q414" s="49" t="e">
        <f aca="false">IF((Arterial=1),Q413+1,Q413)</f>
        <v>#N/A</v>
      </c>
      <c r="R414" s="50" t="n">
        <f aca="false">IF((RESET=1),0,R414+K414)</f>
        <v>0</v>
      </c>
      <c r="S414" s="19" t="n">
        <f aca="false">IF(RESET=1,0,S414+N414)</f>
        <v>0</v>
      </c>
      <c r="T414" s="0" t="n">
        <f aca="false">IF(RESET=1,0,T414+IF(H414=0,1,0))</f>
        <v>0</v>
      </c>
      <c r="U414" s="0" t="n">
        <f aca="false">IF(RESET=1,0,U414+H414)</f>
        <v>0</v>
      </c>
      <c r="V414" s="19" t="n">
        <f aca="false">R414/(T414+0.00001)</f>
        <v>0</v>
      </c>
      <c r="W414" s="19" t="n">
        <f aca="false">S414/(U414+0.0001)</f>
        <v>0</v>
      </c>
      <c r="X414" s="47" t="e">
        <f aca="false">IF(Informed=1,K414,0)</f>
        <v>#N/A</v>
      </c>
      <c r="Y414" s="47" t="n">
        <f aca="false">IF(Informed=0,K414,0)</f>
        <v>0</v>
      </c>
      <c r="Z414" s="47" t="e">
        <f aca="false">IF(Informed=1,N414,0)</f>
        <v>#N/A</v>
      </c>
      <c r="AA414" s="47" t="n">
        <f aca="false">IF(Informed=0,N414,0)</f>
        <v>0</v>
      </c>
      <c r="AB414" s="51" t="e">
        <f aca="false">IF(Arterial=0,IF(Informed=1,1,0),0)</f>
        <v>#N/A</v>
      </c>
      <c r="AC414" s="51" t="e">
        <f aca="false">IF(Arterial=0,IF(Informed=0,1,0),0)</f>
        <v>#N/A</v>
      </c>
      <c r="AD414" s="51" t="e">
        <f aca="false">IF(Arterial=1,IF(Informed=1,1,0),0)</f>
        <v>#N/A</v>
      </c>
      <c r="AE414" s="51" t="e">
        <f aca="false">IF(Arterial=1,IF(Informed=0,1,0),0)</f>
        <v>#N/A</v>
      </c>
      <c r="AF414" s="44" t="e">
        <f aca="false">IF(AB414=1,(X414-G$1030)^2,0)</f>
        <v>#N/A</v>
      </c>
      <c r="AG414" s="44" t="e">
        <f aca="false">IF(AC414=1,(Y414-H$1030)^2,0)</f>
        <v>#N/A</v>
      </c>
      <c r="AH414" s="44" t="e">
        <f aca="false">IF(AD414=1,(Z414-I$1030)^2,0)</f>
        <v>#N/A</v>
      </c>
      <c r="AI414" s="44" t="e">
        <f aca="false">IF(AE414=1,(AA414-J$1030)^2,0)</f>
        <v>#N/A</v>
      </c>
    </row>
    <row r="415" customFormat="false" ht="12" hidden="false" customHeight="false" outlineLevel="0" collapsed="false">
      <c r="A415" s="29" t="n">
        <v>398</v>
      </c>
      <c r="B415" s="45" t="n">
        <f aca="true">IF(RAND()&lt;$D$8,1,0)</f>
        <v>1</v>
      </c>
      <c r="C415" s="34" t="n">
        <f aca="true">-LN(RAND())/$D$2</f>
        <v>1.48309706634807</v>
      </c>
      <c r="D415" s="46" t="n">
        <f aca="false">D414+C415</f>
        <v>616.79868160811</v>
      </c>
      <c r="E415" s="47" t="e">
        <f aca="false">MAX($D$3,(1+P414-VLOOKUP(VALUE(D415),$J$18:$Q414,7,TRUE()))*$D$3)</f>
        <v>#N/A</v>
      </c>
      <c r="F415" s="47" t="e">
        <f aca="false">MAX($D$4,(1+Q414-VLOOKUP(VALUE(D415),$M$18:$Q414,5,TRUE()))*$D$4)</f>
        <v>#N/A</v>
      </c>
      <c r="G415" s="48" t="n">
        <v>0.5</v>
      </c>
      <c r="H415" s="46" t="e">
        <f aca="true">IF((B415=1),(IF((F415&lt;E415),1,(IF((F415=E415),(IF(RAND()&lt;G415,1,0)),0)))),(IF((RAND()&lt;G415),1,0)))</f>
        <v>#N/A</v>
      </c>
      <c r="I415" s="46" t="e">
        <f aca="true">IF((H415=1),0,$D$3+$D$5*(RAND()-0.5))</f>
        <v>#N/A</v>
      </c>
      <c r="J415" s="46" t="e">
        <f aca="false">I415+MAX(D415,J414)</f>
        <v>#N/A</v>
      </c>
      <c r="K415" s="46" t="e">
        <f aca="false">IF((H415=0),J415-D415,0)</f>
        <v>#N/A</v>
      </c>
      <c r="L415" s="46" t="e">
        <f aca="true">IF(($H415=0),0,$D$4+$D$5*(RAND()-0.5))</f>
        <v>#N/A</v>
      </c>
      <c r="M415" s="46" t="e">
        <f aca="false">L415+MAX(D415,M414)</f>
        <v>#N/A</v>
      </c>
      <c r="N415" s="46" t="e">
        <f aca="false">IF((H415=1),M415-D415,0)</f>
        <v>#N/A</v>
      </c>
      <c r="O415" s="29" t="n">
        <v>398</v>
      </c>
      <c r="P415" s="49" t="e">
        <f aca="false">IF((Arterial=0),P414+1,P414)</f>
        <v>#N/A</v>
      </c>
      <c r="Q415" s="49" t="e">
        <f aca="false">IF((Arterial=1),Q414+1,Q414)</f>
        <v>#N/A</v>
      </c>
      <c r="R415" s="50" t="n">
        <f aca="false">IF((RESET=1),0,R415+K415)</f>
        <v>0</v>
      </c>
      <c r="S415" s="19" t="n">
        <f aca="false">IF(RESET=1,0,S415+N415)</f>
        <v>0</v>
      </c>
      <c r="T415" s="0" t="n">
        <f aca="false">IF(RESET=1,0,T415+IF(H415=0,1,0))</f>
        <v>0</v>
      </c>
      <c r="U415" s="0" t="n">
        <f aca="false">IF(RESET=1,0,U415+H415)</f>
        <v>0</v>
      </c>
      <c r="V415" s="19" t="n">
        <f aca="false">R415/(T415+0.00001)</f>
        <v>0</v>
      </c>
      <c r="W415" s="19" t="n">
        <f aca="false">S415/(U415+0.0001)</f>
        <v>0</v>
      </c>
      <c r="X415" s="47" t="e">
        <f aca="false">IF(Informed=1,K415,0)</f>
        <v>#N/A</v>
      </c>
      <c r="Y415" s="47" t="n">
        <f aca="false">IF(Informed=0,K415,0)</f>
        <v>0</v>
      </c>
      <c r="Z415" s="47" t="e">
        <f aca="false">IF(Informed=1,N415,0)</f>
        <v>#N/A</v>
      </c>
      <c r="AA415" s="47" t="n">
        <f aca="false">IF(Informed=0,N415,0)</f>
        <v>0</v>
      </c>
      <c r="AB415" s="51" t="e">
        <f aca="false">IF(Arterial=0,IF(Informed=1,1,0),0)</f>
        <v>#N/A</v>
      </c>
      <c r="AC415" s="51" t="e">
        <f aca="false">IF(Arterial=0,IF(Informed=0,1,0),0)</f>
        <v>#N/A</v>
      </c>
      <c r="AD415" s="51" t="e">
        <f aca="false">IF(Arterial=1,IF(Informed=1,1,0),0)</f>
        <v>#N/A</v>
      </c>
      <c r="AE415" s="51" t="e">
        <f aca="false">IF(Arterial=1,IF(Informed=0,1,0),0)</f>
        <v>#N/A</v>
      </c>
      <c r="AF415" s="44" t="e">
        <f aca="false">IF(AB415=1,(X415-G$1030)^2,0)</f>
        <v>#N/A</v>
      </c>
      <c r="AG415" s="44" t="e">
        <f aca="false">IF(AC415=1,(Y415-H$1030)^2,0)</f>
        <v>#N/A</v>
      </c>
      <c r="AH415" s="44" t="e">
        <f aca="false">IF(AD415=1,(Z415-I$1030)^2,0)</f>
        <v>#N/A</v>
      </c>
      <c r="AI415" s="44" t="e">
        <f aca="false">IF(AE415=1,(AA415-J$1030)^2,0)</f>
        <v>#N/A</v>
      </c>
    </row>
    <row r="416" customFormat="false" ht="12" hidden="false" customHeight="false" outlineLevel="0" collapsed="false">
      <c r="A416" s="29" t="n">
        <v>399</v>
      </c>
      <c r="B416" s="45" t="n">
        <f aca="true">IF(RAND()&lt;$D$8,1,0)</f>
        <v>1</v>
      </c>
      <c r="C416" s="34" t="n">
        <f aca="true">-LN(RAND())/$D$2</f>
        <v>2.85652140776252</v>
      </c>
      <c r="D416" s="46" t="n">
        <f aca="false">D415+C416</f>
        <v>619.655203015872</v>
      </c>
      <c r="E416" s="47" t="e">
        <f aca="false">MAX($D$3,(1+P415-VLOOKUP(VALUE(D416),$J$18:$Q415,7,TRUE()))*$D$3)</f>
        <v>#N/A</v>
      </c>
      <c r="F416" s="47" t="e">
        <f aca="false">MAX($D$4,(1+Q415-VLOOKUP(VALUE(D416),$M$18:$Q415,5,TRUE()))*$D$4)</f>
        <v>#N/A</v>
      </c>
      <c r="G416" s="48" t="n">
        <v>0.5</v>
      </c>
      <c r="H416" s="46" t="e">
        <f aca="true">IF((B416=1),(IF((F416&lt;E416),1,(IF((F416=E416),(IF(RAND()&lt;G416,1,0)),0)))),(IF((RAND()&lt;G416),1,0)))</f>
        <v>#N/A</v>
      </c>
      <c r="I416" s="46" t="e">
        <f aca="true">IF((H416=1),0,$D$3+$D$5*(RAND()-0.5))</f>
        <v>#N/A</v>
      </c>
      <c r="J416" s="46" t="e">
        <f aca="false">I416+MAX(D416,J415)</f>
        <v>#N/A</v>
      </c>
      <c r="K416" s="46" t="e">
        <f aca="false">IF((H416=0),J416-D416,0)</f>
        <v>#N/A</v>
      </c>
      <c r="L416" s="46" t="e">
        <f aca="true">IF(($H416=0),0,$D$4+$D$5*(RAND()-0.5))</f>
        <v>#N/A</v>
      </c>
      <c r="M416" s="46" t="e">
        <f aca="false">L416+MAX(D416,M415)</f>
        <v>#N/A</v>
      </c>
      <c r="N416" s="46" t="e">
        <f aca="false">IF((H416=1),M416-D416,0)</f>
        <v>#N/A</v>
      </c>
      <c r="O416" s="29" t="n">
        <v>399</v>
      </c>
      <c r="P416" s="49" t="e">
        <f aca="false">IF((Arterial=0),P415+1,P415)</f>
        <v>#N/A</v>
      </c>
      <c r="Q416" s="49" t="e">
        <f aca="false">IF((Arterial=1),Q415+1,Q415)</f>
        <v>#N/A</v>
      </c>
      <c r="R416" s="50" t="n">
        <f aca="false">IF((RESET=1),0,R416+K416)</f>
        <v>0</v>
      </c>
      <c r="S416" s="19" t="n">
        <f aca="false">IF(RESET=1,0,S416+N416)</f>
        <v>0</v>
      </c>
      <c r="T416" s="0" t="n">
        <f aca="false">IF(RESET=1,0,T416+IF(H416=0,1,0))</f>
        <v>0</v>
      </c>
      <c r="U416" s="0" t="n">
        <f aca="false">IF(RESET=1,0,U416+H416)</f>
        <v>0</v>
      </c>
      <c r="V416" s="19" t="n">
        <f aca="false">R416/(T416+0.00001)</f>
        <v>0</v>
      </c>
      <c r="W416" s="19" t="n">
        <f aca="false">S416/(U416+0.0001)</f>
        <v>0</v>
      </c>
      <c r="X416" s="47" t="e">
        <f aca="false">IF(Informed=1,K416,0)</f>
        <v>#N/A</v>
      </c>
      <c r="Y416" s="47" t="n">
        <f aca="false">IF(Informed=0,K416,0)</f>
        <v>0</v>
      </c>
      <c r="Z416" s="47" t="e">
        <f aca="false">IF(Informed=1,N416,0)</f>
        <v>#N/A</v>
      </c>
      <c r="AA416" s="47" t="n">
        <f aca="false">IF(Informed=0,N416,0)</f>
        <v>0</v>
      </c>
      <c r="AB416" s="51" t="e">
        <f aca="false">IF(Arterial=0,IF(Informed=1,1,0),0)</f>
        <v>#N/A</v>
      </c>
      <c r="AC416" s="51" t="e">
        <f aca="false">IF(Arterial=0,IF(Informed=0,1,0),0)</f>
        <v>#N/A</v>
      </c>
      <c r="AD416" s="51" t="e">
        <f aca="false">IF(Arterial=1,IF(Informed=1,1,0),0)</f>
        <v>#N/A</v>
      </c>
      <c r="AE416" s="51" t="e">
        <f aca="false">IF(Arterial=1,IF(Informed=0,1,0),0)</f>
        <v>#N/A</v>
      </c>
      <c r="AF416" s="44" t="e">
        <f aca="false">IF(AB416=1,(X416-G$1030)^2,0)</f>
        <v>#N/A</v>
      </c>
      <c r="AG416" s="44" t="e">
        <f aca="false">IF(AC416=1,(Y416-H$1030)^2,0)</f>
        <v>#N/A</v>
      </c>
      <c r="AH416" s="44" t="e">
        <f aca="false">IF(AD416=1,(Z416-I$1030)^2,0)</f>
        <v>#N/A</v>
      </c>
      <c r="AI416" s="44" t="e">
        <f aca="false">IF(AE416=1,(AA416-J$1030)^2,0)</f>
        <v>#N/A</v>
      </c>
    </row>
    <row r="417" customFormat="false" ht="12" hidden="false" customHeight="false" outlineLevel="0" collapsed="false">
      <c r="A417" s="29" t="n">
        <v>400</v>
      </c>
      <c r="B417" s="45" t="n">
        <f aca="true">IF(RAND()&lt;$D$8,1,0)</f>
        <v>1</v>
      </c>
      <c r="C417" s="34" t="n">
        <f aca="true">-LN(RAND())/$D$2</f>
        <v>5.22611621511252</v>
      </c>
      <c r="D417" s="46" t="n">
        <f aca="false">D416+C417</f>
        <v>624.881319230985</v>
      </c>
      <c r="E417" s="47" t="e">
        <f aca="false">MAX($D$3,(1+P416-VLOOKUP(VALUE(D417),$J$18:$Q416,7,TRUE()))*$D$3)</f>
        <v>#N/A</v>
      </c>
      <c r="F417" s="47" t="e">
        <f aca="false">MAX($D$4,(1+Q416-VLOOKUP(VALUE(D417),$M$18:$Q416,5,TRUE()))*$D$4)</f>
        <v>#N/A</v>
      </c>
      <c r="G417" s="48" t="n">
        <v>0.5</v>
      </c>
      <c r="H417" s="46" t="e">
        <f aca="true">IF((B417=1),(IF((F417&lt;E417),1,(IF((F417=E417),(IF(RAND()&lt;G417,1,0)),0)))),(IF((RAND()&lt;G417),1,0)))</f>
        <v>#N/A</v>
      </c>
      <c r="I417" s="46" t="e">
        <f aca="true">IF((H417=1),0,$D$3+$D$5*(RAND()-0.5))</f>
        <v>#N/A</v>
      </c>
      <c r="J417" s="46" t="e">
        <f aca="false">I417+MAX(D417,J416)</f>
        <v>#N/A</v>
      </c>
      <c r="K417" s="46" t="e">
        <f aca="false">IF((H417=0),J417-D417,0)</f>
        <v>#N/A</v>
      </c>
      <c r="L417" s="46" t="e">
        <f aca="true">IF(($H417=0),0,$D$4+$D$5*(RAND()-0.5))</f>
        <v>#N/A</v>
      </c>
      <c r="M417" s="46" t="e">
        <f aca="false">L417+MAX(D417,M416)</f>
        <v>#N/A</v>
      </c>
      <c r="N417" s="46" t="e">
        <f aca="false">IF((H417=1),M417-D417,0)</f>
        <v>#N/A</v>
      </c>
      <c r="O417" s="29" t="n">
        <v>400</v>
      </c>
      <c r="P417" s="49" t="e">
        <f aca="false">IF((Arterial=0),P416+1,P416)</f>
        <v>#N/A</v>
      </c>
      <c r="Q417" s="49" t="e">
        <f aca="false">IF((Arterial=1),Q416+1,Q416)</f>
        <v>#N/A</v>
      </c>
      <c r="R417" s="50" t="n">
        <f aca="false">IF((RESET=1),0,R417+K417)</f>
        <v>0</v>
      </c>
      <c r="S417" s="19" t="n">
        <f aca="false">IF(RESET=1,0,S417+N417)</f>
        <v>0</v>
      </c>
      <c r="T417" s="0" t="n">
        <f aca="false">IF(RESET=1,0,T417+IF(H417=0,1,0))</f>
        <v>0</v>
      </c>
      <c r="U417" s="0" t="n">
        <f aca="false">IF(RESET=1,0,U417+H417)</f>
        <v>0</v>
      </c>
      <c r="V417" s="19" t="n">
        <f aca="false">R417/(T417+0.00001)</f>
        <v>0</v>
      </c>
      <c r="W417" s="19" t="n">
        <f aca="false">S417/(U417+0.0001)</f>
        <v>0</v>
      </c>
      <c r="X417" s="47" t="e">
        <f aca="false">IF(Informed=1,K417,0)</f>
        <v>#N/A</v>
      </c>
      <c r="Y417" s="47" t="n">
        <f aca="false">IF(Informed=0,K417,0)</f>
        <v>0</v>
      </c>
      <c r="Z417" s="47" t="e">
        <f aca="false">IF(Informed=1,N417,0)</f>
        <v>#N/A</v>
      </c>
      <c r="AA417" s="47" t="n">
        <f aca="false">IF(Informed=0,N417,0)</f>
        <v>0</v>
      </c>
      <c r="AB417" s="51" t="e">
        <f aca="false">IF(Arterial=0,IF(Informed=1,1,0),0)</f>
        <v>#N/A</v>
      </c>
      <c r="AC417" s="51" t="e">
        <f aca="false">IF(Arterial=0,IF(Informed=0,1,0),0)</f>
        <v>#N/A</v>
      </c>
      <c r="AD417" s="51" t="e">
        <f aca="false">IF(Arterial=1,IF(Informed=1,1,0),0)</f>
        <v>#N/A</v>
      </c>
      <c r="AE417" s="51" t="e">
        <f aca="false">IF(Arterial=1,IF(Informed=0,1,0),0)</f>
        <v>#N/A</v>
      </c>
      <c r="AF417" s="44" t="e">
        <f aca="false">IF(AB417=1,(X417-G$1030)^2,0)</f>
        <v>#N/A</v>
      </c>
      <c r="AG417" s="44" t="e">
        <f aca="false">IF(AC417=1,(Y417-H$1030)^2,0)</f>
        <v>#N/A</v>
      </c>
      <c r="AH417" s="44" t="e">
        <f aca="false">IF(AD417=1,(Z417-I$1030)^2,0)</f>
        <v>#N/A</v>
      </c>
      <c r="AI417" s="44" t="e">
        <f aca="false">IF(AE417=1,(AA417-J$1030)^2,0)</f>
        <v>#N/A</v>
      </c>
    </row>
    <row r="418" customFormat="false" ht="12" hidden="false" customHeight="false" outlineLevel="0" collapsed="false">
      <c r="A418" s="29" t="n">
        <v>401</v>
      </c>
      <c r="B418" s="45" t="n">
        <f aca="true">IF(RAND()&lt;$D$8,1,0)</f>
        <v>1</v>
      </c>
      <c r="C418" s="34" t="n">
        <f aca="true">-LN(RAND())/$D$2</f>
        <v>2.34811439199688</v>
      </c>
      <c r="D418" s="46" t="n">
        <f aca="false">D417+C418</f>
        <v>627.229433622982</v>
      </c>
      <c r="E418" s="47" t="e">
        <f aca="false">MAX($D$3,(1+P417-VLOOKUP(VALUE(D418),$J$18:$Q417,7,TRUE()))*$D$3)</f>
        <v>#N/A</v>
      </c>
      <c r="F418" s="47" t="e">
        <f aca="false">MAX($D$4,(1+Q417-VLOOKUP(VALUE(D418),$M$18:$Q417,5,TRUE()))*$D$4)</f>
        <v>#N/A</v>
      </c>
      <c r="G418" s="48" t="n">
        <v>0.5</v>
      </c>
      <c r="H418" s="46" t="e">
        <f aca="true">IF((B418=1),(IF((F418&lt;E418),1,(IF((F418=E418),(IF(RAND()&lt;G418,1,0)),0)))),(IF((RAND()&lt;G418),1,0)))</f>
        <v>#N/A</v>
      </c>
      <c r="I418" s="46" t="e">
        <f aca="true">IF((H418=1),0,$D$3+$D$5*(RAND()-0.5))</f>
        <v>#N/A</v>
      </c>
      <c r="J418" s="46" t="e">
        <f aca="false">I418+MAX(D418,J417)</f>
        <v>#N/A</v>
      </c>
      <c r="K418" s="46" t="e">
        <f aca="false">IF((H418=0),J418-D418,0)</f>
        <v>#N/A</v>
      </c>
      <c r="L418" s="46" t="e">
        <f aca="true">IF(($H418=0),0,$D$4+$D$5*(RAND()-0.5))</f>
        <v>#N/A</v>
      </c>
      <c r="M418" s="46" t="e">
        <f aca="false">L418+MAX(D418,M417)</f>
        <v>#N/A</v>
      </c>
      <c r="N418" s="46" t="e">
        <f aca="false">IF((H418=1),M418-D418,0)</f>
        <v>#N/A</v>
      </c>
      <c r="O418" s="29" t="n">
        <v>401</v>
      </c>
      <c r="P418" s="49" t="e">
        <f aca="false">IF((Arterial=0),P417+1,P417)</f>
        <v>#N/A</v>
      </c>
      <c r="Q418" s="49" t="e">
        <f aca="false">IF((Arterial=1),Q417+1,Q417)</f>
        <v>#N/A</v>
      </c>
      <c r="R418" s="50" t="n">
        <f aca="false">IF((RESET=1),0,R418+K418)</f>
        <v>0</v>
      </c>
      <c r="S418" s="19" t="n">
        <f aca="false">IF(RESET=1,0,S418+N418)</f>
        <v>0</v>
      </c>
      <c r="T418" s="0" t="n">
        <f aca="false">IF(RESET=1,0,T418+IF(H418=0,1,0))</f>
        <v>0</v>
      </c>
      <c r="U418" s="0" t="n">
        <f aca="false">IF(RESET=1,0,U418+H418)</f>
        <v>0</v>
      </c>
      <c r="V418" s="19" t="n">
        <f aca="false">R418/(T418+0.00001)</f>
        <v>0</v>
      </c>
      <c r="W418" s="19" t="n">
        <f aca="false">S418/(U418+0.0001)</f>
        <v>0</v>
      </c>
      <c r="X418" s="47" t="e">
        <f aca="false">IF(Informed=1,K418,0)</f>
        <v>#N/A</v>
      </c>
      <c r="Y418" s="47" t="n">
        <f aca="false">IF(Informed=0,K418,0)</f>
        <v>0</v>
      </c>
      <c r="Z418" s="47" t="e">
        <f aca="false">IF(Informed=1,N418,0)</f>
        <v>#N/A</v>
      </c>
      <c r="AA418" s="47" t="n">
        <f aca="false">IF(Informed=0,N418,0)</f>
        <v>0</v>
      </c>
      <c r="AB418" s="51" t="e">
        <f aca="false">IF(Arterial=0,IF(Informed=1,1,0),0)</f>
        <v>#N/A</v>
      </c>
      <c r="AC418" s="51" t="e">
        <f aca="false">IF(Arterial=0,IF(Informed=0,1,0),0)</f>
        <v>#N/A</v>
      </c>
      <c r="AD418" s="51" t="e">
        <f aca="false">IF(Arterial=1,IF(Informed=1,1,0),0)</f>
        <v>#N/A</v>
      </c>
      <c r="AE418" s="51" t="e">
        <f aca="false">IF(Arterial=1,IF(Informed=0,1,0),0)</f>
        <v>#N/A</v>
      </c>
      <c r="AF418" s="44" t="e">
        <f aca="false">IF(AB418=1,(X418-G$1030)^2,0)</f>
        <v>#N/A</v>
      </c>
      <c r="AG418" s="44" t="e">
        <f aca="false">IF(AC418=1,(Y418-H$1030)^2,0)</f>
        <v>#N/A</v>
      </c>
      <c r="AH418" s="44" t="e">
        <f aca="false">IF(AD418=1,(Z418-I$1030)^2,0)</f>
        <v>#N/A</v>
      </c>
      <c r="AI418" s="44" t="e">
        <f aca="false">IF(AE418=1,(AA418-J$1030)^2,0)</f>
        <v>#N/A</v>
      </c>
    </row>
    <row r="419" customFormat="false" ht="12" hidden="false" customHeight="false" outlineLevel="0" collapsed="false">
      <c r="A419" s="29" t="n">
        <v>402</v>
      </c>
      <c r="B419" s="45" t="n">
        <f aca="true">IF(RAND()&lt;$D$8,1,0)</f>
        <v>1</v>
      </c>
      <c r="C419" s="34" t="n">
        <f aca="true">-LN(RAND())/$D$2</f>
        <v>3.66140335806905</v>
      </c>
      <c r="D419" s="46" t="n">
        <f aca="false">D418+C419</f>
        <v>630.890836981051</v>
      </c>
      <c r="E419" s="47" t="e">
        <f aca="false">MAX($D$3,(1+P418-VLOOKUP(VALUE(D419),$J$18:$Q418,7,TRUE()))*$D$3)</f>
        <v>#N/A</v>
      </c>
      <c r="F419" s="47" t="e">
        <f aca="false">MAX($D$4,(1+Q418-VLOOKUP(VALUE(D419),$M$18:$Q418,5,TRUE()))*$D$4)</f>
        <v>#N/A</v>
      </c>
      <c r="G419" s="48" t="n">
        <v>0.5</v>
      </c>
      <c r="H419" s="46" t="e">
        <f aca="true">IF((B419=1),(IF((F419&lt;E419),1,(IF((F419=E419),(IF(RAND()&lt;G419,1,0)),0)))),(IF((RAND()&lt;G419),1,0)))</f>
        <v>#N/A</v>
      </c>
      <c r="I419" s="46" t="e">
        <f aca="true">IF((H419=1),0,$D$3+$D$5*(RAND()-0.5))</f>
        <v>#N/A</v>
      </c>
      <c r="J419" s="46" t="e">
        <f aca="false">I419+MAX(D419,J418)</f>
        <v>#N/A</v>
      </c>
      <c r="K419" s="46" t="e">
        <f aca="false">IF((H419=0),J419-D419,0)</f>
        <v>#N/A</v>
      </c>
      <c r="L419" s="46" t="e">
        <f aca="true">IF(($H419=0),0,$D$4+$D$5*(RAND()-0.5))</f>
        <v>#N/A</v>
      </c>
      <c r="M419" s="46" t="e">
        <f aca="false">L419+MAX(D419,M418)</f>
        <v>#N/A</v>
      </c>
      <c r="N419" s="46" t="e">
        <f aca="false">IF((H419=1),M419-D419,0)</f>
        <v>#N/A</v>
      </c>
      <c r="O419" s="29" t="n">
        <v>402</v>
      </c>
      <c r="P419" s="49" t="e">
        <f aca="false">IF((Arterial=0),P418+1,P418)</f>
        <v>#N/A</v>
      </c>
      <c r="Q419" s="49" t="e">
        <f aca="false">IF((Arterial=1),Q418+1,Q418)</f>
        <v>#N/A</v>
      </c>
      <c r="R419" s="50" t="n">
        <f aca="false">IF((RESET=1),0,R419+K419)</f>
        <v>0</v>
      </c>
      <c r="S419" s="19" t="n">
        <f aca="false">IF(RESET=1,0,S419+N419)</f>
        <v>0</v>
      </c>
      <c r="T419" s="0" t="n">
        <f aca="false">IF(RESET=1,0,T419+IF(H419=0,1,0))</f>
        <v>0</v>
      </c>
      <c r="U419" s="0" t="n">
        <f aca="false">IF(RESET=1,0,U419+H419)</f>
        <v>0</v>
      </c>
      <c r="V419" s="19" t="n">
        <f aca="false">R419/(T419+0.00001)</f>
        <v>0</v>
      </c>
      <c r="W419" s="19" t="n">
        <f aca="false">S419/(U419+0.0001)</f>
        <v>0</v>
      </c>
      <c r="X419" s="47" t="e">
        <f aca="false">IF(Informed=1,K419,0)</f>
        <v>#N/A</v>
      </c>
      <c r="Y419" s="47" t="n">
        <f aca="false">IF(Informed=0,K419,0)</f>
        <v>0</v>
      </c>
      <c r="Z419" s="47" t="e">
        <f aca="false">IF(Informed=1,N419,0)</f>
        <v>#N/A</v>
      </c>
      <c r="AA419" s="47" t="n">
        <f aca="false">IF(Informed=0,N419,0)</f>
        <v>0</v>
      </c>
      <c r="AB419" s="51" t="e">
        <f aca="false">IF(Arterial=0,IF(Informed=1,1,0),0)</f>
        <v>#N/A</v>
      </c>
      <c r="AC419" s="51" t="e">
        <f aca="false">IF(Arterial=0,IF(Informed=0,1,0),0)</f>
        <v>#N/A</v>
      </c>
      <c r="AD419" s="51" t="e">
        <f aca="false">IF(Arterial=1,IF(Informed=1,1,0),0)</f>
        <v>#N/A</v>
      </c>
      <c r="AE419" s="51" t="e">
        <f aca="false">IF(Arterial=1,IF(Informed=0,1,0),0)</f>
        <v>#N/A</v>
      </c>
      <c r="AF419" s="44" t="e">
        <f aca="false">IF(AB419=1,(X419-G$1030)^2,0)</f>
        <v>#N/A</v>
      </c>
      <c r="AG419" s="44" t="e">
        <f aca="false">IF(AC419=1,(Y419-H$1030)^2,0)</f>
        <v>#N/A</v>
      </c>
      <c r="AH419" s="44" t="e">
        <f aca="false">IF(AD419=1,(Z419-I$1030)^2,0)</f>
        <v>#N/A</v>
      </c>
      <c r="AI419" s="44" t="e">
        <f aca="false">IF(AE419=1,(AA419-J$1030)^2,0)</f>
        <v>#N/A</v>
      </c>
    </row>
    <row r="420" customFormat="false" ht="12" hidden="false" customHeight="false" outlineLevel="0" collapsed="false">
      <c r="A420" s="29" t="n">
        <v>403</v>
      </c>
      <c r="B420" s="45" t="n">
        <f aca="true">IF(RAND()&lt;$D$8,1,0)</f>
        <v>1</v>
      </c>
      <c r="C420" s="34" t="n">
        <f aca="true">-LN(RAND())/$D$2</f>
        <v>0.988397579429916</v>
      </c>
      <c r="D420" s="46" t="n">
        <f aca="false">D419+C420</f>
        <v>631.879234560481</v>
      </c>
      <c r="E420" s="47" t="e">
        <f aca="false">MAX($D$3,(1+P419-VLOOKUP(VALUE(D420),$J$18:$Q419,7,TRUE()))*$D$3)</f>
        <v>#N/A</v>
      </c>
      <c r="F420" s="47" t="e">
        <f aca="false">MAX($D$4,(1+Q419-VLOOKUP(VALUE(D420),$M$18:$Q419,5,TRUE()))*$D$4)</f>
        <v>#N/A</v>
      </c>
      <c r="G420" s="48" t="n">
        <v>0.5</v>
      </c>
      <c r="H420" s="46" t="e">
        <f aca="true">IF((B420=1),(IF((F420&lt;E420),1,(IF((F420=E420),(IF(RAND()&lt;G420,1,0)),0)))),(IF((RAND()&lt;G420),1,0)))</f>
        <v>#N/A</v>
      </c>
      <c r="I420" s="46" t="e">
        <f aca="true">IF((H420=1),0,$D$3+$D$5*(RAND()-0.5))</f>
        <v>#N/A</v>
      </c>
      <c r="J420" s="46" t="e">
        <f aca="false">I420+MAX(D420,J419)</f>
        <v>#N/A</v>
      </c>
      <c r="K420" s="46" t="e">
        <f aca="false">IF((H420=0),J420-D420,0)</f>
        <v>#N/A</v>
      </c>
      <c r="L420" s="46" t="e">
        <f aca="true">IF(($H420=0),0,$D$4+$D$5*(RAND()-0.5))</f>
        <v>#N/A</v>
      </c>
      <c r="M420" s="46" t="e">
        <f aca="false">L420+MAX(D420,M419)</f>
        <v>#N/A</v>
      </c>
      <c r="N420" s="46" t="e">
        <f aca="false">IF((H420=1),M420-D420,0)</f>
        <v>#N/A</v>
      </c>
      <c r="O420" s="29" t="n">
        <v>403</v>
      </c>
      <c r="P420" s="49" t="e">
        <f aca="false">IF((Arterial=0),P419+1,P419)</f>
        <v>#N/A</v>
      </c>
      <c r="Q420" s="49" t="e">
        <f aca="false">IF((Arterial=1),Q419+1,Q419)</f>
        <v>#N/A</v>
      </c>
      <c r="R420" s="50" t="n">
        <f aca="false">IF((RESET=1),0,R420+K420)</f>
        <v>0</v>
      </c>
      <c r="S420" s="19" t="n">
        <f aca="false">IF(RESET=1,0,S420+N420)</f>
        <v>0</v>
      </c>
      <c r="T420" s="0" t="n">
        <f aca="false">IF(RESET=1,0,T420+IF(H420=0,1,0))</f>
        <v>0</v>
      </c>
      <c r="U420" s="0" t="n">
        <f aca="false">IF(RESET=1,0,U420+H420)</f>
        <v>0</v>
      </c>
      <c r="V420" s="19" t="n">
        <f aca="false">R420/(T420+0.00001)</f>
        <v>0</v>
      </c>
      <c r="W420" s="19" t="n">
        <f aca="false">S420/(U420+0.0001)</f>
        <v>0</v>
      </c>
      <c r="X420" s="47" t="e">
        <f aca="false">IF(Informed=1,K420,0)</f>
        <v>#N/A</v>
      </c>
      <c r="Y420" s="47" t="n">
        <f aca="false">IF(Informed=0,K420,0)</f>
        <v>0</v>
      </c>
      <c r="Z420" s="47" t="e">
        <f aca="false">IF(Informed=1,N420,0)</f>
        <v>#N/A</v>
      </c>
      <c r="AA420" s="47" t="n">
        <f aca="false">IF(Informed=0,N420,0)</f>
        <v>0</v>
      </c>
      <c r="AB420" s="51" t="e">
        <f aca="false">IF(Arterial=0,IF(Informed=1,1,0),0)</f>
        <v>#N/A</v>
      </c>
      <c r="AC420" s="51" t="e">
        <f aca="false">IF(Arterial=0,IF(Informed=0,1,0),0)</f>
        <v>#N/A</v>
      </c>
      <c r="AD420" s="51" t="e">
        <f aca="false">IF(Arterial=1,IF(Informed=1,1,0),0)</f>
        <v>#N/A</v>
      </c>
      <c r="AE420" s="51" t="e">
        <f aca="false">IF(Arterial=1,IF(Informed=0,1,0),0)</f>
        <v>#N/A</v>
      </c>
      <c r="AF420" s="44" t="e">
        <f aca="false">IF(AB420=1,(X420-G$1030)^2,0)</f>
        <v>#N/A</v>
      </c>
      <c r="AG420" s="44" t="e">
        <f aca="false">IF(AC420=1,(Y420-H$1030)^2,0)</f>
        <v>#N/A</v>
      </c>
      <c r="AH420" s="44" t="e">
        <f aca="false">IF(AD420=1,(Z420-I$1030)^2,0)</f>
        <v>#N/A</v>
      </c>
      <c r="AI420" s="44" t="e">
        <f aca="false">IF(AE420=1,(AA420-J$1030)^2,0)</f>
        <v>#N/A</v>
      </c>
    </row>
    <row r="421" customFormat="false" ht="12" hidden="false" customHeight="false" outlineLevel="0" collapsed="false">
      <c r="A421" s="29" t="n">
        <v>404</v>
      </c>
      <c r="B421" s="45" t="n">
        <f aca="true">IF(RAND()&lt;$D$8,1,0)</f>
        <v>1</v>
      </c>
      <c r="C421" s="34" t="n">
        <f aca="true">-LN(RAND())/$D$2</f>
        <v>0.0659043779454289</v>
      </c>
      <c r="D421" s="46" t="n">
        <f aca="false">D420+C421</f>
        <v>631.945138938426</v>
      </c>
      <c r="E421" s="47" t="e">
        <f aca="false">MAX($D$3,(1+P420-VLOOKUP(VALUE(D421),$J$18:$Q420,7,TRUE()))*$D$3)</f>
        <v>#N/A</v>
      </c>
      <c r="F421" s="47" t="e">
        <f aca="false">MAX($D$4,(1+Q420-VLOOKUP(VALUE(D421),$M$18:$Q420,5,TRUE()))*$D$4)</f>
        <v>#N/A</v>
      </c>
      <c r="G421" s="48" t="n">
        <v>0.5</v>
      </c>
      <c r="H421" s="46" t="e">
        <f aca="true">IF((B421=1),(IF((F421&lt;E421),1,(IF((F421=E421),(IF(RAND()&lt;G421,1,0)),0)))),(IF((RAND()&lt;G421),1,0)))</f>
        <v>#N/A</v>
      </c>
      <c r="I421" s="46" t="e">
        <f aca="true">IF((H421=1),0,$D$3+$D$5*(RAND()-0.5))</f>
        <v>#N/A</v>
      </c>
      <c r="J421" s="46" t="e">
        <f aca="false">I421+MAX(D421,J420)</f>
        <v>#N/A</v>
      </c>
      <c r="K421" s="46" t="e">
        <f aca="false">IF((H421=0),J421-D421,0)</f>
        <v>#N/A</v>
      </c>
      <c r="L421" s="46" t="e">
        <f aca="true">IF(($H421=0),0,$D$4+$D$5*(RAND()-0.5))</f>
        <v>#N/A</v>
      </c>
      <c r="M421" s="46" t="e">
        <f aca="false">L421+MAX(D421,M420)</f>
        <v>#N/A</v>
      </c>
      <c r="N421" s="46" t="e">
        <f aca="false">IF((H421=1),M421-D421,0)</f>
        <v>#N/A</v>
      </c>
      <c r="O421" s="29" t="n">
        <v>404</v>
      </c>
      <c r="P421" s="49" t="e">
        <f aca="false">IF((Arterial=0),P420+1,P420)</f>
        <v>#N/A</v>
      </c>
      <c r="Q421" s="49" t="e">
        <f aca="false">IF((Arterial=1),Q420+1,Q420)</f>
        <v>#N/A</v>
      </c>
      <c r="R421" s="50" t="n">
        <f aca="false">IF((RESET=1),0,R421+K421)</f>
        <v>0</v>
      </c>
      <c r="S421" s="19" t="n">
        <f aca="false">IF(RESET=1,0,S421+N421)</f>
        <v>0</v>
      </c>
      <c r="T421" s="0" t="n">
        <f aca="false">IF(RESET=1,0,T421+IF(H421=0,1,0))</f>
        <v>0</v>
      </c>
      <c r="U421" s="0" t="n">
        <f aca="false">IF(RESET=1,0,U421+H421)</f>
        <v>0</v>
      </c>
      <c r="V421" s="19" t="n">
        <f aca="false">R421/(T421+0.00001)</f>
        <v>0</v>
      </c>
      <c r="W421" s="19" t="n">
        <f aca="false">S421/(U421+0.0001)</f>
        <v>0</v>
      </c>
      <c r="X421" s="47" t="e">
        <f aca="false">IF(Informed=1,K421,0)</f>
        <v>#N/A</v>
      </c>
      <c r="Y421" s="47" t="n">
        <f aca="false">IF(Informed=0,K421,0)</f>
        <v>0</v>
      </c>
      <c r="Z421" s="47" t="e">
        <f aca="false">IF(Informed=1,N421,0)</f>
        <v>#N/A</v>
      </c>
      <c r="AA421" s="47" t="n">
        <f aca="false">IF(Informed=0,N421,0)</f>
        <v>0</v>
      </c>
      <c r="AB421" s="51" t="e">
        <f aca="false">IF(Arterial=0,IF(Informed=1,1,0),0)</f>
        <v>#N/A</v>
      </c>
      <c r="AC421" s="51" t="e">
        <f aca="false">IF(Arterial=0,IF(Informed=0,1,0),0)</f>
        <v>#N/A</v>
      </c>
      <c r="AD421" s="51" t="e">
        <f aca="false">IF(Arterial=1,IF(Informed=1,1,0),0)</f>
        <v>#N/A</v>
      </c>
      <c r="AE421" s="51" t="e">
        <f aca="false">IF(Arterial=1,IF(Informed=0,1,0),0)</f>
        <v>#N/A</v>
      </c>
      <c r="AF421" s="44" t="e">
        <f aca="false">IF(AB421=1,(X421-G$1030)^2,0)</f>
        <v>#N/A</v>
      </c>
      <c r="AG421" s="44" t="e">
        <f aca="false">IF(AC421=1,(Y421-H$1030)^2,0)</f>
        <v>#N/A</v>
      </c>
      <c r="AH421" s="44" t="e">
        <f aca="false">IF(AD421=1,(Z421-I$1030)^2,0)</f>
        <v>#N/A</v>
      </c>
      <c r="AI421" s="44" t="e">
        <f aca="false">IF(AE421=1,(AA421-J$1030)^2,0)</f>
        <v>#N/A</v>
      </c>
    </row>
    <row r="422" customFormat="false" ht="12" hidden="false" customHeight="false" outlineLevel="0" collapsed="false">
      <c r="A422" s="29" t="n">
        <v>405</v>
      </c>
      <c r="B422" s="45" t="n">
        <f aca="true">IF(RAND()&lt;$D$8,1,0)</f>
        <v>1</v>
      </c>
      <c r="C422" s="34" t="n">
        <f aca="true">-LN(RAND())/$D$2</f>
        <v>0.774886388493538</v>
      </c>
      <c r="D422" s="46" t="n">
        <f aca="false">D421+C422</f>
        <v>632.72002532692</v>
      </c>
      <c r="E422" s="47" t="e">
        <f aca="false">MAX($D$3,(1+P421-VLOOKUP(VALUE(D422),$J$18:$Q421,7,TRUE()))*$D$3)</f>
        <v>#N/A</v>
      </c>
      <c r="F422" s="47" t="e">
        <f aca="false">MAX($D$4,(1+Q421-VLOOKUP(VALUE(D422),$M$18:$Q421,5,TRUE()))*$D$4)</f>
        <v>#N/A</v>
      </c>
      <c r="G422" s="48" t="n">
        <v>0.5</v>
      </c>
      <c r="H422" s="46" t="e">
        <f aca="true">IF((B422=1),(IF((F422&lt;E422),1,(IF((F422=E422),(IF(RAND()&lt;G422,1,0)),0)))),(IF((RAND()&lt;G422),1,0)))</f>
        <v>#N/A</v>
      </c>
      <c r="I422" s="46" t="e">
        <f aca="true">IF((H422=1),0,$D$3+$D$5*(RAND()-0.5))</f>
        <v>#N/A</v>
      </c>
      <c r="J422" s="46" t="e">
        <f aca="false">I422+MAX(D422,J421)</f>
        <v>#N/A</v>
      </c>
      <c r="K422" s="46" t="e">
        <f aca="false">IF((H422=0),J422-D422,0)</f>
        <v>#N/A</v>
      </c>
      <c r="L422" s="46" t="e">
        <f aca="true">IF(($H422=0),0,$D$4+$D$5*(RAND()-0.5))</f>
        <v>#N/A</v>
      </c>
      <c r="M422" s="46" t="e">
        <f aca="false">L422+MAX(D422,M421)</f>
        <v>#N/A</v>
      </c>
      <c r="N422" s="46" t="e">
        <f aca="false">IF((H422=1),M422-D422,0)</f>
        <v>#N/A</v>
      </c>
      <c r="O422" s="29" t="n">
        <v>405</v>
      </c>
      <c r="P422" s="49" t="e">
        <f aca="false">IF((Arterial=0),P421+1,P421)</f>
        <v>#N/A</v>
      </c>
      <c r="Q422" s="49" t="e">
        <f aca="false">IF((Arterial=1),Q421+1,Q421)</f>
        <v>#N/A</v>
      </c>
      <c r="R422" s="50" t="n">
        <f aca="false">IF((RESET=1),0,R422+K422)</f>
        <v>0</v>
      </c>
      <c r="S422" s="19" t="n">
        <f aca="false">IF(RESET=1,0,S422+N422)</f>
        <v>0</v>
      </c>
      <c r="T422" s="0" t="n">
        <f aca="false">IF(RESET=1,0,T422+IF(H422=0,1,0))</f>
        <v>0</v>
      </c>
      <c r="U422" s="0" t="n">
        <f aca="false">IF(RESET=1,0,U422+H422)</f>
        <v>0</v>
      </c>
      <c r="V422" s="19" t="n">
        <f aca="false">R422/(T422+0.00001)</f>
        <v>0</v>
      </c>
      <c r="W422" s="19" t="n">
        <f aca="false">S422/(U422+0.0001)</f>
        <v>0</v>
      </c>
      <c r="X422" s="47" t="e">
        <f aca="false">IF(Informed=1,K422,0)</f>
        <v>#N/A</v>
      </c>
      <c r="Y422" s="47" t="n">
        <f aca="false">IF(Informed=0,K422,0)</f>
        <v>0</v>
      </c>
      <c r="Z422" s="47" t="e">
        <f aca="false">IF(Informed=1,N422,0)</f>
        <v>#N/A</v>
      </c>
      <c r="AA422" s="47" t="n">
        <f aca="false">IF(Informed=0,N422,0)</f>
        <v>0</v>
      </c>
      <c r="AB422" s="51" t="e">
        <f aca="false">IF(Arterial=0,IF(Informed=1,1,0),0)</f>
        <v>#N/A</v>
      </c>
      <c r="AC422" s="51" t="e">
        <f aca="false">IF(Arterial=0,IF(Informed=0,1,0),0)</f>
        <v>#N/A</v>
      </c>
      <c r="AD422" s="51" t="e">
        <f aca="false">IF(Arterial=1,IF(Informed=1,1,0),0)</f>
        <v>#N/A</v>
      </c>
      <c r="AE422" s="51" t="e">
        <f aca="false">IF(Arterial=1,IF(Informed=0,1,0),0)</f>
        <v>#N/A</v>
      </c>
      <c r="AF422" s="44" t="e">
        <f aca="false">IF(AB422=1,(X422-G$1030)^2,0)</f>
        <v>#N/A</v>
      </c>
      <c r="AG422" s="44" t="e">
        <f aca="false">IF(AC422=1,(Y422-H$1030)^2,0)</f>
        <v>#N/A</v>
      </c>
      <c r="AH422" s="44" t="e">
        <f aca="false">IF(AD422=1,(Z422-I$1030)^2,0)</f>
        <v>#N/A</v>
      </c>
      <c r="AI422" s="44" t="e">
        <f aca="false">IF(AE422=1,(AA422-J$1030)^2,0)</f>
        <v>#N/A</v>
      </c>
    </row>
    <row r="423" customFormat="false" ht="12" hidden="false" customHeight="false" outlineLevel="0" collapsed="false">
      <c r="A423" s="29" t="n">
        <v>406</v>
      </c>
      <c r="B423" s="45" t="n">
        <f aca="true">IF(RAND()&lt;$D$8,1,0)</f>
        <v>1</v>
      </c>
      <c r="C423" s="34" t="n">
        <f aca="true">-LN(RAND())/$D$2</f>
        <v>0.503040669825684</v>
      </c>
      <c r="D423" s="46" t="n">
        <f aca="false">D422+C423</f>
        <v>633.223065996745</v>
      </c>
      <c r="E423" s="47" t="e">
        <f aca="false">MAX($D$3,(1+P422-VLOOKUP(VALUE(D423),$J$18:$Q422,7,TRUE()))*$D$3)</f>
        <v>#N/A</v>
      </c>
      <c r="F423" s="47" t="e">
        <f aca="false">MAX($D$4,(1+Q422-VLOOKUP(VALUE(D423),$M$18:$Q422,5,TRUE()))*$D$4)</f>
        <v>#N/A</v>
      </c>
      <c r="G423" s="48" t="n">
        <v>0.5</v>
      </c>
      <c r="H423" s="46" t="e">
        <f aca="true">IF((B423=1),(IF((F423&lt;E423),1,(IF((F423=E423),(IF(RAND()&lt;G423,1,0)),0)))),(IF((RAND()&lt;G423),1,0)))</f>
        <v>#N/A</v>
      </c>
      <c r="I423" s="46" t="e">
        <f aca="true">IF((H423=1),0,$D$3+$D$5*(RAND()-0.5))</f>
        <v>#N/A</v>
      </c>
      <c r="J423" s="46" t="e">
        <f aca="false">I423+MAX(D423,J422)</f>
        <v>#N/A</v>
      </c>
      <c r="K423" s="46" t="e">
        <f aca="false">IF((H423=0),J423-D423,0)</f>
        <v>#N/A</v>
      </c>
      <c r="L423" s="46" t="e">
        <f aca="true">IF(($H423=0),0,$D$4+$D$5*(RAND()-0.5))</f>
        <v>#N/A</v>
      </c>
      <c r="M423" s="46" t="e">
        <f aca="false">L423+MAX(D423,M422)</f>
        <v>#N/A</v>
      </c>
      <c r="N423" s="46" t="e">
        <f aca="false">IF((H423=1),M423-D423,0)</f>
        <v>#N/A</v>
      </c>
      <c r="O423" s="29" t="n">
        <v>406</v>
      </c>
      <c r="P423" s="49" t="e">
        <f aca="false">IF((Arterial=0),P422+1,P422)</f>
        <v>#N/A</v>
      </c>
      <c r="Q423" s="49" t="e">
        <f aca="false">IF((Arterial=1),Q422+1,Q422)</f>
        <v>#N/A</v>
      </c>
      <c r="R423" s="50" t="n">
        <f aca="false">IF((RESET=1),0,R423+K423)</f>
        <v>0</v>
      </c>
      <c r="S423" s="19" t="n">
        <f aca="false">IF(RESET=1,0,S423+N423)</f>
        <v>0</v>
      </c>
      <c r="T423" s="0" t="n">
        <f aca="false">IF(RESET=1,0,T423+IF(H423=0,1,0))</f>
        <v>0</v>
      </c>
      <c r="U423" s="0" t="n">
        <f aca="false">IF(RESET=1,0,U423+H423)</f>
        <v>0</v>
      </c>
      <c r="V423" s="19" t="n">
        <f aca="false">R423/(T423+0.00001)</f>
        <v>0</v>
      </c>
      <c r="W423" s="19" t="n">
        <f aca="false">S423/(U423+0.0001)</f>
        <v>0</v>
      </c>
      <c r="X423" s="47" t="e">
        <f aca="false">IF(Informed=1,K423,0)</f>
        <v>#N/A</v>
      </c>
      <c r="Y423" s="47" t="n">
        <f aca="false">IF(Informed=0,K423,0)</f>
        <v>0</v>
      </c>
      <c r="Z423" s="47" t="e">
        <f aca="false">IF(Informed=1,N423,0)</f>
        <v>#N/A</v>
      </c>
      <c r="AA423" s="47" t="n">
        <f aca="false">IF(Informed=0,N423,0)</f>
        <v>0</v>
      </c>
      <c r="AB423" s="51" t="e">
        <f aca="false">IF(Arterial=0,IF(Informed=1,1,0),0)</f>
        <v>#N/A</v>
      </c>
      <c r="AC423" s="51" t="e">
        <f aca="false">IF(Arterial=0,IF(Informed=0,1,0),0)</f>
        <v>#N/A</v>
      </c>
      <c r="AD423" s="51" t="e">
        <f aca="false">IF(Arterial=1,IF(Informed=1,1,0),0)</f>
        <v>#N/A</v>
      </c>
      <c r="AE423" s="51" t="e">
        <f aca="false">IF(Arterial=1,IF(Informed=0,1,0),0)</f>
        <v>#N/A</v>
      </c>
      <c r="AF423" s="44" t="e">
        <f aca="false">IF(AB423=1,(X423-G$1030)^2,0)</f>
        <v>#N/A</v>
      </c>
      <c r="AG423" s="44" t="e">
        <f aca="false">IF(AC423=1,(Y423-H$1030)^2,0)</f>
        <v>#N/A</v>
      </c>
      <c r="AH423" s="44" t="e">
        <f aca="false">IF(AD423=1,(Z423-I$1030)^2,0)</f>
        <v>#N/A</v>
      </c>
      <c r="AI423" s="44" t="e">
        <f aca="false">IF(AE423=1,(AA423-J$1030)^2,0)</f>
        <v>#N/A</v>
      </c>
    </row>
    <row r="424" customFormat="false" ht="12" hidden="false" customHeight="false" outlineLevel="0" collapsed="false">
      <c r="A424" s="29" t="n">
        <v>407</v>
      </c>
      <c r="B424" s="45" t="n">
        <f aca="true">IF(RAND()&lt;$D$8,1,0)</f>
        <v>1</v>
      </c>
      <c r="C424" s="34" t="n">
        <f aca="true">-LN(RAND())/$D$2</f>
        <v>2.04153423985611</v>
      </c>
      <c r="D424" s="46" t="n">
        <f aca="false">D423+C424</f>
        <v>635.264600236601</v>
      </c>
      <c r="E424" s="47" t="e">
        <f aca="false">MAX($D$3,(1+P423-VLOOKUP(VALUE(D424),$J$18:$Q423,7,TRUE()))*$D$3)</f>
        <v>#N/A</v>
      </c>
      <c r="F424" s="47" t="e">
        <f aca="false">MAX($D$4,(1+Q423-VLOOKUP(VALUE(D424),$M$18:$Q423,5,TRUE()))*$D$4)</f>
        <v>#N/A</v>
      </c>
      <c r="G424" s="48" t="n">
        <v>0.5</v>
      </c>
      <c r="H424" s="46" t="e">
        <f aca="true">IF((B424=1),(IF((F424&lt;E424),1,(IF((F424=E424),(IF(RAND()&lt;G424,1,0)),0)))),(IF((RAND()&lt;G424),1,0)))</f>
        <v>#N/A</v>
      </c>
      <c r="I424" s="46" t="e">
        <f aca="true">IF((H424=1),0,$D$3+$D$5*(RAND()-0.5))</f>
        <v>#N/A</v>
      </c>
      <c r="J424" s="46" t="e">
        <f aca="false">I424+MAX(D424,J423)</f>
        <v>#N/A</v>
      </c>
      <c r="K424" s="46" t="e">
        <f aca="false">IF((H424=0),J424-D424,0)</f>
        <v>#N/A</v>
      </c>
      <c r="L424" s="46" t="e">
        <f aca="true">IF(($H424=0),0,$D$4+$D$5*(RAND()-0.5))</f>
        <v>#N/A</v>
      </c>
      <c r="M424" s="46" t="e">
        <f aca="false">L424+MAX(D424,M423)</f>
        <v>#N/A</v>
      </c>
      <c r="N424" s="46" t="e">
        <f aca="false">IF((H424=1),M424-D424,0)</f>
        <v>#N/A</v>
      </c>
      <c r="O424" s="29" t="n">
        <v>407</v>
      </c>
      <c r="P424" s="49" t="e">
        <f aca="false">IF((Arterial=0),P423+1,P423)</f>
        <v>#N/A</v>
      </c>
      <c r="Q424" s="49" t="e">
        <f aca="false">IF((Arterial=1),Q423+1,Q423)</f>
        <v>#N/A</v>
      </c>
      <c r="R424" s="50" t="n">
        <f aca="false">IF((RESET=1),0,R424+K424)</f>
        <v>0</v>
      </c>
      <c r="S424" s="19" t="n">
        <f aca="false">IF(RESET=1,0,S424+N424)</f>
        <v>0</v>
      </c>
      <c r="T424" s="0" t="n">
        <f aca="false">IF(RESET=1,0,T424+IF(H424=0,1,0))</f>
        <v>0</v>
      </c>
      <c r="U424" s="0" t="n">
        <f aca="false">IF(RESET=1,0,U424+H424)</f>
        <v>0</v>
      </c>
      <c r="V424" s="19" t="n">
        <f aca="false">R424/(T424+0.00001)</f>
        <v>0</v>
      </c>
      <c r="W424" s="19" t="n">
        <f aca="false">S424/(U424+0.0001)</f>
        <v>0</v>
      </c>
      <c r="X424" s="47" t="e">
        <f aca="false">IF(Informed=1,K424,0)</f>
        <v>#N/A</v>
      </c>
      <c r="Y424" s="47" t="n">
        <f aca="false">IF(Informed=0,K424,0)</f>
        <v>0</v>
      </c>
      <c r="Z424" s="47" t="e">
        <f aca="false">IF(Informed=1,N424,0)</f>
        <v>#N/A</v>
      </c>
      <c r="AA424" s="47" t="n">
        <f aca="false">IF(Informed=0,N424,0)</f>
        <v>0</v>
      </c>
      <c r="AB424" s="51" t="e">
        <f aca="false">IF(Arterial=0,IF(Informed=1,1,0),0)</f>
        <v>#N/A</v>
      </c>
      <c r="AC424" s="51" t="e">
        <f aca="false">IF(Arterial=0,IF(Informed=0,1,0),0)</f>
        <v>#N/A</v>
      </c>
      <c r="AD424" s="51" t="e">
        <f aca="false">IF(Arterial=1,IF(Informed=1,1,0),0)</f>
        <v>#N/A</v>
      </c>
      <c r="AE424" s="51" t="e">
        <f aca="false">IF(Arterial=1,IF(Informed=0,1,0),0)</f>
        <v>#N/A</v>
      </c>
      <c r="AF424" s="44" t="e">
        <f aca="false">IF(AB424=1,(X424-G$1030)^2,0)</f>
        <v>#N/A</v>
      </c>
      <c r="AG424" s="44" t="e">
        <f aca="false">IF(AC424=1,(Y424-H$1030)^2,0)</f>
        <v>#N/A</v>
      </c>
      <c r="AH424" s="44" t="e">
        <f aca="false">IF(AD424=1,(Z424-I$1030)^2,0)</f>
        <v>#N/A</v>
      </c>
      <c r="AI424" s="44" t="e">
        <f aca="false">IF(AE424=1,(AA424-J$1030)^2,0)</f>
        <v>#N/A</v>
      </c>
    </row>
    <row r="425" customFormat="false" ht="12" hidden="false" customHeight="false" outlineLevel="0" collapsed="false">
      <c r="A425" s="29" t="n">
        <v>408</v>
      </c>
      <c r="B425" s="45" t="n">
        <f aca="true">IF(RAND()&lt;$D$8,1,0)</f>
        <v>1</v>
      </c>
      <c r="C425" s="34" t="n">
        <f aca="true">-LN(RAND())/$D$2</f>
        <v>1.08726369943998</v>
      </c>
      <c r="D425" s="46" t="n">
        <f aca="false">D424+C425</f>
        <v>636.351863936041</v>
      </c>
      <c r="E425" s="47" t="e">
        <f aca="false">MAX($D$3,(1+P424-VLOOKUP(VALUE(D425),$J$18:$Q424,7,TRUE()))*$D$3)</f>
        <v>#N/A</v>
      </c>
      <c r="F425" s="47" t="e">
        <f aca="false">MAX($D$4,(1+Q424-VLOOKUP(VALUE(D425),$M$18:$Q424,5,TRUE()))*$D$4)</f>
        <v>#N/A</v>
      </c>
      <c r="G425" s="48" t="n">
        <v>0.5</v>
      </c>
      <c r="H425" s="46" t="e">
        <f aca="true">IF((B425=1),(IF((F425&lt;E425),1,(IF((F425=E425),(IF(RAND()&lt;G425,1,0)),0)))),(IF((RAND()&lt;G425),1,0)))</f>
        <v>#N/A</v>
      </c>
      <c r="I425" s="46" t="e">
        <f aca="true">IF((H425=1),0,$D$3+$D$5*(RAND()-0.5))</f>
        <v>#N/A</v>
      </c>
      <c r="J425" s="46" t="e">
        <f aca="false">I425+MAX(D425,J424)</f>
        <v>#N/A</v>
      </c>
      <c r="K425" s="46" t="e">
        <f aca="false">IF((H425=0),J425-D425,0)</f>
        <v>#N/A</v>
      </c>
      <c r="L425" s="46" t="e">
        <f aca="true">IF(($H425=0),0,$D$4+$D$5*(RAND()-0.5))</f>
        <v>#N/A</v>
      </c>
      <c r="M425" s="46" t="e">
        <f aca="false">L425+MAX(D425,M424)</f>
        <v>#N/A</v>
      </c>
      <c r="N425" s="46" t="e">
        <f aca="false">IF((H425=1),M425-D425,0)</f>
        <v>#N/A</v>
      </c>
      <c r="O425" s="29" t="n">
        <v>408</v>
      </c>
      <c r="P425" s="49" t="e">
        <f aca="false">IF((Arterial=0),P424+1,P424)</f>
        <v>#N/A</v>
      </c>
      <c r="Q425" s="49" t="e">
        <f aca="false">IF((Arterial=1),Q424+1,Q424)</f>
        <v>#N/A</v>
      </c>
      <c r="R425" s="50" t="n">
        <f aca="false">IF((RESET=1),0,R425+K425)</f>
        <v>0</v>
      </c>
      <c r="S425" s="19" t="n">
        <f aca="false">IF(RESET=1,0,S425+N425)</f>
        <v>0</v>
      </c>
      <c r="T425" s="0" t="n">
        <f aca="false">IF(RESET=1,0,T425+IF(H425=0,1,0))</f>
        <v>0</v>
      </c>
      <c r="U425" s="0" t="n">
        <f aca="false">IF(RESET=1,0,U425+H425)</f>
        <v>0</v>
      </c>
      <c r="V425" s="19" t="n">
        <f aca="false">R425/(T425+0.00001)</f>
        <v>0</v>
      </c>
      <c r="W425" s="19" t="n">
        <f aca="false">S425/(U425+0.0001)</f>
        <v>0</v>
      </c>
      <c r="X425" s="47" t="e">
        <f aca="false">IF(Informed=1,K425,0)</f>
        <v>#N/A</v>
      </c>
      <c r="Y425" s="47" t="n">
        <f aca="false">IF(Informed=0,K425,0)</f>
        <v>0</v>
      </c>
      <c r="Z425" s="47" t="e">
        <f aca="false">IF(Informed=1,N425,0)</f>
        <v>#N/A</v>
      </c>
      <c r="AA425" s="47" t="n">
        <f aca="false">IF(Informed=0,N425,0)</f>
        <v>0</v>
      </c>
      <c r="AB425" s="51" t="e">
        <f aca="false">IF(Arterial=0,IF(Informed=1,1,0),0)</f>
        <v>#N/A</v>
      </c>
      <c r="AC425" s="51" t="e">
        <f aca="false">IF(Arterial=0,IF(Informed=0,1,0),0)</f>
        <v>#N/A</v>
      </c>
      <c r="AD425" s="51" t="e">
        <f aca="false">IF(Arterial=1,IF(Informed=1,1,0),0)</f>
        <v>#N/A</v>
      </c>
      <c r="AE425" s="51" t="e">
        <f aca="false">IF(Arterial=1,IF(Informed=0,1,0),0)</f>
        <v>#N/A</v>
      </c>
      <c r="AF425" s="44" t="e">
        <f aca="false">IF(AB425=1,(X425-G$1030)^2,0)</f>
        <v>#N/A</v>
      </c>
      <c r="AG425" s="44" t="e">
        <f aca="false">IF(AC425=1,(Y425-H$1030)^2,0)</f>
        <v>#N/A</v>
      </c>
      <c r="AH425" s="44" t="e">
        <f aca="false">IF(AD425=1,(Z425-I$1030)^2,0)</f>
        <v>#N/A</v>
      </c>
      <c r="AI425" s="44" t="e">
        <f aca="false">IF(AE425=1,(AA425-J$1030)^2,0)</f>
        <v>#N/A</v>
      </c>
    </row>
    <row r="426" customFormat="false" ht="12" hidden="false" customHeight="false" outlineLevel="0" collapsed="false">
      <c r="A426" s="29" t="n">
        <v>409</v>
      </c>
      <c r="B426" s="45" t="n">
        <f aca="true">IF(RAND()&lt;$D$8,1,0)</f>
        <v>1</v>
      </c>
      <c r="C426" s="34" t="n">
        <f aca="true">-LN(RAND())/$D$2</f>
        <v>0.313838022257718</v>
      </c>
      <c r="D426" s="46" t="n">
        <f aca="false">D425+C426</f>
        <v>636.665701958299</v>
      </c>
      <c r="E426" s="47" t="e">
        <f aca="false">MAX($D$3,(1+P425-VLOOKUP(VALUE(D426),$J$18:$Q425,7,TRUE()))*$D$3)</f>
        <v>#N/A</v>
      </c>
      <c r="F426" s="47" t="e">
        <f aca="false">MAX($D$4,(1+Q425-VLOOKUP(VALUE(D426),$M$18:$Q425,5,TRUE()))*$D$4)</f>
        <v>#N/A</v>
      </c>
      <c r="G426" s="48" t="n">
        <v>0.5</v>
      </c>
      <c r="H426" s="46" t="e">
        <f aca="true">IF((B426=1),(IF((F426&lt;E426),1,(IF((F426=E426),(IF(RAND()&lt;G426,1,0)),0)))),(IF((RAND()&lt;G426),1,0)))</f>
        <v>#N/A</v>
      </c>
      <c r="I426" s="46" t="e">
        <f aca="true">IF((H426=1),0,$D$3+$D$5*(RAND()-0.5))</f>
        <v>#N/A</v>
      </c>
      <c r="J426" s="46" t="e">
        <f aca="false">I426+MAX(D426,J425)</f>
        <v>#N/A</v>
      </c>
      <c r="K426" s="46" t="e">
        <f aca="false">IF((H426=0),J426-D426,0)</f>
        <v>#N/A</v>
      </c>
      <c r="L426" s="46" t="e">
        <f aca="true">IF(($H426=0),0,$D$4+$D$5*(RAND()-0.5))</f>
        <v>#N/A</v>
      </c>
      <c r="M426" s="46" t="e">
        <f aca="false">L426+MAX(D426,M425)</f>
        <v>#N/A</v>
      </c>
      <c r="N426" s="46" t="e">
        <f aca="false">IF((H426=1),M426-D426,0)</f>
        <v>#N/A</v>
      </c>
      <c r="O426" s="29" t="n">
        <v>409</v>
      </c>
      <c r="P426" s="49" t="e">
        <f aca="false">IF((Arterial=0),P425+1,P425)</f>
        <v>#N/A</v>
      </c>
      <c r="Q426" s="49" t="e">
        <f aca="false">IF((Arterial=1),Q425+1,Q425)</f>
        <v>#N/A</v>
      </c>
      <c r="R426" s="50" t="n">
        <f aca="false">IF((RESET=1),0,R426+K426)</f>
        <v>0</v>
      </c>
      <c r="S426" s="19" t="n">
        <f aca="false">IF(RESET=1,0,S426+N426)</f>
        <v>0</v>
      </c>
      <c r="T426" s="0" t="n">
        <f aca="false">IF(RESET=1,0,T426+IF(H426=0,1,0))</f>
        <v>0</v>
      </c>
      <c r="U426" s="0" t="n">
        <f aca="false">IF(RESET=1,0,U426+H426)</f>
        <v>0</v>
      </c>
      <c r="V426" s="19" t="n">
        <f aca="false">R426/(T426+0.00001)</f>
        <v>0</v>
      </c>
      <c r="W426" s="19" t="n">
        <f aca="false">S426/(U426+0.0001)</f>
        <v>0</v>
      </c>
      <c r="X426" s="47" t="e">
        <f aca="false">IF(Informed=1,K426,0)</f>
        <v>#N/A</v>
      </c>
      <c r="Y426" s="47" t="n">
        <f aca="false">IF(Informed=0,K426,0)</f>
        <v>0</v>
      </c>
      <c r="Z426" s="47" t="e">
        <f aca="false">IF(Informed=1,N426,0)</f>
        <v>#N/A</v>
      </c>
      <c r="AA426" s="47" t="n">
        <f aca="false">IF(Informed=0,N426,0)</f>
        <v>0</v>
      </c>
      <c r="AB426" s="51" t="e">
        <f aca="false">IF(Arterial=0,IF(Informed=1,1,0),0)</f>
        <v>#N/A</v>
      </c>
      <c r="AC426" s="51" t="e">
        <f aca="false">IF(Arterial=0,IF(Informed=0,1,0),0)</f>
        <v>#N/A</v>
      </c>
      <c r="AD426" s="51" t="e">
        <f aca="false">IF(Arterial=1,IF(Informed=1,1,0),0)</f>
        <v>#N/A</v>
      </c>
      <c r="AE426" s="51" t="e">
        <f aca="false">IF(Arterial=1,IF(Informed=0,1,0),0)</f>
        <v>#N/A</v>
      </c>
      <c r="AF426" s="44" t="e">
        <f aca="false">IF(AB426=1,(X426-G$1030)^2,0)</f>
        <v>#N/A</v>
      </c>
      <c r="AG426" s="44" t="e">
        <f aca="false">IF(AC426=1,(Y426-H$1030)^2,0)</f>
        <v>#N/A</v>
      </c>
      <c r="AH426" s="44" t="e">
        <f aca="false">IF(AD426=1,(Z426-I$1030)^2,0)</f>
        <v>#N/A</v>
      </c>
      <c r="AI426" s="44" t="e">
        <f aca="false">IF(AE426=1,(AA426-J$1030)^2,0)</f>
        <v>#N/A</v>
      </c>
    </row>
    <row r="427" customFormat="false" ht="12" hidden="false" customHeight="false" outlineLevel="0" collapsed="false">
      <c r="A427" s="29" t="n">
        <v>410</v>
      </c>
      <c r="B427" s="45" t="n">
        <f aca="true">IF(RAND()&lt;$D$8,1,0)</f>
        <v>1</v>
      </c>
      <c r="C427" s="34" t="n">
        <f aca="true">-LN(RAND())/$D$2</f>
        <v>0.600293411968074</v>
      </c>
      <c r="D427" s="46" t="n">
        <f aca="false">D426+C427</f>
        <v>637.265995370267</v>
      </c>
      <c r="E427" s="47" t="e">
        <f aca="false">MAX($D$3,(1+P426-VLOOKUP(VALUE(D427),$J$18:$Q426,7,TRUE()))*$D$3)</f>
        <v>#N/A</v>
      </c>
      <c r="F427" s="47" t="e">
        <f aca="false">MAX($D$4,(1+Q426-VLOOKUP(VALUE(D427),$M$18:$Q426,5,TRUE()))*$D$4)</f>
        <v>#N/A</v>
      </c>
      <c r="G427" s="48" t="n">
        <v>0.5</v>
      </c>
      <c r="H427" s="46" t="e">
        <f aca="true">IF((B427=1),(IF((F427&lt;E427),1,(IF((F427=E427),(IF(RAND()&lt;G427,1,0)),0)))),(IF((RAND()&lt;G427),1,0)))</f>
        <v>#N/A</v>
      </c>
      <c r="I427" s="46" t="e">
        <f aca="true">IF((H427=1),0,$D$3+$D$5*(RAND()-0.5))</f>
        <v>#N/A</v>
      </c>
      <c r="J427" s="46" t="e">
        <f aca="false">I427+MAX(D427,J426)</f>
        <v>#N/A</v>
      </c>
      <c r="K427" s="46" t="e">
        <f aca="false">IF((H427=0),J427-D427,0)</f>
        <v>#N/A</v>
      </c>
      <c r="L427" s="46" t="e">
        <f aca="true">IF(($H427=0),0,$D$4+$D$5*(RAND()-0.5))</f>
        <v>#N/A</v>
      </c>
      <c r="M427" s="46" t="e">
        <f aca="false">L427+MAX(D427,M426)</f>
        <v>#N/A</v>
      </c>
      <c r="N427" s="46" t="e">
        <f aca="false">IF((H427=1),M427-D427,0)</f>
        <v>#N/A</v>
      </c>
      <c r="O427" s="29" t="n">
        <v>410</v>
      </c>
      <c r="P427" s="49" t="e">
        <f aca="false">IF((Arterial=0),P426+1,P426)</f>
        <v>#N/A</v>
      </c>
      <c r="Q427" s="49" t="e">
        <f aca="false">IF((Arterial=1),Q426+1,Q426)</f>
        <v>#N/A</v>
      </c>
      <c r="R427" s="50" t="n">
        <f aca="false">IF((RESET=1),0,R427+K427)</f>
        <v>0</v>
      </c>
      <c r="S427" s="19" t="n">
        <f aca="false">IF(RESET=1,0,S427+N427)</f>
        <v>0</v>
      </c>
      <c r="T427" s="0" t="n">
        <f aca="false">IF(RESET=1,0,T427+IF(H427=0,1,0))</f>
        <v>0</v>
      </c>
      <c r="U427" s="0" t="n">
        <f aca="false">IF(RESET=1,0,U427+H427)</f>
        <v>0</v>
      </c>
      <c r="V427" s="19" t="n">
        <f aca="false">R427/(T427+0.00001)</f>
        <v>0</v>
      </c>
      <c r="W427" s="19" t="n">
        <f aca="false">S427/(U427+0.0001)</f>
        <v>0</v>
      </c>
      <c r="X427" s="47" t="e">
        <f aca="false">IF(Informed=1,K427,0)</f>
        <v>#N/A</v>
      </c>
      <c r="Y427" s="47" t="n">
        <f aca="false">IF(Informed=0,K427,0)</f>
        <v>0</v>
      </c>
      <c r="Z427" s="47" t="e">
        <f aca="false">IF(Informed=1,N427,0)</f>
        <v>#N/A</v>
      </c>
      <c r="AA427" s="47" t="n">
        <f aca="false">IF(Informed=0,N427,0)</f>
        <v>0</v>
      </c>
      <c r="AB427" s="51" t="e">
        <f aca="false">IF(Arterial=0,IF(Informed=1,1,0),0)</f>
        <v>#N/A</v>
      </c>
      <c r="AC427" s="51" t="e">
        <f aca="false">IF(Arterial=0,IF(Informed=0,1,0),0)</f>
        <v>#N/A</v>
      </c>
      <c r="AD427" s="51" t="e">
        <f aca="false">IF(Arterial=1,IF(Informed=1,1,0),0)</f>
        <v>#N/A</v>
      </c>
      <c r="AE427" s="51" t="e">
        <f aca="false">IF(Arterial=1,IF(Informed=0,1,0),0)</f>
        <v>#N/A</v>
      </c>
      <c r="AF427" s="44" t="e">
        <f aca="false">IF(AB427=1,(X427-G$1030)^2,0)</f>
        <v>#N/A</v>
      </c>
      <c r="AG427" s="44" t="e">
        <f aca="false">IF(AC427=1,(Y427-H$1030)^2,0)</f>
        <v>#N/A</v>
      </c>
      <c r="AH427" s="44" t="e">
        <f aca="false">IF(AD427=1,(Z427-I$1030)^2,0)</f>
        <v>#N/A</v>
      </c>
      <c r="AI427" s="44" t="e">
        <f aca="false">IF(AE427=1,(AA427-J$1030)^2,0)</f>
        <v>#N/A</v>
      </c>
    </row>
    <row r="428" customFormat="false" ht="12" hidden="false" customHeight="false" outlineLevel="0" collapsed="false">
      <c r="A428" s="29" t="n">
        <v>411</v>
      </c>
      <c r="B428" s="45" t="n">
        <f aca="true">IF(RAND()&lt;$D$8,1,0)</f>
        <v>1</v>
      </c>
      <c r="C428" s="34" t="n">
        <f aca="true">-LN(RAND())/$D$2</f>
        <v>7.22058939858296</v>
      </c>
      <c r="D428" s="46" t="n">
        <f aca="false">D427+C428</f>
        <v>644.48658476885</v>
      </c>
      <c r="E428" s="47" t="e">
        <f aca="false">MAX($D$3,(1+P427-VLOOKUP(VALUE(D428),$J$18:$Q427,7,TRUE()))*$D$3)</f>
        <v>#N/A</v>
      </c>
      <c r="F428" s="47" t="e">
        <f aca="false">MAX($D$4,(1+Q427-VLOOKUP(VALUE(D428),$M$18:$Q427,5,TRUE()))*$D$4)</f>
        <v>#N/A</v>
      </c>
      <c r="G428" s="48" t="n">
        <v>0.5</v>
      </c>
      <c r="H428" s="46" t="e">
        <f aca="true">IF((B428=1),(IF((F428&lt;E428),1,(IF((F428=E428),(IF(RAND()&lt;G428,1,0)),0)))),(IF((RAND()&lt;G428),1,0)))</f>
        <v>#N/A</v>
      </c>
      <c r="I428" s="46" t="e">
        <f aca="true">IF((H428=1),0,$D$3+$D$5*(RAND()-0.5))</f>
        <v>#N/A</v>
      </c>
      <c r="J428" s="46" t="e">
        <f aca="false">I428+MAX(D428,J427)</f>
        <v>#N/A</v>
      </c>
      <c r="K428" s="46" t="e">
        <f aca="false">IF((H428=0),J428-D428,0)</f>
        <v>#N/A</v>
      </c>
      <c r="L428" s="46" t="e">
        <f aca="true">IF(($H428=0),0,$D$4+$D$5*(RAND()-0.5))</f>
        <v>#N/A</v>
      </c>
      <c r="M428" s="46" t="e">
        <f aca="false">L428+MAX(D428,M427)</f>
        <v>#N/A</v>
      </c>
      <c r="N428" s="46" t="e">
        <f aca="false">IF((H428=1),M428-D428,0)</f>
        <v>#N/A</v>
      </c>
      <c r="O428" s="29" t="n">
        <v>411</v>
      </c>
      <c r="P428" s="49" t="e">
        <f aca="false">IF((Arterial=0),P427+1,P427)</f>
        <v>#N/A</v>
      </c>
      <c r="Q428" s="49" t="e">
        <f aca="false">IF((Arterial=1),Q427+1,Q427)</f>
        <v>#N/A</v>
      </c>
      <c r="R428" s="50" t="n">
        <f aca="false">IF((RESET=1),0,R428+K428)</f>
        <v>0</v>
      </c>
      <c r="S428" s="19" t="n">
        <f aca="false">IF(RESET=1,0,S428+N428)</f>
        <v>0</v>
      </c>
      <c r="T428" s="0" t="n">
        <f aca="false">IF(RESET=1,0,T428+IF(H428=0,1,0))</f>
        <v>0</v>
      </c>
      <c r="U428" s="0" t="n">
        <f aca="false">IF(RESET=1,0,U428+H428)</f>
        <v>0</v>
      </c>
      <c r="V428" s="19" t="n">
        <f aca="false">R428/(T428+0.00001)</f>
        <v>0</v>
      </c>
      <c r="W428" s="19" t="n">
        <f aca="false">S428/(U428+0.0001)</f>
        <v>0</v>
      </c>
      <c r="X428" s="47" t="e">
        <f aca="false">IF(Informed=1,K428,0)</f>
        <v>#N/A</v>
      </c>
      <c r="Y428" s="47" t="n">
        <f aca="false">IF(Informed=0,K428,0)</f>
        <v>0</v>
      </c>
      <c r="Z428" s="47" t="e">
        <f aca="false">IF(Informed=1,N428,0)</f>
        <v>#N/A</v>
      </c>
      <c r="AA428" s="47" t="n">
        <f aca="false">IF(Informed=0,N428,0)</f>
        <v>0</v>
      </c>
      <c r="AB428" s="51" t="e">
        <f aca="false">IF(Arterial=0,IF(Informed=1,1,0),0)</f>
        <v>#N/A</v>
      </c>
      <c r="AC428" s="51" t="e">
        <f aca="false">IF(Arterial=0,IF(Informed=0,1,0),0)</f>
        <v>#N/A</v>
      </c>
      <c r="AD428" s="51" t="e">
        <f aca="false">IF(Arterial=1,IF(Informed=1,1,0),0)</f>
        <v>#N/A</v>
      </c>
      <c r="AE428" s="51" t="e">
        <f aca="false">IF(Arterial=1,IF(Informed=0,1,0),0)</f>
        <v>#N/A</v>
      </c>
      <c r="AF428" s="44" t="e">
        <f aca="false">IF(AB428=1,(X428-G$1030)^2,0)</f>
        <v>#N/A</v>
      </c>
      <c r="AG428" s="44" t="e">
        <f aca="false">IF(AC428=1,(Y428-H$1030)^2,0)</f>
        <v>#N/A</v>
      </c>
      <c r="AH428" s="44" t="e">
        <f aca="false">IF(AD428=1,(Z428-I$1030)^2,0)</f>
        <v>#N/A</v>
      </c>
      <c r="AI428" s="44" t="e">
        <f aca="false">IF(AE428=1,(AA428-J$1030)^2,0)</f>
        <v>#N/A</v>
      </c>
    </row>
    <row r="429" customFormat="false" ht="12" hidden="false" customHeight="false" outlineLevel="0" collapsed="false">
      <c r="A429" s="29" t="n">
        <v>412</v>
      </c>
      <c r="B429" s="45" t="n">
        <f aca="true">IF(RAND()&lt;$D$8,1,0)</f>
        <v>1</v>
      </c>
      <c r="C429" s="34" t="n">
        <f aca="true">-LN(RAND())/$D$2</f>
        <v>0.416849277346604</v>
      </c>
      <c r="D429" s="46" t="n">
        <f aca="false">D428+C429</f>
        <v>644.903434046197</v>
      </c>
      <c r="E429" s="47" t="e">
        <f aca="false">MAX($D$3,(1+P428-VLOOKUP(VALUE(D429),$J$18:$Q428,7,TRUE()))*$D$3)</f>
        <v>#N/A</v>
      </c>
      <c r="F429" s="47" t="e">
        <f aca="false">MAX($D$4,(1+Q428-VLOOKUP(VALUE(D429),$M$18:$Q428,5,TRUE()))*$D$4)</f>
        <v>#N/A</v>
      </c>
      <c r="G429" s="48" t="n">
        <v>0.5</v>
      </c>
      <c r="H429" s="46" t="e">
        <f aca="true">IF((B429=1),(IF((F429&lt;E429),1,(IF((F429=E429),(IF(RAND()&lt;G429,1,0)),0)))),(IF((RAND()&lt;G429),1,0)))</f>
        <v>#N/A</v>
      </c>
      <c r="I429" s="46" t="e">
        <f aca="true">IF((H429=1),0,$D$3+$D$5*(RAND()-0.5))</f>
        <v>#N/A</v>
      </c>
      <c r="J429" s="46" t="e">
        <f aca="false">I429+MAX(D429,J428)</f>
        <v>#N/A</v>
      </c>
      <c r="K429" s="46" t="e">
        <f aca="false">IF((H429=0),J429-D429,0)</f>
        <v>#N/A</v>
      </c>
      <c r="L429" s="46" t="e">
        <f aca="true">IF(($H429=0),0,$D$4+$D$5*(RAND()-0.5))</f>
        <v>#N/A</v>
      </c>
      <c r="M429" s="46" t="e">
        <f aca="false">L429+MAX(D429,M428)</f>
        <v>#N/A</v>
      </c>
      <c r="N429" s="46" t="e">
        <f aca="false">IF((H429=1),M429-D429,0)</f>
        <v>#N/A</v>
      </c>
      <c r="O429" s="29" t="n">
        <v>412</v>
      </c>
      <c r="P429" s="49" t="e">
        <f aca="false">IF((Arterial=0),P428+1,P428)</f>
        <v>#N/A</v>
      </c>
      <c r="Q429" s="49" t="e">
        <f aca="false">IF((Arterial=1),Q428+1,Q428)</f>
        <v>#N/A</v>
      </c>
      <c r="R429" s="50" t="n">
        <f aca="false">IF((RESET=1),0,R429+K429)</f>
        <v>0</v>
      </c>
      <c r="S429" s="19" t="n">
        <f aca="false">IF(RESET=1,0,S429+N429)</f>
        <v>0</v>
      </c>
      <c r="T429" s="0" t="n">
        <f aca="false">IF(RESET=1,0,T429+IF(H429=0,1,0))</f>
        <v>0</v>
      </c>
      <c r="U429" s="0" t="n">
        <f aca="false">IF(RESET=1,0,U429+H429)</f>
        <v>0</v>
      </c>
      <c r="V429" s="19" t="n">
        <f aca="false">R429/(T429+0.00001)</f>
        <v>0</v>
      </c>
      <c r="W429" s="19" t="n">
        <f aca="false">S429/(U429+0.0001)</f>
        <v>0</v>
      </c>
      <c r="X429" s="47" t="e">
        <f aca="false">IF(Informed=1,K429,0)</f>
        <v>#N/A</v>
      </c>
      <c r="Y429" s="47" t="n">
        <f aca="false">IF(Informed=0,K429,0)</f>
        <v>0</v>
      </c>
      <c r="Z429" s="47" t="e">
        <f aca="false">IF(Informed=1,N429,0)</f>
        <v>#N/A</v>
      </c>
      <c r="AA429" s="47" t="n">
        <f aca="false">IF(Informed=0,N429,0)</f>
        <v>0</v>
      </c>
      <c r="AB429" s="51" t="e">
        <f aca="false">IF(Arterial=0,IF(Informed=1,1,0),0)</f>
        <v>#N/A</v>
      </c>
      <c r="AC429" s="51" t="e">
        <f aca="false">IF(Arterial=0,IF(Informed=0,1,0),0)</f>
        <v>#N/A</v>
      </c>
      <c r="AD429" s="51" t="e">
        <f aca="false">IF(Arterial=1,IF(Informed=1,1,0),0)</f>
        <v>#N/A</v>
      </c>
      <c r="AE429" s="51" t="e">
        <f aca="false">IF(Arterial=1,IF(Informed=0,1,0),0)</f>
        <v>#N/A</v>
      </c>
      <c r="AF429" s="44" t="e">
        <f aca="false">IF(AB429=1,(X429-G$1030)^2,0)</f>
        <v>#N/A</v>
      </c>
      <c r="AG429" s="44" t="e">
        <f aca="false">IF(AC429=1,(Y429-H$1030)^2,0)</f>
        <v>#N/A</v>
      </c>
      <c r="AH429" s="44" t="e">
        <f aca="false">IF(AD429=1,(Z429-I$1030)^2,0)</f>
        <v>#N/A</v>
      </c>
      <c r="AI429" s="44" t="e">
        <f aca="false">IF(AE429=1,(AA429-J$1030)^2,0)</f>
        <v>#N/A</v>
      </c>
    </row>
    <row r="430" customFormat="false" ht="12" hidden="false" customHeight="false" outlineLevel="0" collapsed="false">
      <c r="A430" s="29" t="n">
        <v>413</v>
      </c>
      <c r="B430" s="45" t="n">
        <f aca="true">IF(RAND()&lt;$D$8,1,0)</f>
        <v>1</v>
      </c>
      <c r="C430" s="34" t="n">
        <f aca="true">-LN(RAND())/$D$2</f>
        <v>3.32807947068166</v>
      </c>
      <c r="D430" s="46" t="n">
        <f aca="false">D429+C430</f>
        <v>648.231513516879</v>
      </c>
      <c r="E430" s="47" t="e">
        <f aca="false">MAX($D$3,(1+P429-VLOOKUP(VALUE(D430),$J$18:$Q429,7,TRUE()))*$D$3)</f>
        <v>#N/A</v>
      </c>
      <c r="F430" s="47" t="e">
        <f aca="false">MAX($D$4,(1+Q429-VLOOKUP(VALUE(D430),$M$18:$Q429,5,TRUE()))*$D$4)</f>
        <v>#N/A</v>
      </c>
      <c r="G430" s="48" t="n">
        <v>0.5</v>
      </c>
      <c r="H430" s="46" t="e">
        <f aca="true">IF((B430=1),(IF((F430&lt;E430),1,(IF((F430=E430),(IF(RAND()&lt;G430,1,0)),0)))),(IF((RAND()&lt;G430),1,0)))</f>
        <v>#N/A</v>
      </c>
      <c r="I430" s="46" t="e">
        <f aca="true">IF((H430=1),0,$D$3+$D$5*(RAND()-0.5))</f>
        <v>#N/A</v>
      </c>
      <c r="J430" s="46" t="e">
        <f aca="false">I430+MAX(D430,J429)</f>
        <v>#N/A</v>
      </c>
      <c r="K430" s="46" t="e">
        <f aca="false">IF((H430=0),J430-D430,0)</f>
        <v>#N/A</v>
      </c>
      <c r="L430" s="46" t="e">
        <f aca="true">IF(($H430=0),0,$D$4+$D$5*(RAND()-0.5))</f>
        <v>#N/A</v>
      </c>
      <c r="M430" s="46" t="e">
        <f aca="false">L430+MAX(D430,M429)</f>
        <v>#N/A</v>
      </c>
      <c r="N430" s="46" t="e">
        <f aca="false">IF((H430=1),M430-D430,0)</f>
        <v>#N/A</v>
      </c>
      <c r="O430" s="29" t="n">
        <v>413</v>
      </c>
      <c r="P430" s="49" t="e">
        <f aca="false">IF((Arterial=0),P429+1,P429)</f>
        <v>#N/A</v>
      </c>
      <c r="Q430" s="49" t="e">
        <f aca="false">IF((Arterial=1),Q429+1,Q429)</f>
        <v>#N/A</v>
      </c>
      <c r="R430" s="50" t="n">
        <f aca="false">IF((RESET=1),0,R430+K430)</f>
        <v>0</v>
      </c>
      <c r="S430" s="19" t="n">
        <f aca="false">IF(RESET=1,0,S430+N430)</f>
        <v>0</v>
      </c>
      <c r="T430" s="0" t="n">
        <f aca="false">IF(RESET=1,0,T430+IF(H430=0,1,0))</f>
        <v>0</v>
      </c>
      <c r="U430" s="0" t="n">
        <f aca="false">IF(RESET=1,0,U430+H430)</f>
        <v>0</v>
      </c>
      <c r="V430" s="19" t="n">
        <f aca="false">R430/(T430+0.00001)</f>
        <v>0</v>
      </c>
      <c r="W430" s="19" t="n">
        <f aca="false">S430/(U430+0.0001)</f>
        <v>0</v>
      </c>
      <c r="X430" s="47" t="e">
        <f aca="false">IF(Informed=1,K430,0)</f>
        <v>#N/A</v>
      </c>
      <c r="Y430" s="47" t="n">
        <f aca="false">IF(Informed=0,K430,0)</f>
        <v>0</v>
      </c>
      <c r="Z430" s="47" t="e">
        <f aca="false">IF(Informed=1,N430,0)</f>
        <v>#N/A</v>
      </c>
      <c r="AA430" s="47" t="n">
        <f aca="false">IF(Informed=0,N430,0)</f>
        <v>0</v>
      </c>
      <c r="AB430" s="51" t="e">
        <f aca="false">IF(Arterial=0,IF(Informed=1,1,0),0)</f>
        <v>#N/A</v>
      </c>
      <c r="AC430" s="51" t="e">
        <f aca="false">IF(Arterial=0,IF(Informed=0,1,0),0)</f>
        <v>#N/A</v>
      </c>
      <c r="AD430" s="51" t="e">
        <f aca="false">IF(Arterial=1,IF(Informed=1,1,0),0)</f>
        <v>#N/A</v>
      </c>
      <c r="AE430" s="51" t="e">
        <f aca="false">IF(Arterial=1,IF(Informed=0,1,0),0)</f>
        <v>#N/A</v>
      </c>
      <c r="AF430" s="44" t="e">
        <f aca="false">IF(AB430=1,(X430-G$1030)^2,0)</f>
        <v>#N/A</v>
      </c>
      <c r="AG430" s="44" t="e">
        <f aca="false">IF(AC430=1,(Y430-H$1030)^2,0)</f>
        <v>#N/A</v>
      </c>
      <c r="AH430" s="44" t="e">
        <f aca="false">IF(AD430=1,(Z430-I$1030)^2,0)</f>
        <v>#N/A</v>
      </c>
      <c r="AI430" s="44" t="e">
        <f aca="false">IF(AE430=1,(AA430-J$1030)^2,0)</f>
        <v>#N/A</v>
      </c>
    </row>
    <row r="431" customFormat="false" ht="12" hidden="false" customHeight="false" outlineLevel="0" collapsed="false">
      <c r="A431" s="29" t="n">
        <v>414</v>
      </c>
      <c r="B431" s="45" t="n">
        <f aca="true">IF(RAND()&lt;$D$8,1,0)</f>
        <v>1</v>
      </c>
      <c r="C431" s="34" t="n">
        <f aca="true">-LN(RAND())/$D$2</f>
        <v>0.0279231553369866</v>
      </c>
      <c r="D431" s="46" t="n">
        <f aca="false">D430+C431</f>
        <v>648.259436672216</v>
      </c>
      <c r="E431" s="47" t="e">
        <f aca="false">MAX($D$3,(1+P430-VLOOKUP(VALUE(D431),$J$18:$Q430,7,TRUE()))*$D$3)</f>
        <v>#N/A</v>
      </c>
      <c r="F431" s="47" t="e">
        <f aca="false">MAX($D$4,(1+Q430-VLOOKUP(VALUE(D431),$M$18:$Q430,5,TRUE()))*$D$4)</f>
        <v>#N/A</v>
      </c>
      <c r="G431" s="48" t="n">
        <v>0.5</v>
      </c>
      <c r="H431" s="46" t="e">
        <f aca="true">IF((B431=1),(IF((F431&lt;E431),1,(IF((F431=E431),(IF(RAND()&lt;G431,1,0)),0)))),(IF((RAND()&lt;G431),1,0)))</f>
        <v>#N/A</v>
      </c>
      <c r="I431" s="46" t="e">
        <f aca="true">IF((H431=1),0,$D$3+$D$5*(RAND()-0.5))</f>
        <v>#N/A</v>
      </c>
      <c r="J431" s="46" t="e">
        <f aca="false">I431+MAX(D431,J430)</f>
        <v>#N/A</v>
      </c>
      <c r="K431" s="46" t="e">
        <f aca="false">IF((H431=0),J431-D431,0)</f>
        <v>#N/A</v>
      </c>
      <c r="L431" s="46" t="e">
        <f aca="true">IF(($H431=0),0,$D$4+$D$5*(RAND()-0.5))</f>
        <v>#N/A</v>
      </c>
      <c r="M431" s="46" t="e">
        <f aca="false">L431+MAX(D431,M430)</f>
        <v>#N/A</v>
      </c>
      <c r="N431" s="46" t="e">
        <f aca="false">IF((H431=1),M431-D431,0)</f>
        <v>#N/A</v>
      </c>
      <c r="O431" s="29" t="n">
        <v>414</v>
      </c>
      <c r="P431" s="49" t="e">
        <f aca="false">IF((Arterial=0),P430+1,P430)</f>
        <v>#N/A</v>
      </c>
      <c r="Q431" s="49" t="e">
        <f aca="false">IF((Arterial=1),Q430+1,Q430)</f>
        <v>#N/A</v>
      </c>
      <c r="R431" s="50" t="n">
        <f aca="false">IF((RESET=1),0,R431+K431)</f>
        <v>0</v>
      </c>
      <c r="S431" s="19" t="n">
        <f aca="false">IF(RESET=1,0,S431+N431)</f>
        <v>0</v>
      </c>
      <c r="T431" s="0" t="n">
        <f aca="false">IF(RESET=1,0,T431+IF(H431=0,1,0))</f>
        <v>0</v>
      </c>
      <c r="U431" s="0" t="n">
        <f aca="false">IF(RESET=1,0,U431+H431)</f>
        <v>0</v>
      </c>
      <c r="V431" s="19" t="n">
        <f aca="false">R431/(T431+0.00001)</f>
        <v>0</v>
      </c>
      <c r="W431" s="19" t="n">
        <f aca="false">S431/(U431+0.0001)</f>
        <v>0</v>
      </c>
      <c r="X431" s="47" t="e">
        <f aca="false">IF(Informed=1,K431,0)</f>
        <v>#N/A</v>
      </c>
      <c r="Y431" s="47" t="n">
        <f aca="false">IF(Informed=0,K431,0)</f>
        <v>0</v>
      </c>
      <c r="Z431" s="47" t="e">
        <f aca="false">IF(Informed=1,N431,0)</f>
        <v>#N/A</v>
      </c>
      <c r="AA431" s="47" t="n">
        <f aca="false">IF(Informed=0,N431,0)</f>
        <v>0</v>
      </c>
      <c r="AB431" s="51" t="e">
        <f aca="false">IF(Arterial=0,IF(Informed=1,1,0),0)</f>
        <v>#N/A</v>
      </c>
      <c r="AC431" s="51" t="e">
        <f aca="false">IF(Arterial=0,IF(Informed=0,1,0),0)</f>
        <v>#N/A</v>
      </c>
      <c r="AD431" s="51" t="e">
        <f aca="false">IF(Arterial=1,IF(Informed=1,1,0),0)</f>
        <v>#N/A</v>
      </c>
      <c r="AE431" s="51" t="e">
        <f aca="false">IF(Arterial=1,IF(Informed=0,1,0),0)</f>
        <v>#N/A</v>
      </c>
      <c r="AF431" s="44" t="e">
        <f aca="false">IF(AB431=1,(X431-G$1030)^2,0)</f>
        <v>#N/A</v>
      </c>
      <c r="AG431" s="44" t="e">
        <f aca="false">IF(AC431=1,(Y431-H$1030)^2,0)</f>
        <v>#N/A</v>
      </c>
      <c r="AH431" s="44" t="e">
        <f aca="false">IF(AD431=1,(Z431-I$1030)^2,0)</f>
        <v>#N/A</v>
      </c>
      <c r="AI431" s="44" t="e">
        <f aca="false">IF(AE431=1,(AA431-J$1030)^2,0)</f>
        <v>#N/A</v>
      </c>
    </row>
    <row r="432" customFormat="false" ht="12" hidden="false" customHeight="false" outlineLevel="0" collapsed="false">
      <c r="A432" s="29" t="n">
        <v>415</v>
      </c>
      <c r="B432" s="45" t="n">
        <f aca="true">IF(RAND()&lt;$D$8,1,0)</f>
        <v>1</v>
      </c>
      <c r="C432" s="34" t="n">
        <f aca="true">-LN(RAND())/$D$2</f>
        <v>3.82762752507933</v>
      </c>
      <c r="D432" s="46" t="n">
        <f aca="false">D431+C432</f>
        <v>652.087064197295</v>
      </c>
      <c r="E432" s="47" t="e">
        <f aca="false">MAX($D$3,(1+P431-VLOOKUP(VALUE(D432),$J$18:$Q431,7,TRUE()))*$D$3)</f>
        <v>#N/A</v>
      </c>
      <c r="F432" s="47" t="e">
        <f aca="false">MAX($D$4,(1+Q431-VLOOKUP(VALUE(D432),$M$18:$Q431,5,TRUE()))*$D$4)</f>
        <v>#N/A</v>
      </c>
      <c r="G432" s="48" t="n">
        <v>0.5</v>
      </c>
      <c r="H432" s="46" t="e">
        <f aca="true">IF((B432=1),(IF((F432&lt;E432),1,(IF((F432=E432),(IF(RAND()&lt;G432,1,0)),0)))),(IF((RAND()&lt;G432),1,0)))</f>
        <v>#N/A</v>
      </c>
      <c r="I432" s="46" t="e">
        <f aca="true">IF((H432=1),0,$D$3+$D$5*(RAND()-0.5))</f>
        <v>#N/A</v>
      </c>
      <c r="J432" s="46" t="e">
        <f aca="false">I432+MAX(D432,J431)</f>
        <v>#N/A</v>
      </c>
      <c r="K432" s="46" t="e">
        <f aca="false">IF((H432=0),J432-D432,0)</f>
        <v>#N/A</v>
      </c>
      <c r="L432" s="46" t="e">
        <f aca="true">IF(($H432=0),0,$D$4+$D$5*(RAND()-0.5))</f>
        <v>#N/A</v>
      </c>
      <c r="M432" s="46" t="e">
        <f aca="false">L432+MAX(D432,M431)</f>
        <v>#N/A</v>
      </c>
      <c r="N432" s="46" t="e">
        <f aca="false">IF((H432=1),M432-D432,0)</f>
        <v>#N/A</v>
      </c>
      <c r="O432" s="29" t="n">
        <v>415</v>
      </c>
      <c r="P432" s="49" t="e">
        <f aca="false">IF((Arterial=0),P431+1,P431)</f>
        <v>#N/A</v>
      </c>
      <c r="Q432" s="49" t="e">
        <f aca="false">IF((Arterial=1),Q431+1,Q431)</f>
        <v>#N/A</v>
      </c>
      <c r="R432" s="50" t="n">
        <f aca="false">IF((RESET=1),0,R432+K432)</f>
        <v>0</v>
      </c>
      <c r="S432" s="19" t="n">
        <f aca="false">IF(RESET=1,0,S432+N432)</f>
        <v>0</v>
      </c>
      <c r="T432" s="0" t="n">
        <f aca="false">IF(RESET=1,0,T432+IF(H432=0,1,0))</f>
        <v>0</v>
      </c>
      <c r="U432" s="0" t="n">
        <f aca="false">IF(RESET=1,0,U432+H432)</f>
        <v>0</v>
      </c>
      <c r="V432" s="19" t="n">
        <f aca="false">R432/(T432+0.00001)</f>
        <v>0</v>
      </c>
      <c r="W432" s="19" t="n">
        <f aca="false">S432/(U432+0.0001)</f>
        <v>0</v>
      </c>
      <c r="X432" s="47" t="e">
        <f aca="false">IF(Informed=1,K432,0)</f>
        <v>#N/A</v>
      </c>
      <c r="Y432" s="47" t="n">
        <f aca="false">IF(Informed=0,K432,0)</f>
        <v>0</v>
      </c>
      <c r="Z432" s="47" t="e">
        <f aca="false">IF(Informed=1,N432,0)</f>
        <v>#N/A</v>
      </c>
      <c r="AA432" s="47" t="n">
        <f aca="false">IF(Informed=0,N432,0)</f>
        <v>0</v>
      </c>
      <c r="AB432" s="51" t="e">
        <f aca="false">IF(Arterial=0,IF(Informed=1,1,0),0)</f>
        <v>#N/A</v>
      </c>
      <c r="AC432" s="51" t="e">
        <f aca="false">IF(Arterial=0,IF(Informed=0,1,0),0)</f>
        <v>#N/A</v>
      </c>
      <c r="AD432" s="51" t="e">
        <f aca="false">IF(Arterial=1,IF(Informed=1,1,0),0)</f>
        <v>#N/A</v>
      </c>
      <c r="AE432" s="51" t="e">
        <f aca="false">IF(Arterial=1,IF(Informed=0,1,0),0)</f>
        <v>#N/A</v>
      </c>
      <c r="AF432" s="44" t="e">
        <f aca="false">IF(AB432=1,(X432-G$1030)^2,0)</f>
        <v>#N/A</v>
      </c>
      <c r="AG432" s="44" t="e">
        <f aca="false">IF(AC432=1,(Y432-H$1030)^2,0)</f>
        <v>#N/A</v>
      </c>
      <c r="AH432" s="44" t="e">
        <f aca="false">IF(AD432=1,(Z432-I$1030)^2,0)</f>
        <v>#N/A</v>
      </c>
      <c r="AI432" s="44" t="e">
        <f aca="false">IF(AE432=1,(AA432-J$1030)^2,0)</f>
        <v>#N/A</v>
      </c>
    </row>
    <row r="433" customFormat="false" ht="12" hidden="false" customHeight="false" outlineLevel="0" collapsed="false">
      <c r="A433" s="29" t="n">
        <v>416</v>
      </c>
      <c r="B433" s="45" t="n">
        <f aca="true">IF(RAND()&lt;$D$8,1,0)</f>
        <v>1</v>
      </c>
      <c r="C433" s="34" t="n">
        <f aca="true">-LN(RAND())/$D$2</f>
        <v>1.09676967165679</v>
      </c>
      <c r="D433" s="46" t="n">
        <f aca="false">D432+C433</f>
        <v>653.183833868952</v>
      </c>
      <c r="E433" s="47" t="e">
        <f aca="false">MAX($D$3,(1+P432-VLOOKUP(VALUE(D433),$J$18:$Q432,7,TRUE()))*$D$3)</f>
        <v>#N/A</v>
      </c>
      <c r="F433" s="47" t="e">
        <f aca="false">MAX($D$4,(1+Q432-VLOOKUP(VALUE(D433),$M$18:$Q432,5,TRUE()))*$D$4)</f>
        <v>#N/A</v>
      </c>
      <c r="G433" s="48" t="n">
        <v>0.5</v>
      </c>
      <c r="H433" s="46" t="e">
        <f aca="true">IF((B433=1),(IF((F433&lt;E433),1,(IF((F433=E433),(IF(RAND()&lt;G433,1,0)),0)))),(IF((RAND()&lt;G433),1,0)))</f>
        <v>#N/A</v>
      </c>
      <c r="I433" s="46" t="e">
        <f aca="true">IF((H433=1),0,$D$3+$D$5*(RAND()-0.5))</f>
        <v>#N/A</v>
      </c>
      <c r="J433" s="46" t="e">
        <f aca="false">I433+MAX(D433,J432)</f>
        <v>#N/A</v>
      </c>
      <c r="K433" s="46" t="e">
        <f aca="false">IF((H433=0),J433-D433,0)</f>
        <v>#N/A</v>
      </c>
      <c r="L433" s="46" t="e">
        <f aca="true">IF(($H433=0),0,$D$4+$D$5*(RAND()-0.5))</f>
        <v>#N/A</v>
      </c>
      <c r="M433" s="46" t="e">
        <f aca="false">L433+MAX(D433,M432)</f>
        <v>#N/A</v>
      </c>
      <c r="N433" s="46" t="e">
        <f aca="false">IF((H433=1),M433-D433,0)</f>
        <v>#N/A</v>
      </c>
      <c r="O433" s="29" t="n">
        <v>416</v>
      </c>
      <c r="P433" s="49" t="e">
        <f aca="false">IF((Arterial=0),P432+1,P432)</f>
        <v>#N/A</v>
      </c>
      <c r="Q433" s="49" t="e">
        <f aca="false">IF((Arterial=1),Q432+1,Q432)</f>
        <v>#N/A</v>
      </c>
      <c r="R433" s="50" t="n">
        <f aca="false">IF((RESET=1),0,R433+K433)</f>
        <v>0</v>
      </c>
      <c r="S433" s="19" t="n">
        <f aca="false">IF(RESET=1,0,S433+N433)</f>
        <v>0</v>
      </c>
      <c r="T433" s="0" t="n">
        <f aca="false">IF(RESET=1,0,T433+IF(H433=0,1,0))</f>
        <v>0</v>
      </c>
      <c r="U433" s="0" t="n">
        <f aca="false">IF(RESET=1,0,U433+H433)</f>
        <v>0</v>
      </c>
      <c r="V433" s="19" t="n">
        <f aca="false">R433/(T433+0.00001)</f>
        <v>0</v>
      </c>
      <c r="W433" s="19" t="n">
        <f aca="false">S433/(U433+0.0001)</f>
        <v>0</v>
      </c>
      <c r="X433" s="47" t="e">
        <f aca="false">IF(Informed=1,K433,0)</f>
        <v>#N/A</v>
      </c>
      <c r="Y433" s="47" t="n">
        <f aca="false">IF(Informed=0,K433,0)</f>
        <v>0</v>
      </c>
      <c r="Z433" s="47" t="e">
        <f aca="false">IF(Informed=1,N433,0)</f>
        <v>#N/A</v>
      </c>
      <c r="AA433" s="47" t="n">
        <f aca="false">IF(Informed=0,N433,0)</f>
        <v>0</v>
      </c>
      <c r="AB433" s="51" t="e">
        <f aca="false">IF(Arterial=0,IF(Informed=1,1,0),0)</f>
        <v>#N/A</v>
      </c>
      <c r="AC433" s="51" t="e">
        <f aca="false">IF(Arterial=0,IF(Informed=0,1,0),0)</f>
        <v>#N/A</v>
      </c>
      <c r="AD433" s="51" t="e">
        <f aca="false">IF(Arterial=1,IF(Informed=1,1,0),0)</f>
        <v>#N/A</v>
      </c>
      <c r="AE433" s="51" t="e">
        <f aca="false">IF(Arterial=1,IF(Informed=0,1,0),0)</f>
        <v>#N/A</v>
      </c>
      <c r="AF433" s="44" t="e">
        <f aca="false">IF(AB433=1,(X433-G$1030)^2,0)</f>
        <v>#N/A</v>
      </c>
      <c r="AG433" s="44" t="e">
        <f aca="false">IF(AC433=1,(Y433-H$1030)^2,0)</f>
        <v>#N/A</v>
      </c>
      <c r="AH433" s="44" t="e">
        <f aca="false">IF(AD433=1,(Z433-I$1030)^2,0)</f>
        <v>#N/A</v>
      </c>
      <c r="AI433" s="44" t="e">
        <f aca="false">IF(AE433=1,(AA433-J$1030)^2,0)</f>
        <v>#N/A</v>
      </c>
    </row>
    <row r="434" customFormat="false" ht="12" hidden="false" customHeight="false" outlineLevel="0" collapsed="false">
      <c r="A434" s="29" t="n">
        <v>417</v>
      </c>
      <c r="B434" s="45" t="n">
        <f aca="true">IF(RAND()&lt;$D$8,1,0)</f>
        <v>1</v>
      </c>
      <c r="C434" s="34" t="n">
        <f aca="true">-LN(RAND())/$D$2</f>
        <v>1.03907299953459</v>
      </c>
      <c r="D434" s="46" t="n">
        <f aca="false">D433+C434</f>
        <v>654.222906868486</v>
      </c>
      <c r="E434" s="47" t="e">
        <f aca="false">MAX($D$3,(1+P433-VLOOKUP(VALUE(D434),$J$18:$Q433,7,TRUE()))*$D$3)</f>
        <v>#N/A</v>
      </c>
      <c r="F434" s="47" t="e">
        <f aca="false">MAX($D$4,(1+Q433-VLOOKUP(VALUE(D434),$M$18:$Q433,5,TRUE()))*$D$4)</f>
        <v>#N/A</v>
      </c>
      <c r="G434" s="48" t="n">
        <v>0.5</v>
      </c>
      <c r="H434" s="46" t="e">
        <f aca="true">IF((B434=1),(IF((F434&lt;E434),1,(IF((F434=E434),(IF(RAND()&lt;G434,1,0)),0)))),(IF((RAND()&lt;G434),1,0)))</f>
        <v>#N/A</v>
      </c>
      <c r="I434" s="46" t="e">
        <f aca="true">IF((H434=1),0,$D$3+$D$5*(RAND()-0.5))</f>
        <v>#N/A</v>
      </c>
      <c r="J434" s="46" t="e">
        <f aca="false">I434+MAX(D434,J433)</f>
        <v>#N/A</v>
      </c>
      <c r="K434" s="46" t="e">
        <f aca="false">IF((H434=0),J434-D434,0)</f>
        <v>#N/A</v>
      </c>
      <c r="L434" s="46" t="e">
        <f aca="true">IF(($H434=0),0,$D$4+$D$5*(RAND()-0.5))</f>
        <v>#N/A</v>
      </c>
      <c r="M434" s="46" t="e">
        <f aca="false">L434+MAX(D434,M433)</f>
        <v>#N/A</v>
      </c>
      <c r="N434" s="46" t="e">
        <f aca="false">IF((H434=1),M434-D434,0)</f>
        <v>#N/A</v>
      </c>
      <c r="O434" s="29" t="n">
        <v>417</v>
      </c>
      <c r="P434" s="49" t="e">
        <f aca="false">IF((Arterial=0),P433+1,P433)</f>
        <v>#N/A</v>
      </c>
      <c r="Q434" s="49" t="e">
        <f aca="false">IF((Arterial=1),Q433+1,Q433)</f>
        <v>#N/A</v>
      </c>
      <c r="R434" s="50" t="n">
        <f aca="false">IF((RESET=1),0,R434+K434)</f>
        <v>0</v>
      </c>
      <c r="S434" s="19" t="n">
        <f aca="false">IF(RESET=1,0,S434+N434)</f>
        <v>0</v>
      </c>
      <c r="T434" s="0" t="n">
        <f aca="false">IF(RESET=1,0,T434+IF(H434=0,1,0))</f>
        <v>0</v>
      </c>
      <c r="U434" s="0" t="n">
        <f aca="false">IF(RESET=1,0,U434+H434)</f>
        <v>0</v>
      </c>
      <c r="V434" s="19" t="n">
        <f aca="false">R434/(T434+0.00001)</f>
        <v>0</v>
      </c>
      <c r="W434" s="19" t="n">
        <f aca="false">S434/(U434+0.0001)</f>
        <v>0</v>
      </c>
      <c r="X434" s="47" t="e">
        <f aca="false">IF(Informed=1,K434,0)</f>
        <v>#N/A</v>
      </c>
      <c r="Y434" s="47" t="n">
        <f aca="false">IF(Informed=0,K434,0)</f>
        <v>0</v>
      </c>
      <c r="Z434" s="47" t="e">
        <f aca="false">IF(Informed=1,N434,0)</f>
        <v>#N/A</v>
      </c>
      <c r="AA434" s="47" t="n">
        <f aca="false">IF(Informed=0,N434,0)</f>
        <v>0</v>
      </c>
      <c r="AB434" s="51" t="e">
        <f aca="false">IF(Arterial=0,IF(Informed=1,1,0),0)</f>
        <v>#N/A</v>
      </c>
      <c r="AC434" s="51" t="e">
        <f aca="false">IF(Arterial=0,IF(Informed=0,1,0),0)</f>
        <v>#N/A</v>
      </c>
      <c r="AD434" s="51" t="e">
        <f aca="false">IF(Arterial=1,IF(Informed=1,1,0),0)</f>
        <v>#N/A</v>
      </c>
      <c r="AE434" s="51" t="e">
        <f aca="false">IF(Arterial=1,IF(Informed=0,1,0),0)</f>
        <v>#N/A</v>
      </c>
      <c r="AF434" s="44" t="e">
        <f aca="false">IF(AB434=1,(X434-G$1030)^2,0)</f>
        <v>#N/A</v>
      </c>
      <c r="AG434" s="44" t="e">
        <f aca="false">IF(AC434=1,(Y434-H$1030)^2,0)</f>
        <v>#N/A</v>
      </c>
      <c r="AH434" s="44" t="e">
        <f aca="false">IF(AD434=1,(Z434-I$1030)^2,0)</f>
        <v>#N/A</v>
      </c>
      <c r="AI434" s="44" t="e">
        <f aca="false">IF(AE434=1,(AA434-J$1030)^2,0)</f>
        <v>#N/A</v>
      </c>
    </row>
    <row r="435" customFormat="false" ht="12" hidden="false" customHeight="false" outlineLevel="0" collapsed="false">
      <c r="A435" s="29" t="n">
        <v>418</v>
      </c>
      <c r="B435" s="45" t="n">
        <f aca="true">IF(RAND()&lt;$D$8,1,0)</f>
        <v>1</v>
      </c>
      <c r="C435" s="34" t="n">
        <f aca="true">-LN(RAND())/$D$2</f>
        <v>0.0670537659353135</v>
      </c>
      <c r="D435" s="46" t="n">
        <f aca="false">D434+C435</f>
        <v>654.289960634422</v>
      </c>
      <c r="E435" s="47" t="e">
        <f aca="false">MAX($D$3,(1+P434-VLOOKUP(VALUE(D435),$J$18:$Q434,7,TRUE()))*$D$3)</f>
        <v>#N/A</v>
      </c>
      <c r="F435" s="47" t="e">
        <f aca="false">MAX($D$4,(1+Q434-VLOOKUP(VALUE(D435),$M$18:$Q434,5,TRUE()))*$D$4)</f>
        <v>#N/A</v>
      </c>
      <c r="G435" s="48" t="n">
        <v>0.5</v>
      </c>
      <c r="H435" s="46" t="e">
        <f aca="true">IF((B435=1),(IF((F435&lt;E435),1,(IF((F435=E435),(IF(RAND()&lt;G435,1,0)),0)))),(IF((RAND()&lt;G435),1,0)))</f>
        <v>#N/A</v>
      </c>
      <c r="I435" s="46" t="e">
        <f aca="true">IF((H435=1),0,$D$3+$D$5*(RAND()-0.5))</f>
        <v>#N/A</v>
      </c>
      <c r="J435" s="46" t="e">
        <f aca="false">I435+MAX(D435,J434)</f>
        <v>#N/A</v>
      </c>
      <c r="K435" s="46" t="e">
        <f aca="false">IF((H435=0),J435-D435,0)</f>
        <v>#N/A</v>
      </c>
      <c r="L435" s="46" t="e">
        <f aca="true">IF(($H435=0),0,$D$4+$D$5*(RAND()-0.5))</f>
        <v>#N/A</v>
      </c>
      <c r="M435" s="46" t="e">
        <f aca="false">L435+MAX(D435,M434)</f>
        <v>#N/A</v>
      </c>
      <c r="N435" s="46" t="e">
        <f aca="false">IF((H435=1),M435-D435,0)</f>
        <v>#N/A</v>
      </c>
      <c r="O435" s="29" t="n">
        <v>418</v>
      </c>
      <c r="P435" s="49" t="e">
        <f aca="false">IF((Arterial=0),P434+1,P434)</f>
        <v>#N/A</v>
      </c>
      <c r="Q435" s="49" t="e">
        <f aca="false">IF((Arterial=1),Q434+1,Q434)</f>
        <v>#N/A</v>
      </c>
      <c r="R435" s="50" t="n">
        <f aca="false">IF((RESET=1),0,R435+K435)</f>
        <v>0</v>
      </c>
      <c r="S435" s="19" t="n">
        <f aca="false">IF(RESET=1,0,S435+N435)</f>
        <v>0</v>
      </c>
      <c r="T435" s="0" t="n">
        <f aca="false">IF(RESET=1,0,T435+IF(H435=0,1,0))</f>
        <v>0</v>
      </c>
      <c r="U435" s="0" t="n">
        <f aca="false">IF(RESET=1,0,U435+H435)</f>
        <v>0</v>
      </c>
      <c r="V435" s="19" t="n">
        <f aca="false">R435/(T435+0.00001)</f>
        <v>0</v>
      </c>
      <c r="W435" s="19" t="n">
        <f aca="false">S435/(U435+0.0001)</f>
        <v>0</v>
      </c>
      <c r="X435" s="47" t="e">
        <f aca="false">IF(Informed=1,K435,0)</f>
        <v>#N/A</v>
      </c>
      <c r="Y435" s="47" t="n">
        <f aca="false">IF(Informed=0,K435,0)</f>
        <v>0</v>
      </c>
      <c r="Z435" s="47" t="e">
        <f aca="false">IF(Informed=1,N435,0)</f>
        <v>#N/A</v>
      </c>
      <c r="AA435" s="47" t="n">
        <f aca="false">IF(Informed=0,N435,0)</f>
        <v>0</v>
      </c>
      <c r="AB435" s="51" t="e">
        <f aca="false">IF(Arterial=0,IF(Informed=1,1,0),0)</f>
        <v>#N/A</v>
      </c>
      <c r="AC435" s="51" t="e">
        <f aca="false">IF(Arterial=0,IF(Informed=0,1,0),0)</f>
        <v>#N/A</v>
      </c>
      <c r="AD435" s="51" t="e">
        <f aca="false">IF(Arterial=1,IF(Informed=1,1,0),0)</f>
        <v>#N/A</v>
      </c>
      <c r="AE435" s="51" t="e">
        <f aca="false">IF(Arterial=1,IF(Informed=0,1,0),0)</f>
        <v>#N/A</v>
      </c>
      <c r="AF435" s="44" t="e">
        <f aca="false">IF(AB435=1,(X435-G$1030)^2,0)</f>
        <v>#N/A</v>
      </c>
      <c r="AG435" s="44" t="e">
        <f aca="false">IF(AC435=1,(Y435-H$1030)^2,0)</f>
        <v>#N/A</v>
      </c>
      <c r="AH435" s="44" t="e">
        <f aca="false">IF(AD435=1,(Z435-I$1030)^2,0)</f>
        <v>#N/A</v>
      </c>
      <c r="AI435" s="44" t="e">
        <f aca="false">IF(AE435=1,(AA435-J$1030)^2,0)</f>
        <v>#N/A</v>
      </c>
    </row>
    <row r="436" customFormat="false" ht="12" hidden="false" customHeight="false" outlineLevel="0" collapsed="false">
      <c r="A436" s="29" t="n">
        <v>419</v>
      </c>
      <c r="B436" s="45" t="n">
        <f aca="true">IF(RAND()&lt;$D$8,1,0)</f>
        <v>1</v>
      </c>
      <c r="C436" s="34" t="n">
        <f aca="true">-LN(RAND())/$D$2</f>
        <v>1.00914656511525</v>
      </c>
      <c r="D436" s="46" t="n">
        <f aca="false">D435+C436</f>
        <v>655.299107199537</v>
      </c>
      <c r="E436" s="47" t="e">
        <f aca="false">MAX($D$3,(1+P435-VLOOKUP(VALUE(D436),$J$18:$Q435,7,TRUE()))*$D$3)</f>
        <v>#N/A</v>
      </c>
      <c r="F436" s="47" t="e">
        <f aca="false">MAX($D$4,(1+Q435-VLOOKUP(VALUE(D436),$M$18:$Q435,5,TRUE()))*$D$4)</f>
        <v>#N/A</v>
      </c>
      <c r="G436" s="48" t="n">
        <v>0.5</v>
      </c>
      <c r="H436" s="46" t="e">
        <f aca="true">IF((B436=1),(IF((F436&lt;E436),1,(IF((F436=E436),(IF(RAND()&lt;G436,1,0)),0)))),(IF((RAND()&lt;G436),1,0)))</f>
        <v>#N/A</v>
      </c>
      <c r="I436" s="46" t="e">
        <f aca="true">IF((H436=1),0,$D$3+$D$5*(RAND()-0.5))</f>
        <v>#N/A</v>
      </c>
      <c r="J436" s="46" t="e">
        <f aca="false">I436+MAX(D436,J435)</f>
        <v>#N/A</v>
      </c>
      <c r="K436" s="46" t="e">
        <f aca="false">IF((H436=0),J436-D436,0)</f>
        <v>#N/A</v>
      </c>
      <c r="L436" s="46" t="e">
        <f aca="true">IF(($H436=0),0,$D$4+$D$5*(RAND()-0.5))</f>
        <v>#N/A</v>
      </c>
      <c r="M436" s="46" t="e">
        <f aca="false">L436+MAX(D436,M435)</f>
        <v>#N/A</v>
      </c>
      <c r="N436" s="46" t="e">
        <f aca="false">IF((H436=1),M436-D436,0)</f>
        <v>#N/A</v>
      </c>
      <c r="O436" s="29" t="n">
        <v>419</v>
      </c>
      <c r="P436" s="49" t="e">
        <f aca="false">IF((Arterial=0),P435+1,P435)</f>
        <v>#N/A</v>
      </c>
      <c r="Q436" s="49" t="e">
        <f aca="false">IF((Arterial=1),Q435+1,Q435)</f>
        <v>#N/A</v>
      </c>
      <c r="R436" s="50" t="n">
        <f aca="false">IF((RESET=1),0,R436+K436)</f>
        <v>0</v>
      </c>
      <c r="S436" s="19" t="n">
        <f aca="false">IF(RESET=1,0,S436+N436)</f>
        <v>0</v>
      </c>
      <c r="T436" s="0" t="n">
        <f aca="false">IF(RESET=1,0,T436+IF(H436=0,1,0))</f>
        <v>0</v>
      </c>
      <c r="U436" s="0" t="n">
        <f aca="false">IF(RESET=1,0,U436+H436)</f>
        <v>0</v>
      </c>
      <c r="V436" s="19" t="n">
        <f aca="false">R436/(T436+0.00001)</f>
        <v>0</v>
      </c>
      <c r="W436" s="19" t="n">
        <f aca="false">S436/(U436+0.0001)</f>
        <v>0</v>
      </c>
      <c r="X436" s="47" t="e">
        <f aca="false">IF(Informed=1,K436,0)</f>
        <v>#N/A</v>
      </c>
      <c r="Y436" s="47" t="n">
        <f aca="false">IF(Informed=0,K436,0)</f>
        <v>0</v>
      </c>
      <c r="Z436" s="47" t="e">
        <f aca="false">IF(Informed=1,N436,0)</f>
        <v>#N/A</v>
      </c>
      <c r="AA436" s="47" t="n">
        <f aca="false">IF(Informed=0,N436,0)</f>
        <v>0</v>
      </c>
      <c r="AB436" s="51" t="e">
        <f aca="false">IF(Arterial=0,IF(Informed=1,1,0),0)</f>
        <v>#N/A</v>
      </c>
      <c r="AC436" s="51" t="e">
        <f aca="false">IF(Arterial=0,IF(Informed=0,1,0),0)</f>
        <v>#N/A</v>
      </c>
      <c r="AD436" s="51" t="e">
        <f aca="false">IF(Arterial=1,IF(Informed=1,1,0),0)</f>
        <v>#N/A</v>
      </c>
      <c r="AE436" s="51" t="e">
        <f aca="false">IF(Arterial=1,IF(Informed=0,1,0),0)</f>
        <v>#N/A</v>
      </c>
      <c r="AF436" s="44" t="e">
        <f aca="false">IF(AB436=1,(X436-G$1030)^2,0)</f>
        <v>#N/A</v>
      </c>
      <c r="AG436" s="44" t="e">
        <f aca="false">IF(AC436=1,(Y436-H$1030)^2,0)</f>
        <v>#N/A</v>
      </c>
      <c r="AH436" s="44" t="e">
        <f aca="false">IF(AD436=1,(Z436-I$1030)^2,0)</f>
        <v>#N/A</v>
      </c>
      <c r="AI436" s="44" t="e">
        <f aca="false">IF(AE436=1,(AA436-J$1030)^2,0)</f>
        <v>#N/A</v>
      </c>
    </row>
    <row r="437" customFormat="false" ht="12" hidden="false" customHeight="false" outlineLevel="0" collapsed="false">
      <c r="A437" s="29" t="n">
        <v>420</v>
      </c>
      <c r="B437" s="45" t="n">
        <f aca="true">IF(RAND()&lt;$D$8,1,0)</f>
        <v>1</v>
      </c>
      <c r="C437" s="34" t="n">
        <f aca="true">-LN(RAND())/$D$2</f>
        <v>0.59527170274304</v>
      </c>
      <c r="D437" s="46" t="n">
        <f aca="false">D436+C437</f>
        <v>655.89437890228</v>
      </c>
      <c r="E437" s="47" t="e">
        <f aca="false">MAX($D$3,(1+P436-VLOOKUP(VALUE(D437),$J$18:$Q436,7,TRUE()))*$D$3)</f>
        <v>#N/A</v>
      </c>
      <c r="F437" s="47" t="e">
        <f aca="false">MAX($D$4,(1+Q436-VLOOKUP(VALUE(D437),$M$18:$Q436,5,TRUE()))*$D$4)</f>
        <v>#N/A</v>
      </c>
      <c r="G437" s="48" t="n">
        <v>0.5</v>
      </c>
      <c r="H437" s="46" t="e">
        <f aca="true">IF((B437=1),(IF((F437&lt;E437),1,(IF((F437=E437),(IF(RAND()&lt;G437,1,0)),0)))),(IF((RAND()&lt;G437),1,0)))</f>
        <v>#N/A</v>
      </c>
      <c r="I437" s="46" t="e">
        <f aca="true">IF((H437=1),0,$D$3+$D$5*(RAND()-0.5))</f>
        <v>#N/A</v>
      </c>
      <c r="J437" s="46" t="e">
        <f aca="false">I437+MAX(D437,J436)</f>
        <v>#N/A</v>
      </c>
      <c r="K437" s="46" t="e">
        <f aca="false">IF((H437=0),J437-D437,0)</f>
        <v>#N/A</v>
      </c>
      <c r="L437" s="46" t="e">
        <f aca="true">IF(($H437=0),0,$D$4+$D$5*(RAND()-0.5))</f>
        <v>#N/A</v>
      </c>
      <c r="M437" s="46" t="e">
        <f aca="false">L437+MAX(D437,M436)</f>
        <v>#N/A</v>
      </c>
      <c r="N437" s="46" t="e">
        <f aca="false">IF((H437=1),M437-D437,0)</f>
        <v>#N/A</v>
      </c>
      <c r="O437" s="29" t="n">
        <v>420</v>
      </c>
      <c r="P437" s="49" t="e">
        <f aca="false">IF((Arterial=0),P436+1,P436)</f>
        <v>#N/A</v>
      </c>
      <c r="Q437" s="49" t="e">
        <f aca="false">IF((Arterial=1),Q436+1,Q436)</f>
        <v>#N/A</v>
      </c>
      <c r="R437" s="50" t="n">
        <f aca="false">IF((RESET=1),0,R437+K437)</f>
        <v>0</v>
      </c>
      <c r="S437" s="19" t="n">
        <f aca="false">IF(RESET=1,0,S437+N437)</f>
        <v>0</v>
      </c>
      <c r="T437" s="0" t="n">
        <f aca="false">IF(RESET=1,0,T437+IF(H437=0,1,0))</f>
        <v>0</v>
      </c>
      <c r="U437" s="0" t="n">
        <f aca="false">IF(RESET=1,0,U437+H437)</f>
        <v>0</v>
      </c>
      <c r="V437" s="19" t="n">
        <f aca="false">R437/(T437+0.00001)</f>
        <v>0</v>
      </c>
      <c r="W437" s="19" t="n">
        <f aca="false">S437/(U437+0.0001)</f>
        <v>0</v>
      </c>
      <c r="X437" s="47" t="e">
        <f aca="false">IF(Informed=1,K437,0)</f>
        <v>#N/A</v>
      </c>
      <c r="Y437" s="47" t="n">
        <f aca="false">IF(Informed=0,K437,0)</f>
        <v>0</v>
      </c>
      <c r="Z437" s="47" t="e">
        <f aca="false">IF(Informed=1,N437,0)</f>
        <v>#N/A</v>
      </c>
      <c r="AA437" s="47" t="n">
        <f aca="false">IF(Informed=0,N437,0)</f>
        <v>0</v>
      </c>
      <c r="AB437" s="51" t="e">
        <f aca="false">IF(Arterial=0,IF(Informed=1,1,0),0)</f>
        <v>#N/A</v>
      </c>
      <c r="AC437" s="51" t="e">
        <f aca="false">IF(Arterial=0,IF(Informed=0,1,0),0)</f>
        <v>#N/A</v>
      </c>
      <c r="AD437" s="51" t="e">
        <f aca="false">IF(Arterial=1,IF(Informed=1,1,0),0)</f>
        <v>#N/A</v>
      </c>
      <c r="AE437" s="51" t="e">
        <f aca="false">IF(Arterial=1,IF(Informed=0,1,0),0)</f>
        <v>#N/A</v>
      </c>
      <c r="AF437" s="44" t="e">
        <f aca="false">IF(AB437=1,(X437-G$1030)^2,0)</f>
        <v>#N/A</v>
      </c>
      <c r="AG437" s="44" t="e">
        <f aca="false">IF(AC437=1,(Y437-H$1030)^2,0)</f>
        <v>#N/A</v>
      </c>
      <c r="AH437" s="44" t="e">
        <f aca="false">IF(AD437=1,(Z437-I$1030)^2,0)</f>
        <v>#N/A</v>
      </c>
      <c r="AI437" s="44" t="e">
        <f aca="false">IF(AE437=1,(AA437-J$1030)^2,0)</f>
        <v>#N/A</v>
      </c>
    </row>
    <row r="438" customFormat="false" ht="12" hidden="false" customHeight="false" outlineLevel="0" collapsed="false">
      <c r="A438" s="29" t="n">
        <v>421</v>
      </c>
      <c r="B438" s="45" t="n">
        <f aca="true">IF(RAND()&lt;$D$8,1,0)</f>
        <v>1</v>
      </c>
      <c r="C438" s="34" t="n">
        <f aca="true">-LN(RAND())/$D$2</f>
        <v>0.645381022582438</v>
      </c>
      <c r="D438" s="46" t="n">
        <f aca="false">D437+C438</f>
        <v>656.539759924862</v>
      </c>
      <c r="E438" s="47" t="e">
        <f aca="false">MAX($D$3,(1+P437-VLOOKUP(VALUE(D438),$J$18:$Q437,7,TRUE()))*$D$3)</f>
        <v>#N/A</v>
      </c>
      <c r="F438" s="47" t="e">
        <f aca="false">MAX($D$4,(1+Q437-VLOOKUP(VALUE(D438),$M$18:$Q437,5,TRUE()))*$D$4)</f>
        <v>#N/A</v>
      </c>
      <c r="G438" s="48" t="n">
        <v>0.5</v>
      </c>
      <c r="H438" s="46" t="e">
        <f aca="true">IF((B438=1),(IF((F438&lt;E438),1,(IF((F438=E438),(IF(RAND()&lt;G438,1,0)),0)))),(IF((RAND()&lt;G438),1,0)))</f>
        <v>#N/A</v>
      </c>
      <c r="I438" s="46" t="e">
        <f aca="true">IF((H438=1),0,$D$3+$D$5*(RAND()-0.5))</f>
        <v>#N/A</v>
      </c>
      <c r="J438" s="46" t="e">
        <f aca="false">I438+MAX(D438,J437)</f>
        <v>#N/A</v>
      </c>
      <c r="K438" s="46" t="e">
        <f aca="false">IF((H438=0),J438-D438,0)</f>
        <v>#N/A</v>
      </c>
      <c r="L438" s="46" t="e">
        <f aca="true">IF(($H438=0),0,$D$4+$D$5*(RAND()-0.5))</f>
        <v>#N/A</v>
      </c>
      <c r="M438" s="46" t="e">
        <f aca="false">L438+MAX(D438,M437)</f>
        <v>#N/A</v>
      </c>
      <c r="N438" s="46" t="e">
        <f aca="false">IF((H438=1),M438-D438,0)</f>
        <v>#N/A</v>
      </c>
      <c r="O438" s="29" t="n">
        <v>421</v>
      </c>
      <c r="P438" s="49" t="e">
        <f aca="false">IF((Arterial=0),P437+1,P437)</f>
        <v>#N/A</v>
      </c>
      <c r="Q438" s="49" t="e">
        <f aca="false">IF((Arterial=1),Q437+1,Q437)</f>
        <v>#N/A</v>
      </c>
      <c r="R438" s="50" t="n">
        <f aca="false">IF((RESET=1),0,R438+K438)</f>
        <v>0</v>
      </c>
      <c r="S438" s="19" t="n">
        <f aca="false">IF(RESET=1,0,S438+N438)</f>
        <v>0</v>
      </c>
      <c r="T438" s="0" t="n">
        <f aca="false">IF(RESET=1,0,T438+IF(H438=0,1,0))</f>
        <v>0</v>
      </c>
      <c r="U438" s="0" t="n">
        <f aca="false">IF(RESET=1,0,U438+H438)</f>
        <v>0</v>
      </c>
      <c r="V438" s="19" t="n">
        <f aca="false">R438/(T438+0.00001)</f>
        <v>0</v>
      </c>
      <c r="W438" s="19" t="n">
        <f aca="false">S438/(U438+0.0001)</f>
        <v>0</v>
      </c>
      <c r="X438" s="47" t="e">
        <f aca="false">IF(Informed=1,K438,0)</f>
        <v>#N/A</v>
      </c>
      <c r="Y438" s="47" t="n">
        <f aca="false">IF(Informed=0,K438,0)</f>
        <v>0</v>
      </c>
      <c r="Z438" s="47" t="e">
        <f aca="false">IF(Informed=1,N438,0)</f>
        <v>#N/A</v>
      </c>
      <c r="AA438" s="47" t="n">
        <f aca="false">IF(Informed=0,N438,0)</f>
        <v>0</v>
      </c>
      <c r="AB438" s="51" t="e">
        <f aca="false">IF(Arterial=0,IF(Informed=1,1,0),0)</f>
        <v>#N/A</v>
      </c>
      <c r="AC438" s="51" t="e">
        <f aca="false">IF(Arterial=0,IF(Informed=0,1,0),0)</f>
        <v>#N/A</v>
      </c>
      <c r="AD438" s="51" t="e">
        <f aca="false">IF(Arterial=1,IF(Informed=1,1,0),0)</f>
        <v>#N/A</v>
      </c>
      <c r="AE438" s="51" t="e">
        <f aca="false">IF(Arterial=1,IF(Informed=0,1,0),0)</f>
        <v>#N/A</v>
      </c>
      <c r="AF438" s="44" t="e">
        <f aca="false">IF(AB438=1,(X438-G$1030)^2,0)</f>
        <v>#N/A</v>
      </c>
      <c r="AG438" s="44" t="e">
        <f aca="false">IF(AC438=1,(Y438-H$1030)^2,0)</f>
        <v>#N/A</v>
      </c>
      <c r="AH438" s="44" t="e">
        <f aca="false">IF(AD438=1,(Z438-I$1030)^2,0)</f>
        <v>#N/A</v>
      </c>
      <c r="AI438" s="44" t="e">
        <f aca="false">IF(AE438=1,(AA438-J$1030)^2,0)</f>
        <v>#N/A</v>
      </c>
    </row>
    <row r="439" customFormat="false" ht="12" hidden="false" customHeight="false" outlineLevel="0" collapsed="false">
      <c r="A439" s="29" t="n">
        <v>422</v>
      </c>
      <c r="B439" s="45" t="n">
        <f aca="true">IF(RAND()&lt;$D$8,1,0)</f>
        <v>1</v>
      </c>
      <c r="C439" s="34" t="n">
        <f aca="true">-LN(RAND())/$D$2</f>
        <v>0.146701180532949</v>
      </c>
      <c r="D439" s="46" t="n">
        <f aca="false">D438+C439</f>
        <v>656.686461105395</v>
      </c>
      <c r="E439" s="47" t="e">
        <f aca="false">MAX($D$3,(1+P438-VLOOKUP(VALUE(D439),$J$18:$Q438,7,TRUE()))*$D$3)</f>
        <v>#N/A</v>
      </c>
      <c r="F439" s="47" t="e">
        <f aca="false">MAX($D$4,(1+Q438-VLOOKUP(VALUE(D439),$M$18:$Q438,5,TRUE()))*$D$4)</f>
        <v>#N/A</v>
      </c>
      <c r="G439" s="48" t="n">
        <v>0.5</v>
      </c>
      <c r="H439" s="46" t="e">
        <f aca="true">IF((B439=1),(IF((F439&lt;E439),1,(IF((F439=E439),(IF(RAND()&lt;G439,1,0)),0)))),(IF((RAND()&lt;G439),1,0)))</f>
        <v>#N/A</v>
      </c>
      <c r="I439" s="46" t="e">
        <f aca="true">IF((H439=1),0,$D$3+$D$5*(RAND()-0.5))</f>
        <v>#N/A</v>
      </c>
      <c r="J439" s="46" t="e">
        <f aca="false">I439+MAX(D439,J438)</f>
        <v>#N/A</v>
      </c>
      <c r="K439" s="46" t="e">
        <f aca="false">IF((H439=0),J439-D439,0)</f>
        <v>#N/A</v>
      </c>
      <c r="L439" s="46" t="e">
        <f aca="true">IF(($H439=0),0,$D$4+$D$5*(RAND()-0.5))</f>
        <v>#N/A</v>
      </c>
      <c r="M439" s="46" t="e">
        <f aca="false">L439+MAX(D439,M438)</f>
        <v>#N/A</v>
      </c>
      <c r="N439" s="46" t="e">
        <f aca="false">IF((H439=1),M439-D439,0)</f>
        <v>#N/A</v>
      </c>
      <c r="O439" s="29" t="n">
        <v>422</v>
      </c>
      <c r="P439" s="49" t="e">
        <f aca="false">IF((Arterial=0),P438+1,P438)</f>
        <v>#N/A</v>
      </c>
      <c r="Q439" s="49" t="e">
        <f aca="false">IF((Arterial=1),Q438+1,Q438)</f>
        <v>#N/A</v>
      </c>
      <c r="R439" s="50" t="n">
        <f aca="false">IF((RESET=1),0,R439+K439)</f>
        <v>0</v>
      </c>
      <c r="S439" s="19" t="n">
        <f aca="false">IF(RESET=1,0,S439+N439)</f>
        <v>0</v>
      </c>
      <c r="T439" s="0" t="n">
        <f aca="false">IF(RESET=1,0,T439+IF(H439=0,1,0))</f>
        <v>0</v>
      </c>
      <c r="U439" s="0" t="n">
        <f aca="false">IF(RESET=1,0,U439+H439)</f>
        <v>0</v>
      </c>
      <c r="V439" s="19" t="n">
        <f aca="false">R439/(T439+0.00001)</f>
        <v>0</v>
      </c>
      <c r="W439" s="19" t="n">
        <f aca="false">S439/(U439+0.0001)</f>
        <v>0</v>
      </c>
      <c r="X439" s="47" t="e">
        <f aca="false">IF(Informed=1,K439,0)</f>
        <v>#N/A</v>
      </c>
      <c r="Y439" s="47" t="n">
        <f aca="false">IF(Informed=0,K439,0)</f>
        <v>0</v>
      </c>
      <c r="Z439" s="47" t="e">
        <f aca="false">IF(Informed=1,N439,0)</f>
        <v>#N/A</v>
      </c>
      <c r="AA439" s="47" t="n">
        <f aca="false">IF(Informed=0,N439,0)</f>
        <v>0</v>
      </c>
      <c r="AB439" s="51" t="e">
        <f aca="false">IF(Arterial=0,IF(Informed=1,1,0),0)</f>
        <v>#N/A</v>
      </c>
      <c r="AC439" s="51" t="e">
        <f aca="false">IF(Arterial=0,IF(Informed=0,1,0),0)</f>
        <v>#N/A</v>
      </c>
      <c r="AD439" s="51" t="e">
        <f aca="false">IF(Arterial=1,IF(Informed=1,1,0),0)</f>
        <v>#N/A</v>
      </c>
      <c r="AE439" s="51" t="e">
        <f aca="false">IF(Arterial=1,IF(Informed=0,1,0),0)</f>
        <v>#N/A</v>
      </c>
      <c r="AF439" s="44" t="e">
        <f aca="false">IF(AB439=1,(X439-G$1030)^2,0)</f>
        <v>#N/A</v>
      </c>
      <c r="AG439" s="44" t="e">
        <f aca="false">IF(AC439=1,(Y439-H$1030)^2,0)</f>
        <v>#N/A</v>
      </c>
      <c r="AH439" s="44" t="e">
        <f aca="false">IF(AD439=1,(Z439-I$1030)^2,0)</f>
        <v>#N/A</v>
      </c>
      <c r="AI439" s="44" t="e">
        <f aca="false">IF(AE439=1,(AA439-J$1030)^2,0)</f>
        <v>#N/A</v>
      </c>
    </row>
    <row r="440" customFormat="false" ht="12" hidden="false" customHeight="false" outlineLevel="0" collapsed="false">
      <c r="A440" s="29" t="n">
        <v>423</v>
      </c>
      <c r="B440" s="45" t="n">
        <f aca="true">IF(RAND()&lt;$D$8,1,0)</f>
        <v>1</v>
      </c>
      <c r="C440" s="34" t="n">
        <f aca="true">-LN(RAND())/$D$2</f>
        <v>1.25457974887552</v>
      </c>
      <c r="D440" s="46" t="n">
        <f aca="false">D439+C440</f>
        <v>657.941040854271</v>
      </c>
      <c r="E440" s="47" t="e">
        <f aca="false">MAX($D$3,(1+P439-VLOOKUP(VALUE(D440),$J$18:$Q439,7,TRUE()))*$D$3)</f>
        <v>#N/A</v>
      </c>
      <c r="F440" s="47" t="e">
        <f aca="false">MAX($D$4,(1+Q439-VLOOKUP(VALUE(D440),$M$18:$Q439,5,TRUE()))*$D$4)</f>
        <v>#N/A</v>
      </c>
      <c r="G440" s="48" t="n">
        <v>0.5</v>
      </c>
      <c r="H440" s="46" t="e">
        <f aca="true">IF((B440=1),(IF((F440&lt;E440),1,(IF((F440=E440),(IF(RAND()&lt;G440,1,0)),0)))),(IF((RAND()&lt;G440),1,0)))</f>
        <v>#N/A</v>
      </c>
      <c r="I440" s="46" t="e">
        <f aca="true">IF((H440=1),0,$D$3+$D$5*(RAND()-0.5))</f>
        <v>#N/A</v>
      </c>
      <c r="J440" s="46" t="e">
        <f aca="false">I440+MAX(D440,J439)</f>
        <v>#N/A</v>
      </c>
      <c r="K440" s="46" t="e">
        <f aca="false">IF((H440=0),J440-D440,0)</f>
        <v>#N/A</v>
      </c>
      <c r="L440" s="46" t="e">
        <f aca="true">IF(($H440=0),0,$D$4+$D$5*(RAND()-0.5))</f>
        <v>#N/A</v>
      </c>
      <c r="M440" s="46" t="e">
        <f aca="false">L440+MAX(D440,M439)</f>
        <v>#N/A</v>
      </c>
      <c r="N440" s="46" t="e">
        <f aca="false">IF((H440=1),M440-D440,0)</f>
        <v>#N/A</v>
      </c>
      <c r="O440" s="29" t="n">
        <v>423</v>
      </c>
      <c r="P440" s="49" t="e">
        <f aca="false">IF((Arterial=0),P439+1,P439)</f>
        <v>#N/A</v>
      </c>
      <c r="Q440" s="49" t="e">
        <f aca="false">IF((Arterial=1),Q439+1,Q439)</f>
        <v>#N/A</v>
      </c>
      <c r="R440" s="50" t="n">
        <f aca="false">IF((RESET=1),0,R440+K440)</f>
        <v>0</v>
      </c>
      <c r="S440" s="19" t="n">
        <f aca="false">IF(RESET=1,0,S440+N440)</f>
        <v>0</v>
      </c>
      <c r="T440" s="0" t="n">
        <f aca="false">IF(RESET=1,0,T440+IF(H440=0,1,0))</f>
        <v>0</v>
      </c>
      <c r="U440" s="0" t="n">
        <f aca="false">IF(RESET=1,0,U440+H440)</f>
        <v>0</v>
      </c>
      <c r="V440" s="19" t="n">
        <f aca="false">R440/(T440+0.00001)</f>
        <v>0</v>
      </c>
      <c r="W440" s="19" t="n">
        <f aca="false">S440/(U440+0.0001)</f>
        <v>0</v>
      </c>
      <c r="X440" s="47" t="e">
        <f aca="false">IF(Informed=1,K440,0)</f>
        <v>#N/A</v>
      </c>
      <c r="Y440" s="47" t="n">
        <f aca="false">IF(Informed=0,K440,0)</f>
        <v>0</v>
      </c>
      <c r="Z440" s="47" t="e">
        <f aca="false">IF(Informed=1,N440,0)</f>
        <v>#N/A</v>
      </c>
      <c r="AA440" s="47" t="n">
        <f aca="false">IF(Informed=0,N440,0)</f>
        <v>0</v>
      </c>
      <c r="AB440" s="51" t="e">
        <f aca="false">IF(Arterial=0,IF(Informed=1,1,0),0)</f>
        <v>#N/A</v>
      </c>
      <c r="AC440" s="51" t="e">
        <f aca="false">IF(Arterial=0,IF(Informed=0,1,0),0)</f>
        <v>#N/A</v>
      </c>
      <c r="AD440" s="51" t="e">
        <f aca="false">IF(Arterial=1,IF(Informed=1,1,0),0)</f>
        <v>#N/A</v>
      </c>
      <c r="AE440" s="51" t="e">
        <f aca="false">IF(Arterial=1,IF(Informed=0,1,0),0)</f>
        <v>#N/A</v>
      </c>
      <c r="AF440" s="44" t="e">
        <f aca="false">IF(AB440=1,(X440-G$1030)^2,0)</f>
        <v>#N/A</v>
      </c>
      <c r="AG440" s="44" t="e">
        <f aca="false">IF(AC440=1,(Y440-H$1030)^2,0)</f>
        <v>#N/A</v>
      </c>
      <c r="AH440" s="44" t="e">
        <f aca="false">IF(AD440=1,(Z440-I$1030)^2,0)</f>
        <v>#N/A</v>
      </c>
      <c r="AI440" s="44" t="e">
        <f aca="false">IF(AE440=1,(AA440-J$1030)^2,0)</f>
        <v>#N/A</v>
      </c>
    </row>
    <row r="441" customFormat="false" ht="12" hidden="false" customHeight="false" outlineLevel="0" collapsed="false">
      <c r="A441" s="29" t="n">
        <v>424</v>
      </c>
      <c r="B441" s="45" t="n">
        <f aca="true">IF(RAND()&lt;$D$8,1,0)</f>
        <v>1</v>
      </c>
      <c r="C441" s="34" t="n">
        <f aca="true">-LN(RAND())/$D$2</f>
        <v>0.204000569192156</v>
      </c>
      <c r="D441" s="46" t="n">
        <f aca="false">D440+C441</f>
        <v>658.145041423463</v>
      </c>
      <c r="E441" s="47" t="e">
        <f aca="false">MAX($D$3,(1+P440-VLOOKUP(VALUE(D441),$J$18:$Q440,7,TRUE()))*$D$3)</f>
        <v>#N/A</v>
      </c>
      <c r="F441" s="47" t="e">
        <f aca="false">MAX($D$4,(1+Q440-VLOOKUP(VALUE(D441),$M$18:$Q440,5,TRUE()))*$D$4)</f>
        <v>#N/A</v>
      </c>
      <c r="G441" s="48" t="n">
        <v>0.5</v>
      </c>
      <c r="H441" s="46" t="e">
        <f aca="true">IF((B441=1),(IF((F441&lt;E441),1,(IF((F441=E441),(IF(RAND()&lt;G441,1,0)),0)))),(IF((RAND()&lt;G441),1,0)))</f>
        <v>#N/A</v>
      </c>
      <c r="I441" s="46" t="e">
        <f aca="true">IF((H441=1),0,$D$3+$D$5*(RAND()-0.5))</f>
        <v>#N/A</v>
      </c>
      <c r="J441" s="46" t="e">
        <f aca="false">I441+MAX(D441,J440)</f>
        <v>#N/A</v>
      </c>
      <c r="K441" s="46" t="e">
        <f aca="false">IF((H441=0),J441-D441,0)</f>
        <v>#N/A</v>
      </c>
      <c r="L441" s="46" t="e">
        <f aca="true">IF(($H441=0),0,$D$4+$D$5*(RAND()-0.5))</f>
        <v>#N/A</v>
      </c>
      <c r="M441" s="46" t="e">
        <f aca="false">L441+MAX(D441,M440)</f>
        <v>#N/A</v>
      </c>
      <c r="N441" s="46" t="e">
        <f aca="false">IF((H441=1),M441-D441,0)</f>
        <v>#N/A</v>
      </c>
      <c r="O441" s="29" t="n">
        <v>424</v>
      </c>
      <c r="P441" s="49" t="e">
        <f aca="false">IF((Arterial=0),P440+1,P440)</f>
        <v>#N/A</v>
      </c>
      <c r="Q441" s="49" t="e">
        <f aca="false">IF((Arterial=1),Q440+1,Q440)</f>
        <v>#N/A</v>
      </c>
      <c r="R441" s="50" t="n">
        <f aca="false">IF((RESET=1),0,R441+K441)</f>
        <v>0</v>
      </c>
      <c r="S441" s="19" t="n">
        <f aca="false">IF(RESET=1,0,S441+N441)</f>
        <v>0</v>
      </c>
      <c r="T441" s="0" t="n">
        <f aca="false">IF(RESET=1,0,T441+IF(H441=0,1,0))</f>
        <v>0</v>
      </c>
      <c r="U441" s="0" t="n">
        <f aca="false">IF(RESET=1,0,U441+H441)</f>
        <v>0</v>
      </c>
      <c r="V441" s="19" t="n">
        <f aca="false">R441/(T441+0.00001)</f>
        <v>0</v>
      </c>
      <c r="W441" s="19" t="n">
        <f aca="false">S441/(U441+0.0001)</f>
        <v>0</v>
      </c>
      <c r="X441" s="47" t="e">
        <f aca="false">IF(Informed=1,K441,0)</f>
        <v>#N/A</v>
      </c>
      <c r="Y441" s="47" t="n">
        <f aca="false">IF(Informed=0,K441,0)</f>
        <v>0</v>
      </c>
      <c r="Z441" s="47" t="e">
        <f aca="false">IF(Informed=1,N441,0)</f>
        <v>#N/A</v>
      </c>
      <c r="AA441" s="47" t="n">
        <f aca="false">IF(Informed=0,N441,0)</f>
        <v>0</v>
      </c>
      <c r="AB441" s="51" t="e">
        <f aca="false">IF(Arterial=0,IF(Informed=1,1,0),0)</f>
        <v>#N/A</v>
      </c>
      <c r="AC441" s="51" t="e">
        <f aca="false">IF(Arterial=0,IF(Informed=0,1,0),0)</f>
        <v>#N/A</v>
      </c>
      <c r="AD441" s="51" t="e">
        <f aca="false">IF(Arterial=1,IF(Informed=1,1,0),0)</f>
        <v>#N/A</v>
      </c>
      <c r="AE441" s="51" t="e">
        <f aca="false">IF(Arterial=1,IF(Informed=0,1,0),0)</f>
        <v>#N/A</v>
      </c>
      <c r="AF441" s="44" t="e">
        <f aca="false">IF(AB441=1,(X441-G$1030)^2,0)</f>
        <v>#N/A</v>
      </c>
      <c r="AG441" s="44" t="e">
        <f aca="false">IF(AC441=1,(Y441-H$1030)^2,0)</f>
        <v>#N/A</v>
      </c>
      <c r="AH441" s="44" t="e">
        <f aca="false">IF(AD441=1,(Z441-I$1030)^2,0)</f>
        <v>#N/A</v>
      </c>
      <c r="AI441" s="44" t="e">
        <f aca="false">IF(AE441=1,(AA441-J$1030)^2,0)</f>
        <v>#N/A</v>
      </c>
    </row>
    <row r="442" customFormat="false" ht="12" hidden="false" customHeight="false" outlineLevel="0" collapsed="false">
      <c r="A442" s="29" t="n">
        <v>425</v>
      </c>
      <c r="B442" s="45" t="n">
        <f aca="true">IF(RAND()&lt;$D$8,1,0)</f>
        <v>1</v>
      </c>
      <c r="C442" s="34" t="n">
        <f aca="true">-LN(RAND())/$D$2</f>
        <v>0.861764560828603</v>
      </c>
      <c r="D442" s="46" t="n">
        <f aca="false">D441+C442</f>
        <v>659.006805984292</v>
      </c>
      <c r="E442" s="47" t="e">
        <f aca="false">MAX($D$3,(1+P441-VLOOKUP(VALUE(D442),$J$18:$Q441,7,TRUE()))*$D$3)</f>
        <v>#N/A</v>
      </c>
      <c r="F442" s="47" t="e">
        <f aca="false">MAX($D$4,(1+Q441-VLOOKUP(VALUE(D442),$M$18:$Q441,5,TRUE()))*$D$4)</f>
        <v>#N/A</v>
      </c>
      <c r="G442" s="48" t="n">
        <v>0.5</v>
      </c>
      <c r="H442" s="46" t="e">
        <f aca="true">IF((B442=1),(IF((F442&lt;E442),1,(IF((F442=E442),(IF(RAND()&lt;G442,1,0)),0)))),(IF((RAND()&lt;G442),1,0)))</f>
        <v>#N/A</v>
      </c>
      <c r="I442" s="46" t="e">
        <f aca="true">IF((H442=1),0,$D$3+$D$5*(RAND()-0.5))</f>
        <v>#N/A</v>
      </c>
      <c r="J442" s="46" t="e">
        <f aca="false">I442+MAX(D442,J441)</f>
        <v>#N/A</v>
      </c>
      <c r="K442" s="46" t="e">
        <f aca="false">IF((H442=0),J442-D442,0)</f>
        <v>#N/A</v>
      </c>
      <c r="L442" s="46" t="e">
        <f aca="true">IF(($H442=0),0,$D$4+$D$5*(RAND()-0.5))</f>
        <v>#N/A</v>
      </c>
      <c r="M442" s="46" t="e">
        <f aca="false">L442+MAX(D442,M441)</f>
        <v>#N/A</v>
      </c>
      <c r="N442" s="46" t="e">
        <f aca="false">IF((H442=1),M442-D442,0)</f>
        <v>#N/A</v>
      </c>
      <c r="O442" s="29" t="n">
        <v>425</v>
      </c>
      <c r="P442" s="49" t="e">
        <f aca="false">IF((Arterial=0),P441+1,P441)</f>
        <v>#N/A</v>
      </c>
      <c r="Q442" s="49" t="e">
        <f aca="false">IF((Arterial=1),Q441+1,Q441)</f>
        <v>#N/A</v>
      </c>
      <c r="R442" s="50" t="n">
        <f aca="false">IF((RESET=1),0,R442+K442)</f>
        <v>0</v>
      </c>
      <c r="S442" s="19" t="n">
        <f aca="false">IF(RESET=1,0,S442+N442)</f>
        <v>0</v>
      </c>
      <c r="T442" s="0" t="n">
        <f aca="false">IF(RESET=1,0,T442+IF(H442=0,1,0))</f>
        <v>0</v>
      </c>
      <c r="U442" s="0" t="n">
        <f aca="false">IF(RESET=1,0,U442+H442)</f>
        <v>0</v>
      </c>
      <c r="V442" s="19" t="n">
        <f aca="false">R442/(T442+0.00001)</f>
        <v>0</v>
      </c>
      <c r="W442" s="19" t="n">
        <f aca="false">S442/(U442+0.0001)</f>
        <v>0</v>
      </c>
      <c r="X442" s="47" t="e">
        <f aca="false">IF(Informed=1,K442,0)</f>
        <v>#N/A</v>
      </c>
      <c r="Y442" s="47" t="n">
        <f aca="false">IF(Informed=0,K442,0)</f>
        <v>0</v>
      </c>
      <c r="Z442" s="47" t="e">
        <f aca="false">IF(Informed=1,N442,0)</f>
        <v>#N/A</v>
      </c>
      <c r="AA442" s="47" t="n">
        <f aca="false">IF(Informed=0,N442,0)</f>
        <v>0</v>
      </c>
      <c r="AB442" s="51" t="e">
        <f aca="false">IF(Arterial=0,IF(Informed=1,1,0),0)</f>
        <v>#N/A</v>
      </c>
      <c r="AC442" s="51" t="e">
        <f aca="false">IF(Arterial=0,IF(Informed=0,1,0),0)</f>
        <v>#N/A</v>
      </c>
      <c r="AD442" s="51" t="e">
        <f aca="false">IF(Arterial=1,IF(Informed=1,1,0),0)</f>
        <v>#N/A</v>
      </c>
      <c r="AE442" s="51" t="e">
        <f aca="false">IF(Arterial=1,IF(Informed=0,1,0),0)</f>
        <v>#N/A</v>
      </c>
      <c r="AF442" s="44" t="e">
        <f aca="false">IF(AB442=1,(X442-G$1030)^2,0)</f>
        <v>#N/A</v>
      </c>
      <c r="AG442" s="44" t="e">
        <f aca="false">IF(AC442=1,(Y442-H$1030)^2,0)</f>
        <v>#N/A</v>
      </c>
      <c r="AH442" s="44" t="e">
        <f aca="false">IF(AD442=1,(Z442-I$1030)^2,0)</f>
        <v>#N/A</v>
      </c>
      <c r="AI442" s="44" t="e">
        <f aca="false">IF(AE442=1,(AA442-J$1030)^2,0)</f>
        <v>#N/A</v>
      </c>
    </row>
    <row r="443" customFormat="false" ht="12" hidden="false" customHeight="false" outlineLevel="0" collapsed="false">
      <c r="A443" s="29" t="n">
        <v>426</v>
      </c>
      <c r="B443" s="45" t="n">
        <f aca="true">IF(RAND()&lt;$D$8,1,0)</f>
        <v>1</v>
      </c>
      <c r="C443" s="34" t="n">
        <f aca="true">-LN(RAND())/$D$2</f>
        <v>2.61696655527826</v>
      </c>
      <c r="D443" s="46" t="n">
        <f aca="false">D442+C443</f>
        <v>661.62377253957</v>
      </c>
      <c r="E443" s="47" t="e">
        <f aca="false">MAX($D$3,(1+P442-VLOOKUP(VALUE(D443),$J$18:$Q442,7,TRUE()))*$D$3)</f>
        <v>#N/A</v>
      </c>
      <c r="F443" s="47" t="e">
        <f aca="false">MAX($D$4,(1+Q442-VLOOKUP(VALUE(D443),$M$18:$Q442,5,TRUE()))*$D$4)</f>
        <v>#N/A</v>
      </c>
      <c r="G443" s="48" t="n">
        <v>0.5</v>
      </c>
      <c r="H443" s="46" t="e">
        <f aca="true">IF((B443=1),(IF((F443&lt;E443),1,(IF((F443=E443),(IF(RAND()&lt;G443,1,0)),0)))),(IF((RAND()&lt;G443),1,0)))</f>
        <v>#N/A</v>
      </c>
      <c r="I443" s="46" t="e">
        <f aca="true">IF((H443=1),0,$D$3+$D$5*(RAND()-0.5))</f>
        <v>#N/A</v>
      </c>
      <c r="J443" s="46" t="e">
        <f aca="false">I443+MAX(D443,J442)</f>
        <v>#N/A</v>
      </c>
      <c r="K443" s="46" t="e">
        <f aca="false">IF((H443=0),J443-D443,0)</f>
        <v>#N/A</v>
      </c>
      <c r="L443" s="46" t="e">
        <f aca="true">IF(($H443=0),0,$D$4+$D$5*(RAND()-0.5))</f>
        <v>#N/A</v>
      </c>
      <c r="M443" s="46" t="e">
        <f aca="false">L443+MAX(D443,M442)</f>
        <v>#N/A</v>
      </c>
      <c r="N443" s="46" t="e">
        <f aca="false">IF((H443=1),M443-D443,0)</f>
        <v>#N/A</v>
      </c>
      <c r="O443" s="29" t="n">
        <v>426</v>
      </c>
      <c r="P443" s="49" t="e">
        <f aca="false">IF((Arterial=0),P442+1,P442)</f>
        <v>#N/A</v>
      </c>
      <c r="Q443" s="49" t="e">
        <f aca="false">IF((Arterial=1),Q442+1,Q442)</f>
        <v>#N/A</v>
      </c>
      <c r="R443" s="50" t="n">
        <f aca="false">IF((RESET=1),0,R443+K443)</f>
        <v>0</v>
      </c>
      <c r="S443" s="19" t="n">
        <f aca="false">IF(RESET=1,0,S443+N443)</f>
        <v>0</v>
      </c>
      <c r="T443" s="0" t="n">
        <f aca="false">IF(RESET=1,0,T443+IF(H443=0,1,0))</f>
        <v>0</v>
      </c>
      <c r="U443" s="0" t="n">
        <f aca="false">IF(RESET=1,0,U443+H443)</f>
        <v>0</v>
      </c>
      <c r="V443" s="19" t="n">
        <f aca="false">R443/(T443+0.00001)</f>
        <v>0</v>
      </c>
      <c r="W443" s="19" t="n">
        <f aca="false">S443/(U443+0.0001)</f>
        <v>0</v>
      </c>
      <c r="X443" s="47" t="e">
        <f aca="false">IF(Informed=1,K443,0)</f>
        <v>#N/A</v>
      </c>
      <c r="Y443" s="47" t="n">
        <f aca="false">IF(Informed=0,K443,0)</f>
        <v>0</v>
      </c>
      <c r="Z443" s="47" t="e">
        <f aca="false">IF(Informed=1,N443,0)</f>
        <v>#N/A</v>
      </c>
      <c r="AA443" s="47" t="n">
        <f aca="false">IF(Informed=0,N443,0)</f>
        <v>0</v>
      </c>
      <c r="AB443" s="51" t="e">
        <f aca="false">IF(Arterial=0,IF(Informed=1,1,0),0)</f>
        <v>#N/A</v>
      </c>
      <c r="AC443" s="51" t="e">
        <f aca="false">IF(Arterial=0,IF(Informed=0,1,0),0)</f>
        <v>#N/A</v>
      </c>
      <c r="AD443" s="51" t="e">
        <f aca="false">IF(Arterial=1,IF(Informed=1,1,0),0)</f>
        <v>#N/A</v>
      </c>
      <c r="AE443" s="51" t="e">
        <f aca="false">IF(Arterial=1,IF(Informed=0,1,0),0)</f>
        <v>#N/A</v>
      </c>
      <c r="AF443" s="44" t="e">
        <f aca="false">IF(AB443=1,(X443-G$1030)^2,0)</f>
        <v>#N/A</v>
      </c>
      <c r="AG443" s="44" t="e">
        <f aca="false">IF(AC443=1,(Y443-H$1030)^2,0)</f>
        <v>#N/A</v>
      </c>
      <c r="AH443" s="44" t="e">
        <f aca="false">IF(AD443=1,(Z443-I$1030)^2,0)</f>
        <v>#N/A</v>
      </c>
      <c r="AI443" s="44" t="e">
        <f aca="false">IF(AE443=1,(AA443-J$1030)^2,0)</f>
        <v>#N/A</v>
      </c>
    </row>
    <row r="444" customFormat="false" ht="12" hidden="false" customHeight="false" outlineLevel="0" collapsed="false">
      <c r="A444" s="29" t="n">
        <v>427</v>
      </c>
      <c r="B444" s="45" t="n">
        <f aca="true">IF(RAND()&lt;$D$8,1,0)</f>
        <v>1</v>
      </c>
      <c r="C444" s="34" t="n">
        <f aca="true">-LN(RAND())/$D$2</f>
        <v>1.93451921111727</v>
      </c>
      <c r="D444" s="46" t="n">
        <f aca="false">D443+C444</f>
        <v>663.558291750687</v>
      </c>
      <c r="E444" s="47" t="e">
        <f aca="false">MAX($D$3,(1+P443-VLOOKUP(VALUE(D444),$J$18:$Q443,7,TRUE()))*$D$3)</f>
        <v>#N/A</v>
      </c>
      <c r="F444" s="47" t="e">
        <f aca="false">MAX($D$4,(1+Q443-VLOOKUP(VALUE(D444),$M$18:$Q443,5,TRUE()))*$D$4)</f>
        <v>#N/A</v>
      </c>
      <c r="G444" s="48" t="n">
        <v>0.5</v>
      </c>
      <c r="H444" s="46" t="e">
        <f aca="true">IF((B444=1),(IF((F444&lt;E444),1,(IF((F444=E444),(IF(RAND()&lt;G444,1,0)),0)))),(IF((RAND()&lt;G444),1,0)))</f>
        <v>#N/A</v>
      </c>
      <c r="I444" s="46" t="e">
        <f aca="true">IF((H444=1),0,$D$3+$D$5*(RAND()-0.5))</f>
        <v>#N/A</v>
      </c>
      <c r="J444" s="46" t="e">
        <f aca="false">I444+MAX(D444,J443)</f>
        <v>#N/A</v>
      </c>
      <c r="K444" s="46" t="e">
        <f aca="false">IF((H444=0),J444-D444,0)</f>
        <v>#N/A</v>
      </c>
      <c r="L444" s="46" t="e">
        <f aca="true">IF(($H444=0),0,$D$4+$D$5*(RAND()-0.5))</f>
        <v>#N/A</v>
      </c>
      <c r="M444" s="46" t="e">
        <f aca="false">L444+MAX(D444,M443)</f>
        <v>#N/A</v>
      </c>
      <c r="N444" s="46" t="e">
        <f aca="false">IF((H444=1),M444-D444,0)</f>
        <v>#N/A</v>
      </c>
      <c r="O444" s="29" t="n">
        <v>427</v>
      </c>
      <c r="P444" s="49" t="e">
        <f aca="false">IF((Arterial=0),P443+1,P443)</f>
        <v>#N/A</v>
      </c>
      <c r="Q444" s="49" t="e">
        <f aca="false">IF((Arterial=1),Q443+1,Q443)</f>
        <v>#N/A</v>
      </c>
      <c r="R444" s="50" t="n">
        <f aca="false">IF((RESET=1),0,R444+K444)</f>
        <v>0</v>
      </c>
      <c r="S444" s="19" t="n">
        <f aca="false">IF(RESET=1,0,S444+N444)</f>
        <v>0</v>
      </c>
      <c r="T444" s="0" t="n">
        <f aca="false">IF(RESET=1,0,T444+IF(H444=0,1,0))</f>
        <v>0</v>
      </c>
      <c r="U444" s="0" t="n">
        <f aca="false">IF(RESET=1,0,U444+H444)</f>
        <v>0</v>
      </c>
      <c r="V444" s="19" t="n">
        <f aca="false">R444/(T444+0.00001)</f>
        <v>0</v>
      </c>
      <c r="W444" s="19" t="n">
        <f aca="false">S444/(U444+0.0001)</f>
        <v>0</v>
      </c>
      <c r="X444" s="47" t="e">
        <f aca="false">IF(Informed=1,K444,0)</f>
        <v>#N/A</v>
      </c>
      <c r="Y444" s="47" t="n">
        <f aca="false">IF(Informed=0,K444,0)</f>
        <v>0</v>
      </c>
      <c r="Z444" s="47" t="e">
        <f aca="false">IF(Informed=1,N444,0)</f>
        <v>#N/A</v>
      </c>
      <c r="AA444" s="47" t="n">
        <f aca="false">IF(Informed=0,N444,0)</f>
        <v>0</v>
      </c>
      <c r="AB444" s="51" t="e">
        <f aca="false">IF(Arterial=0,IF(Informed=1,1,0),0)</f>
        <v>#N/A</v>
      </c>
      <c r="AC444" s="51" t="e">
        <f aca="false">IF(Arterial=0,IF(Informed=0,1,0),0)</f>
        <v>#N/A</v>
      </c>
      <c r="AD444" s="51" t="e">
        <f aca="false">IF(Arterial=1,IF(Informed=1,1,0),0)</f>
        <v>#N/A</v>
      </c>
      <c r="AE444" s="51" t="e">
        <f aca="false">IF(Arterial=1,IF(Informed=0,1,0),0)</f>
        <v>#N/A</v>
      </c>
      <c r="AF444" s="44" t="e">
        <f aca="false">IF(AB444=1,(X444-G$1030)^2,0)</f>
        <v>#N/A</v>
      </c>
      <c r="AG444" s="44" t="e">
        <f aca="false">IF(AC444=1,(Y444-H$1030)^2,0)</f>
        <v>#N/A</v>
      </c>
      <c r="AH444" s="44" t="e">
        <f aca="false">IF(AD444=1,(Z444-I$1030)^2,0)</f>
        <v>#N/A</v>
      </c>
      <c r="AI444" s="44" t="e">
        <f aca="false">IF(AE444=1,(AA444-J$1030)^2,0)</f>
        <v>#N/A</v>
      </c>
    </row>
    <row r="445" customFormat="false" ht="12" hidden="false" customHeight="false" outlineLevel="0" collapsed="false">
      <c r="A445" s="29" t="n">
        <v>428</v>
      </c>
      <c r="B445" s="45" t="n">
        <f aca="true">IF(RAND()&lt;$D$8,1,0)</f>
        <v>1</v>
      </c>
      <c r="C445" s="34" t="n">
        <f aca="true">-LN(RAND())/$D$2</f>
        <v>0.733230196344751</v>
      </c>
      <c r="D445" s="46" t="n">
        <f aca="false">D444+C445</f>
        <v>664.291521947032</v>
      </c>
      <c r="E445" s="47" t="e">
        <f aca="false">MAX($D$3,(1+P444-VLOOKUP(VALUE(D445),$J$18:$Q444,7,TRUE()))*$D$3)</f>
        <v>#N/A</v>
      </c>
      <c r="F445" s="47" t="e">
        <f aca="false">MAX($D$4,(1+Q444-VLOOKUP(VALUE(D445),$M$18:$Q444,5,TRUE()))*$D$4)</f>
        <v>#N/A</v>
      </c>
      <c r="G445" s="48" t="n">
        <v>0.5</v>
      </c>
      <c r="H445" s="46" t="e">
        <f aca="true">IF((B445=1),(IF((F445&lt;E445),1,(IF((F445=E445),(IF(RAND()&lt;G445,1,0)),0)))),(IF((RAND()&lt;G445),1,0)))</f>
        <v>#N/A</v>
      </c>
      <c r="I445" s="46" t="e">
        <f aca="true">IF((H445=1),0,$D$3+$D$5*(RAND()-0.5))</f>
        <v>#N/A</v>
      </c>
      <c r="J445" s="46" t="e">
        <f aca="false">I445+MAX(D445,J444)</f>
        <v>#N/A</v>
      </c>
      <c r="K445" s="46" t="e">
        <f aca="false">IF((H445=0),J445-D445,0)</f>
        <v>#N/A</v>
      </c>
      <c r="L445" s="46" t="e">
        <f aca="true">IF(($H445=0),0,$D$4+$D$5*(RAND()-0.5))</f>
        <v>#N/A</v>
      </c>
      <c r="M445" s="46" t="e">
        <f aca="false">L445+MAX(D445,M444)</f>
        <v>#N/A</v>
      </c>
      <c r="N445" s="46" t="e">
        <f aca="false">IF((H445=1),M445-D445,0)</f>
        <v>#N/A</v>
      </c>
      <c r="O445" s="29" t="n">
        <v>428</v>
      </c>
      <c r="P445" s="49" t="e">
        <f aca="false">IF((Arterial=0),P444+1,P444)</f>
        <v>#N/A</v>
      </c>
      <c r="Q445" s="49" t="e">
        <f aca="false">IF((Arterial=1),Q444+1,Q444)</f>
        <v>#N/A</v>
      </c>
      <c r="R445" s="50" t="n">
        <f aca="false">IF((RESET=1),0,R445+K445)</f>
        <v>0</v>
      </c>
      <c r="S445" s="19" t="n">
        <f aca="false">IF(RESET=1,0,S445+N445)</f>
        <v>0</v>
      </c>
      <c r="T445" s="0" t="n">
        <f aca="false">IF(RESET=1,0,T445+IF(H445=0,1,0))</f>
        <v>0</v>
      </c>
      <c r="U445" s="0" t="n">
        <f aca="false">IF(RESET=1,0,U445+H445)</f>
        <v>0</v>
      </c>
      <c r="V445" s="19" t="n">
        <f aca="false">R445/(T445+0.00001)</f>
        <v>0</v>
      </c>
      <c r="W445" s="19" t="n">
        <f aca="false">S445/(U445+0.0001)</f>
        <v>0</v>
      </c>
      <c r="X445" s="47" t="e">
        <f aca="false">IF(Informed=1,K445,0)</f>
        <v>#N/A</v>
      </c>
      <c r="Y445" s="47" t="n">
        <f aca="false">IF(Informed=0,K445,0)</f>
        <v>0</v>
      </c>
      <c r="Z445" s="47" t="e">
        <f aca="false">IF(Informed=1,N445,0)</f>
        <v>#N/A</v>
      </c>
      <c r="AA445" s="47" t="n">
        <f aca="false">IF(Informed=0,N445,0)</f>
        <v>0</v>
      </c>
      <c r="AB445" s="51" t="e">
        <f aca="false">IF(Arterial=0,IF(Informed=1,1,0),0)</f>
        <v>#N/A</v>
      </c>
      <c r="AC445" s="51" t="e">
        <f aca="false">IF(Arterial=0,IF(Informed=0,1,0),0)</f>
        <v>#N/A</v>
      </c>
      <c r="AD445" s="51" t="e">
        <f aca="false">IF(Arterial=1,IF(Informed=1,1,0),0)</f>
        <v>#N/A</v>
      </c>
      <c r="AE445" s="51" t="e">
        <f aca="false">IF(Arterial=1,IF(Informed=0,1,0),0)</f>
        <v>#N/A</v>
      </c>
      <c r="AF445" s="44" t="e">
        <f aca="false">IF(AB445=1,(X445-G$1030)^2,0)</f>
        <v>#N/A</v>
      </c>
      <c r="AG445" s="44" t="e">
        <f aca="false">IF(AC445=1,(Y445-H$1030)^2,0)</f>
        <v>#N/A</v>
      </c>
      <c r="AH445" s="44" t="e">
        <f aca="false">IF(AD445=1,(Z445-I$1030)^2,0)</f>
        <v>#N/A</v>
      </c>
      <c r="AI445" s="44" t="e">
        <f aca="false">IF(AE445=1,(AA445-J$1030)^2,0)</f>
        <v>#N/A</v>
      </c>
    </row>
    <row r="446" customFormat="false" ht="12" hidden="false" customHeight="false" outlineLevel="0" collapsed="false">
      <c r="A446" s="29" t="n">
        <v>429</v>
      </c>
      <c r="B446" s="45" t="n">
        <f aca="true">IF(RAND()&lt;$D$8,1,0)</f>
        <v>1</v>
      </c>
      <c r="C446" s="34" t="n">
        <f aca="true">-LN(RAND())/$D$2</f>
        <v>5.40666902545998</v>
      </c>
      <c r="D446" s="46" t="n">
        <f aca="false">D445+C446</f>
        <v>669.698190972492</v>
      </c>
      <c r="E446" s="47" t="e">
        <f aca="false">MAX($D$3,(1+P445-VLOOKUP(VALUE(D446),$J$18:$Q445,7,TRUE()))*$D$3)</f>
        <v>#N/A</v>
      </c>
      <c r="F446" s="47" t="e">
        <f aca="false">MAX($D$4,(1+Q445-VLOOKUP(VALUE(D446),$M$18:$Q445,5,TRUE()))*$D$4)</f>
        <v>#N/A</v>
      </c>
      <c r="G446" s="48" t="n">
        <v>0.5</v>
      </c>
      <c r="H446" s="46" t="e">
        <f aca="true">IF((B446=1),(IF((F446&lt;E446),1,(IF((F446=E446),(IF(RAND()&lt;G446,1,0)),0)))),(IF((RAND()&lt;G446),1,0)))</f>
        <v>#N/A</v>
      </c>
      <c r="I446" s="46" t="e">
        <f aca="true">IF((H446=1),0,$D$3+$D$5*(RAND()-0.5))</f>
        <v>#N/A</v>
      </c>
      <c r="J446" s="46" t="e">
        <f aca="false">I446+MAX(D446,J445)</f>
        <v>#N/A</v>
      </c>
      <c r="K446" s="46" t="e">
        <f aca="false">IF((H446=0),J446-D446,0)</f>
        <v>#N/A</v>
      </c>
      <c r="L446" s="46" t="e">
        <f aca="true">IF(($H446=0),0,$D$4+$D$5*(RAND()-0.5))</f>
        <v>#N/A</v>
      </c>
      <c r="M446" s="46" t="e">
        <f aca="false">L446+MAX(D446,M445)</f>
        <v>#N/A</v>
      </c>
      <c r="N446" s="46" t="e">
        <f aca="false">IF((H446=1),M446-D446,0)</f>
        <v>#N/A</v>
      </c>
      <c r="O446" s="29" t="n">
        <v>429</v>
      </c>
      <c r="P446" s="49" t="e">
        <f aca="false">IF((Arterial=0),P445+1,P445)</f>
        <v>#N/A</v>
      </c>
      <c r="Q446" s="49" t="e">
        <f aca="false">IF((Arterial=1),Q445+1,Q445)</f>
        <v>#N/A</v>
      </c>
      <c r="R446" s="50" t="n">
        <f aca="false">IF((RESET=1),0,R446+K446)</f>
        <v>0</v>
      </c>
      <c r="S446" s="19" t="n">
        <f aca="false">IF(RESET=1,0,S446+N446)</f>
        <v>0</v>
      </c>
      <c r="T446" s="0" t="n">
        <f aca="false">IF(RESET=1,0,T446+IF(H446=0,1,0))</f>
        <v>0</v>
      </c>
      <c r="U446" s="0" t="n">
        <f aca="false">IF(RESET=1,0,U446+H446)</f>
        <v>0</v>
      </c>
      <c r="V446" s="19" t="n">
        <f aca="false">R446/(T446+0.00001)</f>
        <v>0</v>
      </c>
      <c r="W446" s="19" t="n">
        <f aca="false">S446/(U446+0.0001)</f>
        <v>0</v>
      </c>
      <c r="X446" s="47" t="e">
        <f aca="false">IF(Informed=1,K446,0)</f>
        <v>#N/A</v>
      </c>
      <c r="Y446" s="47" t="n">
        <f aca="false">IF(Informed=0,K446,0)</f>
        <v>0</v>
      </c>
      <c r="Z446" s="47" t="e">
        <f aca="false">IF(Informed=1,N446,0)</f>
        <v>#N/A</v>
      </c>
      <c r="AA446" s="47" t="n">
        <f aca="false">IF(Informed=0,N446,0)</f>
        <v>0</v>
      </c>
      <c r="AB446" s="51" t="e">
        <f aca="false">IF(Arterial=0,IF(Informed=1,1,0),0)</f>
        <v>#N/A</v>
      </c>
      <c r="AC446" s="51" t="e">
        <f aca="false">IF(Arterial=0,IF(Informed=0,1,0),0)</f>
        <v>#N/A</v>
      </c>
      <c r="AD446" s="51" t="e">
        <f aca="false">IF(Arterial=1,IF(Informed=1,1,0),0)</f>
        <v>#N/A</v>
      </c>
      <c r="AE446" s="51" t="e">
        <f aca="false">IF(Arterial=1,IF(Informed=0,1,0),0)</f>
        <v>#N/A</v>
      </c>
      <c r="AF446" s="44" t="e">
        <f aca="false">IF(AB446=1,(X446-G$1030)^2,0)</f>
        <v>#N/A</v>
      </c>
      <c r="AG446" s="44" t="e">
        <f aca="false">IF(AC446=1,(Y446-H$1030)^2,0)</f>
        <v>#N/A</v>
      </c>
      <c r="AH446" s="44" t="e">
        <f aca="false">IF(AD446=1,(Z446-I$1030)^2,0)</f>
        <v>#N/A</v>
      </c>
      <c r="AI446" s="44" t="e">
        <f aca="false">IF(AE446=1,(AA446-J$1030)^2,0)</f>
        <v>#N/A</v>
      </c>
    </row>
    <row r="447" customFormat="false" ht="12" hidden="false" customHeight="false" outlineLevel="0" collapsed="false">
      <c r="A447" s="29" t="n">
        <v>430</v>
      </c>
      <c r="B447" s="45" t="n">
        <f aca="true">IF(RAND()&lt;$D$8,1,0)</f>
        <v>1</v>
      </c>
      <c r="C447" s="34" t="n">
        <f aca="true">-LN(RAND())/$D$2</f>
        <v>1.93978661853899</v>
      </c>
      <c r="D447" s="46" t="n">
        <f aca="false">D446+C447</f>
        <v>671.637977591031</v>
      </c>
      <c r="E447" s="47" t="e">
        <f aca="false">MAX($D$3,(1+P446-VLOOKUP(VALUE(D447),$J$18:$Q446,7,TRUE()))*$D$3)</f>
        <v>#N/A</v>
      </c>
      <c r="F447" s="47" t="e">
        <f aca="false">MAX($D$4,(1+Q446-VLOOKUP(VALUE(D447),$M$18:$Q446,5,TRUE()))*$D$4)</f>
        <v>#N/A</v>
      </c>
      <c r="G447" s="48" t="n">
        <v>0.5</v>
      </c>
      <c r="H447" s="46" t="e">
        <f aca="true">IF((B447=1),(IF((F447&lt;E447),1,(IF((F447=E447),(IF(RAND()&lt;G447,1,0)),0)))),(IF((RAND()&lt;G447),1,0)))</f>
        <v>#N/A</v>
      </c>
      <c r="I447" s="46" t="e">
        <f aca="true">IF((H447=1),0,$D$3+$D$5*(RAND()-0.5))</f>
        <v>#N/A</v>
      </c>
      <c r="J447" s="46" t="e">
        <f aca="false">I447+MAX(D447,J446)</f>
        <v>#N/A</v>
      </c>
      <c r="K447" s="46" t="e">
        <f aca="false">IF((H447=0),J447-D447,0)</f>
        <v>#N/A</v>
      </c>
      <c r="L447" s="46" t="e">
        <f aca="true">IF(($H447=0),0,$D$4+$D$5*(RAND()-0.5))</f>
        <v>#N/A</v>
      </c>
      <c r="M447" s="46" t="e">
        <f aca="false">L447+MAX(D447,M446)</f>
        <v>#N/A</v>
      </c>
      <c r="N447" s="46" t="e">
        <f aca="false">IF((H447=1),M447-D447,0)</f>
        <v>#N/A</v>
      </c>
      <c r="O447" s="29" t="n">
        <v>430</v>
      </c>
      <c r="P447" s="49" t="e">
        <f aca="false">IF((Arterial=0),P446+1,P446)</f>
        <v>#N/A</v>
      </c>
      <c r="Q447" s="49" t="e">
        <f aca="false">IF((Arterial=1),Q446+1,Q446)</f>
        <v>#N/A</v>
      </c>
      <c r="R447" s="50" t="n">
        <f aca="false">IF((RESET=1),0,R447+K447)</f>
        <v>0</v>
      </c>
      <c r="S447" s="19" t="n">
        <f aca="false">IF(RESET=1,0,S447+N447)</f>
        <v>0</v>
      </c>
      <c r="T447" s="0" t="n">
        <f aca="false">IF(RESET=1,0,T447+IF(H447=0,1,0))</f>
        <v>0</v>
      </c>
      <c r="U447" s="0" t="n">
        <f aca="false">IF(RESET=1,0,U447+H447)</f>
        <v>0</v>
      </c>
      <c r="V447" s="19" t="n">
        <f aca="false">R447/(T447+0.00001)</f>
        <v>0</v>
      </c>
      <c r="W447" s="19" t="n">
        <f aca="false">S447/(U447+0.0001)</f>
        <v>0</v>
      </c>
      <c r="X447" s="47" t="e">
        <f aca="false">IF(Informed=1,K447,0)</f>
        <v>#N/A</v>
      </c>
      <c r="Y447" s="47" t="n">
        <f aca="false">IF(Informed=0,K447,0)</f>
        <v>0</v>
      </c>
      <c r="Z447" s="47" t="e">
        <f aca="false">IF(Informed=1,N447,0)</f>
        <v>#N/A</v>
      </c>
      <c r="AA447" s="47" t="n">
        <f aca="false">IF(Informed=0,N447,0)</f>
        <v>0</v>
      </c>
      <c r="AB447" s="51" t="e">
        <f aca="false">IF(Arterial=0,IF(Informed=1,1,0),0)</f>
        <v>#N/A</v>
      </c>
      <c r="AC447" s="51" t="e">
        <f aca="false">IF(Arterial=0,IF(Informed=0,1,0),0)</f>
        <v>#N/A</v>
      </c>
      <c r="AD447" s="51" t="e">
        <f aca="false">IF(Arterial=1,IF(Informed=1,1,0),0)</f>
        <v>#N/A</v>
      </c>
      <c r="AE447" s="51" t="e">
        <f aca="false">IF(Arterial=1,IF(Informed=0,1,0),0)</f>
        <v>#N/A</v>
      </c>
      <c r="AF447" s="44" t="e">
        <f aca="false">IF(AB447=1,(X447-G$1030)^2,0)</f>
        <v>#N/A</v>
      </c>
      <c r="AG447" s="44" t="e">
        <f aca="false">IF(AC447=1,(Y447-H$1030)^2,0)</f>
        <v>#N/A</v>
      </c>
      <c r="AH447" s="44" t="e">
        <f aca="false">IF(AD447=1,(Z447-I$1030)^2,0)</f>
        <v>#N/A</v>
      </c>
      <c r="AI447" s="44" t="e">
        <f aca="false">IF(AE447=1,(AA447-J$1030)^2,0)</f>
        <v>#N/A</v>
      </c>
    </row>
    <row r="448" customFormat="false" ht="12" hidden="false" customHeight="false" outlineLevel="0" collapsed="false">
      <c r="A448" s="29" t="n">
        <v>431</v>
      </c>
      <c r="B448" s="45" t="n">
        <f aca="true">IF(RAND()&lt;$D$8,1,0)</f>
        <v>1</v>
      </c>
      <c r="C448" s="34" t="n">
        <f aca="true">-LN(RAND())/$D$2</f>
        <v>0.0820615863826459</v>
      </c>
      <c r="D448" s="46" t="n">
        <f aca="false">D447+C448</f>
        <v>671.720039177414</v>
      </c>
      <c r="E448" s="47" t="e">
        <f aca="false">MAX($D$3,(1+P447-VLOOKUP(VALUE(D448),$J$18:$Q447,7,TRUE()))*$D$3)</f>
        <v>#N/A</v>
      </c>
      <c r="F448" s="47" t="e">
        <f aca="false">MAX($D$4,(1+Q447-VLOOKUP(VALUE(D448),$M$18:$Q447,5,TRUE()))*$D$4)</f>
        <v>#N/A</v>
      </c>
      <c r="G448" s="48" t="n">
        <v>0.5</v>
      </c>
      <c r="H448" s="46" t="e">
        <f aca="true">IF((B448=1),(IF((F448&lt;E448),1,(IF((F448=E448),(IF(RAND()&lt;G448,1,0)),0)))),(IF((RAND()&lt;G448),1,0)))</f>
        <v>#N/A</v>
      </c>
      <c r="I448" s="46" t="e">
        <f aca="true">IF((H448=1),0,$D$3+$D$5*(RAND()-0.5))</f>
        <v>#N/A</v>
      </c>
      <c r="J448" s="46" t="e">
        <f aca="false">I448+MAX(D448,J447)</f>
        <v>#N/A</v>
      </c>
      <c r="K448" s="46" t="e">
        <f aca="false">IF((H448=0),J448-D448,0)</f>
        <v>#N/A</v>
      </c>
      <c r="L448" s="46" t="e">
        <f aca="true">IF(($H448=0),0,$D$4+$D$5*(RAND()-0.5))</f>
        <v>#N/A</v>
      </c>
      <c r="M448" s="46" t="e">
        <f aca="false">L448+MAX(D448,M447)</f>
        <v>#N/A</v>
      </c>
      <c r="N448" s="46" t="e">
        <f aca="false">IF((H448=1),M448-D448,0)</f>
        <v>#N/A</v>
      </c>
      <c r="O448" s="29" t="n">
        <v>431</v>
      </c>
      <c r="P448" s="49" t="e">
        <f aca="false">IF((Arterial=0),P447+1,P447)</f>
        <v>#N/A</v>
      </c>
      <c r="Q448" s="49" t="e">
        <f aca="false">IF((Arterial=1),Q447+1,Q447)</f>
        <v>#N/A</v>
      </c>
      <c r="R448" s="50" t="n">
        <f aca="false">IF((RESET=1),0,R448+K448)</f>
        <v>0</v>
      </c>
      <c r="S448" s="19" t="n">
        <f aca="false">IF(RESET=1,0,S448+N448)</f>
        <v>0</v>
      </c>
      <c r="T448" s="0" t="n">
        <f aca="false">IF(RESET=1,0,T448+IF(H448=0,1,0))</f>
        <v>0</v>
      </c>
      <c r="U448" s="0" t="n">
        <f aca="false">IF(RESET=1,0,U448+H448)</f>
        <v>0</v>
      </c>
      <c r="V448" s="19" t="n">
        <f aca="false">R448/(T448+0.00001)</f>
        <v>0</v>
      </c>
      <c r="W448" s="19" t="n">
        <f aca="false">S448/(U448+0.0001)</f>
        <v>0</v>
      </c>
      <c r="X448" s="47" t="e">
        <f aca="false">IF(Informed=1,K448,0)</f>
        <v>#N/A</v>
      </c>
      <c r="Y448" s="47" t="n">
        <f aca="false">IF(Informed=0,K448,0)</f>
        <v>0</v>
      </c>
      <c r="Z448" s="47" t="e">
        <f aca="false">IF(Informed=1,N448,0)</f>
        <v>#N/A</v>
      </c>
      <c r="AA448" s="47" t="n">
        <f aca="false">IF(Informed=0,N448,0)</f>
        <v>0</v>
      </c>
      <c r="AB448" s="51" t="e">
        <f aca="false">IF(Arterial=0,IF(Informed=1,1,0),0)</f>
        <v>#N/A</v>
      </c>
      <c r="AC448" s="51" t="e">
        <f aca="false">IF(Arterial=0,IF(Informed=0,1,0),0)</f>
        <v>#N/A</v>
      </c>
      <c r="AD448" s="51" t="e">
        <f aca="false">IF(Arterial=1,IF(Informed=1,1,0),0)</f>
        <v>#N/A</v>
      </c>
      <c r="AE448" s="51" t="e">
        <f aca="false">IF(Arterial=1,IF(Informed=0,1,0),0)</f>
        <v>#N/A</v>
      </c>
      <c r="AF448" s="44" t="e">
        <f aca="false">IF(AB448=1,(X448-G$1030)^2,0)</f>
        <v>#N/A</v>
      </c>
      <c r="AG448" s="44" t="e">
        <f aca="false">IF(AC448=1,(Y448-H$1030)^2,0)</f>
        <v>#N/A</v>
      </c>
      <c r="AH448" s="44" t="e">
        <f aca="false">IF(AD448=1,(Z448-I$1030)^2,0)</f>
        <v>#N/A</v>
      </c>
      <c r="AI448" s="44" t="e">
        <f aca="false">IF(AE448=1,(AA448-J$1030)^2,0)</f>
        <v>#N/A</v>
      </c>
    </row>
    <row r="449" customFormat="false" ht="12" hidden="false" customHeight="false" outlineLevel="0" collapsed="false">
      <c r="A449" s="29" t="n">
        <v>432</v>
      </c>
      <c r="B449" s="45" t="n">
        <f aca="true">IF(RAND()&lt;$D$8,1,0)</f>
        <v>1</v>
      </c>
      <c r="C449" s="34" t="n">
        <f aca="true">-LN(RAND())/$D$2</f>
        <v>1.69949945800559</v>
      </c>
      <c r="D449" s="46" t="n">
        <f aca="false">D448+C449</f>
        <v>673.419538635419</v>
      </c>
      <c r="E449" s="47" t="e">
        <f aca="false">MAX($D$3,(1+P448-VLOOKUP(VALUE(D449),$J$18:$Q448,7,TRUE()))*$D$3)</f>
        <v>#N/A</v>
      </c>
      <c r="F449" s="47" t="e">
        <f aca="false">MAX($D$4,(1+Q448-VLOOKUP(VALUE(D449),$M$18:$Q448,5,TRUE()))*$D$4)</f>
        <v>#N/A</v>
      </c>
      <c r="G449" s="48" t="n">
        <v>0.5</v>
      </c>
      <c r="H449" s="46" t="e">
        <f aca="true">IF((B449=1),(IF((F449&lt;E449),1,(IF((F449=E449),(IF(RAND()&lt;G449,1,0)),0)))),(IF((RAND()&lt;G449),1,0)))</f>
        <v>#N/A</v>
      </c>
      <c r="I449" s="46" t="e">
        <f aca="true">IF((H449=1),0,$D$3+$D$5*(RAND()-0.5))</f>
        <v>#N/A</v>
      </c>
      <c r="J449" s="46" t="e">
        <f aca="false">I449+MAX(D449,J448)</f>
        <v>#N/A</v>
      </c>
      <c r="K449" s="46" t="e">
        <f aca="false">IF((H449=0),J449-D449,0)</f>
        <v>#N/A</v>
      </c>
      <c r="L449" s="46" t="e">
        <f aca="true">IF(($H449=0),0,$D$4+$D$5*(RAND()-0.5))</f>
        <v>#N/A</v>
      </c>
      <c r="M449" s="46" t="e">
        <f aca="false">L449+MAX(D449,M448)</f>
        <v>#N/A</v>
      </c>
      <c r="N449" s="46" t="e">
        <f aca="false">IF((H449=1),M449-D449,0)</f>
        <v>#N/A</v>
      </c>
      <c r="O449" s="29" t="n">
        <v>432</v>
      </c>
      <c r="P449" s="49" t="e">
        <f aca="false">IF((Arterial=0),P448+1,P448)</f>
        <v>#N/A</v>
      </c>
      <c r="Q449" s="49" t="e">
        <f aca="false">IF((Arterial=1),Q448+1,Q448)</f>
        <v>#N/A</v>
      </c>
      <c r="R449" s="50" t="n">
        <f aca="false">IF((RESET=1),0,R449+K449)</f>
        <v>0</v>
      </c>
      <c r="S449" s="19" t="n">
        <f aca="false">IF(RESET=1,0,S449+N449)</f>
        <v>0</v>
      </c>
      <c r="T449" s="0" t="n">
        <f aca="false">IF(RESET=1,0,T449+IF(H449=0,1,0))</f>
        <v>0</v>
      </c>
      <c r="U449" s="0" t="n">
        <f aca="false">IF(RESET=1,0,U449+H449)</f>
        <v>0</v>
      </c>
      <c r="V449" s="19" t="n">
        <f aca="false">R449/(T449+0.00001)</f>
        <v>0</v>
      </c>
      <c r="W449" s="19" t="n">
        <f aca="false">S449/(U449+0.0001)</f>
        <v>0</v>
      </c>
      <c r="X449" s="47" t="e">
        <f aca="false">IF(Informed=1,K449,0)</f>
        <v>#N/A</v>
      </c>
      <c r="Y449" s="47" t="n">
        <f aca="false">IF(Informed=0,K449,0)</f>
        <v>0</v>
      </c>
      <c r="Z449" s="47" t="e">
        <f aca="false">IF(Informed=1,N449,0)</f>
        <v>#N/A</v>
      </c>
      <c r="AA449" s="47" t="n">
        <f aca="false">IF(Informed=0,N449,0)</f>
        <v>0</v>
      </c>
      <c r="AB449" s="51" t="e">
        <f aca="false">IF(Arterial=0,IF(Informed=1,1,0),0)</f>
        <v>#N/A</v>
      </c>
      <c r="AC449" s="51" t="e">
        <f aca="false">IF(Arterial=0,IF(Informed=0,1,0),0)</f>
        <v>#N/A</v>
      </c>
      <c r="AD449" s="51" t="e">
        <f aca="false">IF(Arterial=1,IF(Informed=1,1,0),0)</f>
        <v>#N/A</v>
      </c>
      <c r="AE449" s="51" t="e">
        <f aca="false">IF(Arterial=1,IF(Informed=0,1,0),0)</f>
        <v>#N/A</v>
      </c>
      <c r="AF449" s="44" t="e">
        <f aca="false">IF(AB449=1,(X449-G$1030)^2,0)</f>
        <v>#N/A</v>
      </c>
      <c r="AG449" s="44" t="e">
        <f aca="false">IF(AC449=1,(Y449-H$1030)^2,0)</f>
        <v>#N/A</v>
      </c>
      <c r="AH449" s="44" t="e">
        <f aca="false">IF(AD449=1,(Z449-I$1030)^2,0)</f>
        <v>#N/A</v>
      </c>
      <c r="AI449" s="44" t="e">
        <f aca="false">IF(AE449=1,(AA449-J$1030)^2,0)</f>
        <v>#N/A</v>
      </c>
    </row>
    <row r="450" customFormat="false" ht="12" hidden="false" customHeight="false" outlineLevel="0" collapsed="false">
      <c r="A450" s="29" t="n">
        <v>433</v>
      </c>
      <c r="B450" s="45" t="n">
        <f aca="true">IF(RAND()&lt;$D$8,1,0)</f>
        <v>1</v>
      </c>
      <c r="C450" s="34" t="n">
        <f aca="true">-LN(RAND())/$D$2</f>
        <v>0.588738831113911</v>
      </c>
      <c r="D450" s="46" t="n">
        <f aca="false">D449+C450</f>
        <v>674.008277466533</v>
      </c>
      <c r="E450" s="47" t="e">
        <f aca="false">MAX($D$3,(1+P449-VLOOKUP(VALUE(D450),$J$18:$Q449,7,TRUE()))*$D$3)</f>
        <v>#N/A</v>
      </c>
      <c r="F450" s="47" t="e">
        <f aca="false">MAX($D$4,(1+Q449-VLOOKUP(VALUE(D450),$M$18:$Q449,5,TRUE()))*$D$4)</f>
        <v>#N/A</v>
      </c>
      <c r="G450" s="48" t="n">
        <v>0.5</v>
      </c>
      <c r="H450" s="46" t="e">
        <f aca="true">IF((B450=1),(IF((F450&lt;E450),1,(IF((F450=E450),(IF(RAND()&lt;G450,1,0)),0)))),(IF((RAND()&lt;G450),1,0)))</f>
        <v>#N/A</v>
      </c>
      <c r="I450" s="46" t="e">
        <f aca="true">IF((H450=1),0,$D$3+$D$5*(RAND()-0.5))</f>
        <v>#N/A</v>
      </c>
      <c r="J450" s="46" t="e">
        <f aca="false">I450+MAX(D450,J449)</f>
        <v>#N/A</v>
      </c>
      <c r="K450" s="46" t="e">
        <f aca="false">IF((H450=0),J450-D450,0)</f>
        <v>#N/A</v>
      </c>
      <c r="L450" s="46" t="e">
        <f aca="true">IF(($H450=0),0,$D$4+$D$5*(RAND()-0.5))</f>
        <v>#N/A</v>
      </c>
      <c r="M450" s="46" t="e">
        <f aca="false">L450+MAX(D450,M449)</f>
        <v>#N/A</v>
      </c>
      <c r="N450" s="46" t="e">
        <f aca="false">IF((H450=1),M450-D450,0)</f>
        <v>#N/A</v>
      </c>
      <c r="O450" s="29" t="n">
        <v>433</v>
      </c>
      <c r="P450" s="49" t="e">
        <f aca="false">IF((Arterial=0),P449+1,P449)</f>
        <v>#N/A</v>
      </c>
      <c r="Q450" s="49" t="e">
        <f aca="false">IF((Arterial=1),Q449+1,Q449)</f>
        <v>#N/A</v>
      </c>
      <c r="R450" s="50" t="n">
        <f aca="false">IF((RESET=1),0,R450+K450)</f>
        <v>0</v>
      </c>
      <c r="S450" s="19" t="n">
        <f aca="false">IF(RESET=1,0,S450+N450)</f>
        <v>0</v>
      </c>
      <c r="T450" s="0" t="n">
        <f aca="false">IF(RESET=1,0,T450+IF(H450=0,1,0))</f>
        <v>0</v>
      </c>
      <c r="U450" s="0" t="n">
        <f aca="false">IF(RESET=1,0,U450+H450)</f>
        <v>0</v>
      </c>
      <c r="V450" s="19" t="n">
        <f aca="false">R450/(T450+0.00001)</f>
        <v>0</v>
      </c>
      <c r="W450" s="19" t="n">
        <f aca="false">S450/(U450+0.0001)</f>
        <v>0</v>
      </c>
      <c r="X450" s="47" t="e">
        <f aca="false">IF(Informed=1,K450,0)</f>
        <v>#N/A</v>
      </c>
      <c r="Y450" s="47" t="n">
        <f aca="false">IF(Informed=0,K450,0)</f>
        <v>0</v>
      </c>
      <c r="Z450" s="47" t="e">
        <f aca="false">IF(Informed=1,N450,0)</f>
        <v>#N/A</v>
      </c>
      <c r="AA450" s="47" t="n">
        <f aca="false">IF(Informed=0,N450,0)</f>
        <v>0</v>
      </c>
      <c r="AB450" s="51" t="e">
        <f aca="false">IF(Arterial=0,IF(Informed=1,1,0),0)</f>
        <v>#N/A</v>
      </c>
      <c r="AC450" s="51" t="e">
        <f aca="false">IF(Arterial=0,IF(Informed=0,1,0),0)</f>
        <v>#N/A</v>
      </c>
      <c r="AD450" s="51" t="e">
        <f aca="false">IF(Arterial=1,IF(Informed=1,1,0),0)</f>
        <v>#N/A</v>
      </c>
      <c r="AE450" s="51" t="e">
        <f aca="false">IF(Arterial=1,IF(Informed=0,1,0),0)</f>
        <v>#N/A</v>
      </c>
      <c r="AF450" s="44" t="e">
        <f aca="false">IF(AB450=1,(X450-G$1030)^2,0)</f>
        <v>#N/A</v>
      </c>
      <c r="AG450" s="44" t="e">
        <f aca="false">IF(AC450=1,(Y450-H$1030)^2,0)</f>
        <v>#N/A</v>
      </c>
      <c r="AH450" s="44" t="e">
        <f aca="false">IF(AD450=1,(Z450-I$1030)^2,0)</f>
        <v>#N/A</v>
      </c>
      <c r="AI450" s="44" t="e">
        <f aca="false">IF(AE450=1,(AA450-J$1030)^2,0)</f>
        <v>#N/A</v>
      </c>
    </row>
    <row r="451" customFormat="false" ht="12" hidden="false" customHeight="false" outlineLevel="0" collapsed="false">
      <c r="A451" s="29" t="n">
        <v>434</v>
      </c>
      <c r="B451" s="45" t="n">
        <f aca="true">IF(RAND()&lt;$D$8,1,0)</f>
        <v>1</v>
      </c>
      <c r="C451" s="34" t="n">
        <f aca="true">-LN(RAND())/$D$2</f>
        <v>1.94080725663719</v>
      </c>
      <c r="D451" s="46" t="n">
        <f aca="false">D450+C451</f>
        <v>675.94908472317</v>
      </c>
      <c r="E451" s="47" t="e">
        <f aca="false">MAX($D$3,(1+P450-VLOOKUP(VALUE(D451),$J$18:$Q450,7,TRUE()))*$D$3)</f>
        <v>#N/A</v>
      </c>
      <c r="F451" s="47" t="e">
        <f aca="false">MAX($D$4,(1+Q450-VLOOKUP(VALUE(D451),$M$18:$Q450,5,TRUE()))*$D$4)</f>
        <v>#N/A</v>
      </c>
      <c r="G451" s="48" t="n">
        <v>0.5</v>
      </c>
      <c r="H451" s="46" t="e">
        <f aca="true">IF((B451=1),(IF((F451&lt;E451),1,(IF((F451=E451),(IF(RAND()&lt;G451,1,0)),0)))),(IF((RAND()&lt;G451),1,0)))</f>
        <v>#N/A</v>
      </c>
      <c r="I451" s="46" t="e">
        <f aca="true">IF((H451=1),0,$D$3+$D$5*(RAND()-0.5))</f>
        <v>#N/A</v>
      </c>
      <c r="J451" s="46" t="e">
        <f aca="false">I451+MAX(D451,J450)</f>
        <v>#N/A</v>
      </c>
      <c r="K451" s="46" t="e">
        <f aca="false">IF((H451=0),J451-D451,0)</f>
        <v>#N/A</v>
      </c>
      <c r="L451" s="46" t="e">
        <f aca="true">IF(($H451=0),0,$D$4+$D$5*(RAND()-0.5))</f>
        <v>#N/A</v>
      </c>
      <c r="M451" s="46" t="e">
        <f aca="false">L451+MAX(D451,M450)</f>
        <v>#N/A</v>
      </c>
      <c r="N451" s="46" t="e">
        <f aca="false">IF((H451=1),M451-D451,0)</f>
        <v>#N/A</v>
      </c>
      <c r="O451" s="29" t="n">
        <v>434</v>
      </c>
      <c r="P451" s="49" t="e">
        <f aca="false">IF((Arterial=0),P450+1,P450)</f>
        <v>#N/A</v>
      </c>
      <c r="Q451" s="49" t="e">
        <f aca="false">IF((Arterial=1),Q450+1,Q450)</f>
        <v>#N/A</v>
      </c>
      <c r="R451" s="50" t="n">
        <f aca="false">IF((RESET=1),0,R451+K451)</f>
        <v>0</v>
      </c>
      <c r="S451" s="19" t="n">
        <f aca="false">IF(RESET=1,0,S451+N451)</f>
        <v>0</v>
      </c>
      <c r="T451" s="0" t="n">
        <f aca="false">IF(RESET=1,0,T451+IF(H451=0,1,0))</f>
        <v>0</v>
      </c>
      <c r="U451" s="0" t="n">
        <f aca="false">IF(RESET=1,0,U451+H451)</f>
        <v>0</v>
      </c>
      <c r="V451" s="19" t="n">
        <f aca="false">R451/(T451+0.00001)</f>
        <v>0</v>
      </c>
      <c r="W451" s="19" t="n">
        <f aca="false">S451/(U451+0.0001)</f>
        <v>0</v>
      </c>
      <c r="X451" s="47" t="e">
        <f aca="false">IF(Informed=1,K451,0)</f>
        <v>#N/A</v>
      </c>
      <c r="Y451" s="47" t="n">
        <f aca="false">IF(Informed=0,K451,0)</f>
        <v>0</v>
      </c>
      <c r="Z451" s="47" t="e">
        <f aca="false">IF(Informed=1,N451,0)</f>
        <v>#N/A</v>
      </c>
      <c r="AA451" s="47" t="n">
        <f aca="false">IF(Informed=0,N451,0)</f>
        <v>0</v>
      </c>
      <c r="AB451" s="51" t="e">
        <f aca="false">IF(Arterial=0,IF(Informed=1,1,0),0)</f>
        <v>#N/A</v>
      </c>
      <c r="AC451" s="51" t="e">
        <f aca="false">IF(Arterial=0,IF(Informed=0,1,0),0)</f>
        <v>#N/A</v>
      </c>
      <c r="AD451" s="51" t="e">
        <f aca="false">IF(Arterial=1,IF(Informed=1,1,0),0)</f>
        <v>#N/A</v>
      </c>
      <c r="AE451" s="51" t="e">
        <f aca="false">IF(Arterial=1,IF(Informed=0,1,0),0)</f>
        <v>#N/A</v>
      </c>
      <c r="AF451" s="44" t="e">
        <f aca="false">IF(AB451=1,(X451-G$1030)^2,0)</f>
        <v>#N/A</v>
      </c>
      <c r="AG451" s="44" t="e">
        <f aca="false">IF(AC451=1,(Y451-H$1030)^2,0)</f>
        <v>#N/A</v>
      </c>
      <c r="AH451" s="44" t="e">
        <f aca="false">IF(AD451=1,(Z451-I$1030)^2,0)</f>
        <v>#N/A</v>
      </c>
      <c r="AI451" s="44" t="e">
        <f aca="false">IF(AE451=1,(AA451-J$1030)^2,0)</f>
        <v>#N/A</v>
      </c>
    </row>
    <row r="452" customFormat="false" ht="12" hidden="false" customHeight="false" outlineLevel="0" collapsed="false">
      <c r="A452" s="29" t="n">
        <v>435</v>
      </c>
      <c r="B452" s="45" t="n">
        <f aca="true">IF(RAND()&lt;$D$8,1,0)</f>
        <v>1</v>
      </c>
      <c r="C452" s="34" t="n">
        <f aca="true">-LN(RAND())/$D$2</f>
        <v>3.68413343158978</v>
      </c>
      <c r="D452" s="46" t="n">
        <f aca="false">D451+C452</f>
        <v>679.63321815476</v>
      </c>
      <c r="E452" s="47" t="e">
        <f aca="false">MAX($D$3,(1+P451-VLOOKUP(VALUE(D452),$J$18:$Q451,7,TRUE()))*$D$3)</f>
        <v>#N/A</v>
      </c>
      <c r="F452" s="47" t="e">
        <f aca="false">MAX($D$4,(1+Q451-VLOOKUP(VALUE(D452),$M$18:$Q451,5,TRUE()))*$D$4)</f>
        <v>#N/A</v>
      </c>
      <c r="G452" s="48" t="n">
        <v>0.5</v>
      </c>
      <c r="H452" s="46" t="e">
        <f aca="true">IF((B452=1),(IF((F452&lt;E452),1,(IF((F452=E452),(IF(RAND()&lt;G452,1,0)),0)))),(IF((RAND()&lt;G452),1,0)))</f>
        <v>#N/A</v>
      </c>
      <c r="I452" s="46" t="e">
        <f aca="true">IF((H452=1),0,$D$3+$D$5*(RAND()-0.5))</f>
        <v>#N/A</v>
      </c>
      <c r="J452" s="46" t="e">
        <f aca="false">I452+MAX(D452,J451)</f>
        <v>#N/A</v>
      </c>
      <c r="K452" s="46" t="e">
        <f aca="false">IF((H452=0),J452-D452,0)</f>
        <v>#N/A</v>
      </c>
      <c r="L452" s="46" t="e">
        <f aca="true">IF(($H452=0),0,$D$4+$D$5*(RAND()-0.5))</f>
        <v>#N/A</v>
      </c>
      <c r="M452" s="46" t="e">
        <f aca="false">L452+MAX(D452,M451)</f>
        <v>#N/A</v>
      </c>
      <c r="N452" s="46" t="e">
        <f aca="false">IF((H452=1),M452-D452,0)</f>
        <v>#N/A</v>
      </c>
      <c r="O452" s="29" t="n">
        <v>435</v>
      </c>
      <c r="P452" s="49" t="e">
        <f aca="false">IF((Arterial=0),P451+1,P451)</f>
        <v>#N/A</v>
      </c>
      <c r="Q452" s="49" t="e">
        <f aca="false">IF((Arterial=1),Q451+1,Q451)</f>
        <v>#N/A</v>
      </c>
      <c r="R452" s="50" t="n">
        <f aca="false">IF((RESET=1),0,R452+K452)</f>
        <v>0</v>
      </c>
      <c r="S452" s="19" t="n">
        <f aca="false">IF(RESET=1,0,S452+N452)</f>
        <v>0</v>
      </c>
      <c r="T452" s="0" t="n">
        <f aca="false">IF(RESET=1,0,T452+IF(H452=0,1,0))</f>
        <v>0</v>
      </c>
      <c r="U452" s="0" t="n">
        <f aca="false">IF(RESET=1,0,U452+H452)</f>
        <v>0</v>
      </c>
      <c r="V452" s="19" t="n">
        <f aca="false">R452/(T452+0.00001)</f>
        <v>0</v>
      </c>
      <c r="W452" s="19" t="n">
        <f aca="false">S452/(U452+0.0001)</f>
        <v>0</v>
      </c>
      <c r="X452" s="47" t="e">
        <f aca="false">IF(Informed=1,K452,0)</f>
        <v>#N/A</v>
      </c>
      <c r="Y452" s="47" t="n">
        <f aca="false">IF(Informed=0,K452,0)</f>
        <v>0</v>
      </c>
      <c r="Z452" s="47" t="e">
        <f aca="false">IF(Informed=1,N452,0)</f>
        <v>#N/A</v>
      </c>
      <c r="AA452" s="47" t="n">
        <f aca="false">IF(Informed=0,N452,0)</f>
        <v>0</v>
      </c>
      <c r="AB452" s="51" t="e">
        <f aca="false">IF(Arterial=0,IF(Informed=1,1,0),0)</f>
        <v>#N/A</v>
      </c>
      <c r="AC452" s="51" t="e">
        <f aca="false">IF(Arterial=0,IF(Informed=0,1,0),0)</f>
        <v>#N/A</v>
      </c>
      <c r="AD452" s="51" t="e">
        <f aca="false">IF(Arterial=1,IF(Informed=1,1,0),0)</f>
        <v>#N/A</v>
      </c>
      <c r="AE452" s="51" t="e">
        <f aca="false">IF(Arterial=1,IF(Informed=0,1,0),0)</f>
        <v>#N/A</v>
      </c>
      <c r="AF452" s="44" t="e">
        <f aca="false">IF(AB452=1,(X452-G$1030)^2,0)</f>
        <v>#N/A</v>
      </c>
      <c r="AG452" s="44" t="e">
        <f aca="false">IF(AC452=1,(Y452-H$1030)^2,0)</f>
        <v>#N/A</v>
      </c>
      <c r="AH452" s="44" t="e">
        <f aca="false">IF(AD452=1,(Z452-I$1030)^2,0)</f>
        <v>#N/A</v>
      </c>
      <c r="AI452" s="44" t="e">
        <f aca="false">IF(AE452=1,(AA452-J$1030)^2,0)</f>
        <v>#N/A</v>
      </c>
    </row>
    <row r="453" customFormat="false" ht="12" hidden="false" customHeight="false" outlineLevel="0" collapsed="false">
      <c r="A453" s="29" t="n">
        <v>436</v>
      </c>
      <c r="B453" s="45" t="n">
        <f aca="true">IF(RAND()&lt;$D$8,1,0)</f>
        <v>1</v>
      </c>
      <c r="C453" s="34" t="n">
        <f aca="true">-LN(RAND())/$D$2</f>
        <v>1.98650104555452</v>
      </c>
      <c r="D453" s="46" t="n">
        <f aca="false">D452+C453</f>
        <v>681.619719200315</v>
      </c>
      <c r="E453" s="47" t="e">
        <f aca="false">MAX($D$3,(1+P452-VLOOKUP(VALUE(D453),$J$18:$Q452,7,TRUE()))*$D$3)</f>
        <v>#N/A</v>
      </c>
      <c r="F453" s="47" t="e">
        <f aca="false">MAX($D$4,(1+Q452-VLOOKUP(VALUE(D453),$M$18:$Q452,5,TRUE()))*$D$4)</f>
        <v>#N/A</v>
      </c>
      <c r="G453" s="48" t="n">
        <v>0.5</v>
      </c>
      <c r="H453" s="46" t="e">
        <f aca="true">IF((B453=1),(IF((F453&lt;E453),1,(IF((F453=E453),(IF(RAND()&lt;G453,1,0)),0)))),(IF((RAND()&lt;G453),1,0)))</f>
        <v>#N/A</v>
      </c>
      <c r="I453" s="46" t="e">
        <f aca="true">IF((H453=1),0,$D$3+$D$5*(RAND()-0.5))</f>
        <v>#N/A</v>
      </c>
      <c r="J453" s="46" t="e">
        <f aca="false">I453+MAX(D453,J452)</f>
        <v>#N/A</v>
      </c>
      <c r="K453" s="46" t="e">
        <f aca="false">IF((H453=0),J453-D453,0)</f>
        <v>#N/A</v>
      </c>
      <c r="L453" s="46" t="e">
        <f aca="true">IF(($H453=0),0,$D$4+$D$5*(RAND()-0.5))</f>
        <v>#N/A</v>
      </c>
      <c r="M453" s="46" t="e">
        <f aca="false">L453+MAX(D453,M452)</f>
        <v>#N/A</v>
      </c>
      <c r="N453" s="46" t="e">
        <f aca="false">IF((H453=1),M453-D453,0)</f>
        <v>#N/A</v>
      </c>
      <c r="O453" s="29" t="n">
        <v>436</v>
      </c>
      <c r="P453" s="49" t="e">
        <f aca="false">IF((Arterial=0),P452+1,P452)</f>
        <v>#N/A</v>
      </c>
      <c r="Q453" s="49" t="e">
        <f aca="false">IF((Arterial=1),Q452+1,Q452)</f>
        <v>#N/A</v>
      </c>
      <c r="R453" s="50" t="n">
        <f aca="false">IF((RESET=1),0,R453+K453)</f>
        <v>0</v>
      </c>
      <c r="S453" s="19" t="n">
        <f aca="false">IF(RESET=1,0,S453+N453)</f>
        <v>0</v>
      </c>
      <c r="T453" s="0" t="n">
        <f aca="false">IF(RESET=1,0,T453+IF(H453=0,1,0))</f>
        <v>0</v>
      </c>
      <c r="U453" s="0" t="n">
        <f aca="false">IF(RESET=1,0,U453+H453)</f>
        <v>0</v>
      </c>
      <c r="V453" s="19" t="n">
        <f aca="false">R453/(T453+0.00001)</f>
        <v>0</v>
      </c>
      <c r="W453" s="19" t="n">
        <f aca="false">S453/(U453+0.0001)</f>
        <v>0</v>
      </c>
      <c r="X453" s="47" t="e">
        <f aca="false">IF(Informed=1,K453,0)</f>
        <v>#N/A</v>
      </c>
      <c r="Y453" s="47" t="n">
        <f aca="false">IF(Informed=0,K453,0)</f>
        <v>0</v>
      </c>
      <c r="Z453" s="47" t="e">
        <f aca="false">IF(Informed=1,N453,0)</f>
        <v>#N/A</v>
      </c>
      <c r="AA453" s="47" t="n">
        <f aca="false">IF(Informed=0,N453,0)</f>
        <v>0</v>
      </c>
      <c r="AB453" s="51" t="e">
        <f aca="false">IF(Arterial=0,IF(Informed=1,1,0),0)</f>
        <v>#N/A</v>
      </c>
      <c r="AC453" s="51" t="e">
        <f aca="false">IF(Arterial=0,IF(Informed=0,1,0),0)</f>
        <v>#N/A</v>
      </c>
      <c r="AD453" s="51" t="e">
        <f aca="false">IF(Arterial=1,IF(Informed=1,1,0),0)</f>
        <v>#N/A</v>
      </c>
      <c r="AE453" s="51" t="e">
        <f aca="false">IF(Arterial=1,IF(Informed=0,1,0),0)</f>
        <v>#N/A</v>
      </c>
      <c r="AF453" s="44" t="e">
        <f aca="false">IF(AB453=1,(X453-G$1030)^2,0)</f>
        <v>#N/A</v>
      </c>
      <c r="AG453" s="44" t="e">
        <f aca="false">IF(AC453=1,(Y453-H$1030)^2,0)</f>
        <v>#N/A</v>
      </c>
      <c r="AH453" s="44" t="e">
        <f aca="false">IF(AD453=1,(Z453-I$1030)^2,0)</f>
        <v>#N/A</v>
      </c>
      <c r="AI453" s="44" t="e">
        <f aca="false">IF(AE453=1,(AA453-J$1030)^2,0)</f>
        <v>#N/A</v>
      </c>
    </row>
    <row r="454" customFormat="false" ht="12" hidden="false" customHeight="false" outlineLevel="0" collapsed="false">
      <c r="A454" s="29" t="n">
        <v>437</v>
      </c>
      <c r="B454" s="45" t="n">
        <f aca="true">IF(RAND()&lt;$D$8,1,0)</f>
        <v>1</v>
      </c>
      <c r="C454" s="34" t="n">
        <f aca="true">-LN(RAND())/$D$2</f>
        <v>1.08039557435618</v>
      </c>
      <c r="D454" s="46" t="n">
        <f aca="false">D453+C454</f>
        <v>682.700114774671</v>
      </c>
      <c r="E454" s="47" t="e">
        <f aca="false">MAX($D$3,(1+P453-VLOOKUP(VALUE(D454),$J$18:$Q453,7,TRUE()))*$D$3)</f>
        <v>#N/A</v>
      </c>
      <c r="F454" s="47" t="e">
        <f aca="false">MAX($D$4,(1+Q453-VLOOKUP(VALUE(D454),$M$18:$Q453,5,TRUE()))*$D$4)</f>
        <v>#N/A</v>
      </c>
      <c r="G454" s="48" t="n">
        <v>0.5</v>
      </c>
      <c r="H454" s="46" t="e">
        <f aca="true">IF((B454=1),(IF((F454&lt;E454),1,(IF((F454=E454),(IF(RAND()&lt;G454,1,0)),0)))),(IF((RAND()&lt;G454),1,0)))</f>
        <v>#N/A</v>
      </c>
      <c r="I454" s="46" t="e">
        <f aca="true">IF((H454=1),0,$D$3+$D$5*(RAND()-0.5))</f>
        <v>#N/A</v>
      </c>
      <c r="J454" s="46" t="e">
        <f aca="false">I454+MAX(D454,J453)</f>
        <v>#N/A</v>
      </c>
      <c r="K454" s="46" t="e">
        <f aca="false">IF((H454=0),J454-D454,0)</f>
        <v>#N/A</v>
      </c>
      <c r="L454" s="46" t="e">
        <f aca="true">IF(($H454=0),0,$D$4+$D$5*(RAND()-0.5))</f>
        <v>#N/A</v>
      </c>
      <c r="M454" s="46" t="e">
        <f aca="false">L454+MAX(D454,M453)</f>
        <v>#N/A</v>
      </c>
      <c r="N454" s="46" t="e">
        <f aca="false">IF((H454=1),M454-D454,0)</f>
        <v>#N/A</v>
      </c>
      <c r="O454" s="29" t="n">
        <v>437</v>
      </c>
      <c r="P454" s="49" t="e">
        <f aca="false">IF((Arterial=0),P453+1,P453)</f>
        <v>#N/A</v>
      </c>
      <c r="Q454" s="49" t="e">
        <f aca="false">IF((Arterial=1),Q453+1,Q453)</f>
        <v>#N/A</v>
      </c>
      <c r="R454" s="50" t="n">
        <f aca="false">IF((RESET=1),0,R454+K454)</f>
        <v>0</v>
      </c>
      <c r="S454" s="19" t="n">
        <f aca="false">IF(RESET=1,0,S454+N454)</f>
        <v>0</v>
      </c>
      <c r="T454" s="0" t="n">
        <f aca="false">IF(RESET=1,0,T454+IF(H454=0,1,0))</f>
        <v>0</v>
      </c>
      <c r="U454" s="0" t="n">
        <f aca="false">IF(RESET=1,0,U454+H454)</f>
        <v>0</v>
      </c>
      <c r="V454" s="19" t="n">
        <f aca="false">R454/(T454+0.00001)</f>
        <v>0</v>
      </c>
      <c r="W454" s="19" t="n">
        <f aca="false">S454/(U454+0.0001)</f>
        <v>0</v>
      </c>
      <c r="X454" s="47" t="e">
        <f aca="false">IF(Informed=1,K454,0)</f>
        <v>#N/A</v>
      </c>
      <c r="Y454" s="47" t="n">
        <f aca="false">IF(Informed=0,K454,0)</f>
        <v>0</v>
      </c>
      <c r="Z454" s="47" t="e">
        <f aca="false">IF(Informed=1,N454,0)</f>
        <v>#N/A</v>
      </c>
      <c r="AA454" s="47" t="n">
        <f aca="false">IF(Informed=0,N454,0)</f>
        <v>0</v>
      </c>
      <c r="AB454" s="51" t="e">
        <f aca="false">IF(Arterial=0,IF(Informed=1,1,0),0)</f>
        <v>#N/A</v>
      </c>
      <c r="AC454" s="51" t="e">
        <f aca="false">IF(Arterial=0,IF(Informed=0,1,0),0)</f>
        <v>#N/A</v>
      </c>
      <c r="AD454" s="51" t="e">
        <f aca="false">IF(Arterial=1,IF(Informed=1,1,0),0)</f>
        <v>#N/A</v>
      </c>
      <c r="AE454" s="51" t="e">
        <f aca="false">IF(Arterial=1,IF(Informed=0,1,0),0)</f>
        <v>#N/A</v>
      </c>
      <c r="AF454" s="44" t="e">
        <f aca="false">IF(AB454=1,(X454-G$1030)^2,0)</f>
        <v>#N/A</v>
      </c>
      <c r="AG454" s="44" t="e">
        <f aca="false">IF(AC454=1,(Y454-H$1030)^2,0)</f>
        <v>#N/A</v>
      </c>
      <c r="AH454" s="44" t="e">
        <f aca="false">IF(AD454=1,(Z454-I$1030)^2,0)</f>
        <v>#N/A</v>
      </c>
      <c r="AI454" s="44" t="e">
        <f aca="false">IF(AE454=1,(AA454-J$1030)^2,0)</f>
        <v>#N/A</v>
      </c>
    </row>
    <row r="455" customFormat="false" ht="12" hidden="false" customHeight="false" outlineLevel="0" collapsed="false">
      <c r="A455" s="29" t="n">
        <v>438</v>
      </c>
      <c r="B455" s="45" t="n">
        <f aca="true">IF(RAND()&lt;$D$8,1,0)</f>
        <v>1</v>
      </c>
      <c r="C455" s="34" t="n">
        <f aca="true">-LN(RAND())/$D$2</f>
        <v>3.79308252034986</v>
      </c>
      <c r="D455" s="46" t="n">
        <f aca="false">D454+C455</f>
        <v>686.493197295021</v>
      </c>
      <c r="E455" s="47" t="e">
        <f aca="false">MAX($D$3,(1+P454-VLOOKUP(VALUE(D455),$J$18:$Q454,7,TRUE()))*$D$3)</f>
        <v>#N/A</v>
      </c>
      <c r="F455" s="47" t="e">
        <f aca="false">MAX($D$4,(1+Q454-VLOOKUP(VALUE(D455),$M$18:$Q454,5,TRUE()))*$D$4)</f>
        <v>#N/A</v>
      </c>
      <c r="G455" s="48" t="n">
        <v>0.5</v>
      </c>
      <c r="H455" s="46" t="e">
        <f aca="true">IF((B455=1),(IF((F455&lt;E455),1,(IF((F455=E455),(IF(RAND()&lt;G455,1,0)),0)))),(IF((RAND()&lt;G455),1,0)))</f>
        <v>#N/A</v>
      </c>
      <c r="I455" s="46" t="e">
        <f aca="true">IF((H455=1),0,$D$3+$D$5*(RAND()-0.5))</f>
        <v>#N/A</v>
      </c>
      <c r="J455" s="46" t="e">
        <f aca="false">I455+MAX(D455,J454)</f>
        <v>#N/A</v>
      </c>
      <c r="K455" s="46" t="e">
        <f aca="false">IF((H455=0),J455-D455,0)</f>
        <v>#N/A</v>
      </c>
      <c r="L455" s="46" t="e">
        <f aca="true">IF(($H455=0),0,$D$4+$D$5*(RAND()-0.5))</f>
        <v>#N/A</v>
      </c>
      <c r="M455" s="46" t="e">
        <f aca="false">L455+MAX(D455,M454)</f>
        <v>#N/A</v>
      </c>
      <c r="N455" s="46" t="e">
        <f aca="false">IF((H455=1),M455-D455,0)</f>
        <v>#N/A</v>
      </c>
      <c r="O455" s="29" t="n">
        <v>438</v>
      </c>
      <c r="P455" s="49" t="e">
        <f aca="false">IF((Arterial=0),P454+1,P454)</f>
        <v>#N/A</v>
      </c>
      <c r="Q455" s="49" t="e">
        <f aca="false">IF((Arterial=1),Q454+1,Q454)</f>
        <v>#N/A</v>
      </c>
      <c r="R455" s="50" t="n">
        <f aca="false">IF((RESET=1),0,R455+K455)</f>
        <v>0</v>
      </c>
      <c r="S455" s="19" t="n">
        <f aca="false">IF(RESET=1,0,S455+N455)</f>
        <v>0</v>
      </c>
      <c r="T455" s="0" t="n">
        <f aca="false">IF(RESET=1,0,T455+IF(H455=0,1,0))</f>
        <v>0</v>
      </c>
      <c r="U455" s="0" t="n">
        <f aca="false">IF(RESET=1,0,U455+H455)</f>
        <v>0</v>
      </c>
      <c r="V455" s="19" t="n">
        <f aca="false">R455/(T455+0.00001)</f>
        <v>0</v>
      </c>
      <c r="W455" s="19" t="n">
        <f aca="false">S455/(U455+0.0001)</f>
        <v>0</v>
      </c>
      <c r="X455" s="47" t="e">
        <f aca="false">IF(Informed=1,K455,0)</f>
        <v>#N/A</v>
      </c>
      <c r="Y455" s="47" t="n">
        <f aca="false">IF(Informed=0,K455,0)</f>
        <v>0</v>
      </c>
      <c r="Z455" s="47" t="e">
        <f aca="false">IF(Informed=1,N455,0)</f>
        <v>#N/A</v>
      </c>
      <c r="AA455" s="47" t="n">
        <f aca="false">IF(Informed=0,N455,0)</f>
        <v>0</v>
      </c>
      <c r="AB455" s="51" t="e">
        <f aca="false">IF(Arterial=0,IF(Informed=1,1,0),0)</f>
        <v>#N/A</v>
      </c>
      <c r="AC455" s="51" t="e">
        <f aca="false">IF(Arterial=0,IF(Informed=0,1,0),0)</f>
        <v>#N/A</v>
      </c>
      <c r="AD455" s="51" t="e">
        <f aca="false">IF(Arterial=1,IF(Informed=1,1,0),0)</f>
        <v>#N/A</v>
      </c>
      <c r="AE455" s="51" t="e">
        <f aca="false">IF(Arterial=1,IF(Informed=0,1,0),0)</f>
        <v>#N/A</v>
      </c>
      <c r="AF455" s="44" t="e">
        <f aca="false">IF(AB455=1,(X455-G$1030)^2,0)</f>
        <v>#N/A</v>
      </c>
      <c r="AG455" s="44" t="e">
        <f aca="false">IF(AC455=1,(Y455-H$1030)^2,0)</f>
        <v>#N/A</v>
      </c>
      <c r="AH455" s="44" t="e">
        <f aca="false">IF(AD455=1,(Z455-I$1030)^2,0)</f>
        <v>#N/A</v>
      </c>
      <c r="AI455" s="44" t="e">
        <f aca="false">IF(AE455=1,(AA455-J$1030)^2,0)</f>
        <v>#N/A</v>
      </c>
    </row>
    <row r="456" customFormat="false" ht="12" hidden="false" customHeight="false" outlineLevel="0" collapsed="false">
      <c r="A456" s="29" t="n">
        <v>439</v>
      </c>
      <c r="B456" s="45" t="n">
        <f aca="true">IF(RAND()&lt;$D$8,1,0)</f>
        <v>1</v>
      </c>
      <c r="C456" s="34" t="n">
        <f aca="true">-LN(RAND())/$D$2</f>
        <v>5.27732677940064</v>
      </c>
      <c r="D456" s="46" t="n">
        <f aca="false">D455+C456</f>
        <v>691.770524074421</v>
      </c>
      <c r="E456" s="47" t="e">
        <f aca="false">MAX($D$3,(1+P455-VLOOKUP(VALUE(D456),$J$18:$Q455,7,TRUE()))*$D$3)</f>
        <v>#N/A</v>
      </c>
      <c r="F456" s="47" t="e">
        <f aca="false">MAX($D$4,(1+Q455-VLOOKUP(VALUE(D456),$M$18:$Q455,5,TRUE()))*$D$4)</f>
        <v>#N/A</v>
      </c>
      <c r="G456" s="48" t="n">
        <v>0.5</v>
      </c>
      <c r="H456" s="46" t="e">
        <f aca="true">IF((B456=1),(IF((F456&lt;E456),1,(IF((F456=E456),(IF(RAND()&lt;G456,1,0)),0)))),(IF((RAND()&lt;G456),1,0)))</f>
        <v>#N/A</v>
      </c>
      <c r="I456" s="46" t="e">
        <f aca="true">IF((H456=1),0,$D$3+$D$5*(RAND()-0.5))</f>
        <v>#N/A</v>
      </c>
      <c r="J456" s="46" t="e">
        <f aca="false">I456+MAX(D456,J455)</f>
        <v>#N/A</v>
      </c>
      <c r="K456" s="46" t="e">
        <f aca="false">IF((H456=0),J456-D456,0)</f>
        <v>#N/A</v>
      </c>
      <c r="L456" s="46" t="e">
        <f aca="true">IF(($H456=0),0,$D$4+$D$5*(RAND()-0.5))</f>
        <v>#N/A</v>
      </c>
      <c r="M456" s="46" t="e">
        <f aca="false">L456+MAX(D456,M455)</f>
        <v>#N/A</v>
      </c>
      <c r="N456" s="46" t="e">
        <f aca="false">IF((H456=1),M456-D456,0)</f>
        <v>#N/A</v>
      </c>
      <c r="O456" s="29" t="n">
        <v>439</v>
      </c>
      <c r="P456" s="49" t="e">
        <f aca="false">IF((Arterial=0),P455+1,P455)</f>
        <v>#N/A</v>
      </c>
      <c r="Q456" s="49" t="e">
        <f aca="false">IF((Arterial=1),Q455+1,Q455)</f>
        <v>#N/A</v>
      </c>
      <c r="R456" s="50" t="n">
        <f aca="false">IF((RESET=1),0,R456+K456)</f>
        <v>0</v>
      </c>
      <c r="S456" s="19" t="n">
        <f aca="false">IF(RESET=1,0,S456+N456)</f>
        <v>0</v>
      </c>
      <c r="T456" s="0" t="n">
        <f aca="false">IF(RESET=1,0,T456+IF(H456=0,1,0))</f>
        <v>0</v>
      </c>
      <c r="U456" s="0" t="n">
        <f aca="false">IF(RESET=1,0,U456+H456)</f>
        <v>0</v>
      </c>
      <c r="V456" s="19" t="n">
        <f aca="false">R456/(T456+0.00001)</f>
        <v>0</v>
      </c>
      <c r="W456" s="19" t="n">
        <f aca="false">S456/(U456+0.0001)</f>
        <v>0</v>
      </c>
      <c r="X456" s="47" t="e">
        <f aca="false">IF(Informed=1,K456,0)</f>
        <v>#N/A</v>
      </c>
      <c r="Y456" s="47" t="n">
        <f aca="false">IF(Informed=0,K456,0)</f>
        <v>0</v>
      </c>
      <c r="Z456" s="47" t="e">
        <f aca="false">IF(Informed=1,N456,0)</f>
        <v>#N/A</v>
      </c>
      <c r="AA456" s="47" t="n">
        <f aca="false">IF(Informed=0,N456,0)</f>
        <v>0</v>
      </c>
      <c r="AB456" s="51" t="e">
        <f aca="false">IF(Arterial=0,IF(Informed=1,1,0),0)</f>
        <v>#N/A</v>
      </c>
      <c r="AC456" s="51" t="e">
        <f aca="false">IF(Arterial=0,IF(Informed=0,1,0),0)</f>
        <v>#N/A</v>
      </c>
      <c r="AD456" s="51" t="e">
        <f aca="false">IF(Arterial=1,IF(Informed=1,1,0),0)</f>
        <v>#N/A</v>
      </c>
      <c r="AE456" s="51" t="e">
        <f aca="false">IF(Arterial=1,IF(Informed=0,1,0),0)</f>
        <v>#N/A</v>
      </c>
      <c r="AF456" s="44" t="e">
        <f aca="false">IF(AB456=1,(X456-G$1030)^2,0)</f>
        <v>#N/A</v>
      </c>
      <c r="AG456" s="44" t="e">
        <f aca="false">IF(AC456=1,(Y456-H$1030)^2,0)</f>
        <v>#N/A</v>
      </c>
      <c r="AH456" s="44" t="e">
        <f aca="false">IF(AD456=1,(Z456-I$1030)^2,0)</f>
        <v>#N/A</v>
      </c>
      <c r="AI456" s="44" t="e">
        <f aca="false">IF(AE456=1,(AA456-J$1030)^2,0)</f>
        <v>#N/A</v>
      </c>
    </row>
    <row r="457" customFormat="false" ht="12" hidden="false" customHeight="false" outlineLevel="0" collapsed="false">
      <c r="A457" s="29" t="n">
        <v>440</v>
      </c>
      <c r="B457" s="45" t="n">
        <f aca="true">IF(RAND()&lt;$D$8,1,0)</f>
        <v>1</v>
      </c>
      <c r="C457" s="34" t="n">
        <f aca="true">-LN(RAND())/$D$2</f>
        <v>0.928287640884104</v>
      </c>
      <c r="D457" s="46" t="n">
        <f aca="false">D456+C457</f>
        <v>692.698811715305</v>
      </c>
      <c r="E457" s="47" t="e">
        <f aca="false">MAX($D$3,(1+P456-VLOOKUP(VALUE(D457),$J$18:$Q456,7,TRUE()))*$D$3)</f>
        <v>#N/A</v>
      </c>
      <c r="F457" s="47" t="e">
        <f aca="false">MAX($D$4,(1+Q456-VLOOKUP(VALUE(D457),$M$18:$Q456,5,TRUE()))*$D$4)</f>
        <v>#N/A</v>
      </c>
      <c r="G457" s="48" t="n">
        <v>0.5</v>
      </c>
      <c r="H457" s="46" t="e">
        <f aca="true">IF((B457=1),(IF((F457&lt;E457),1,(IF((F457=E457),(IF(RAND()&lt;G457,1,0)),0)))),(IF((RAND()&lt;G457),1,0)))</f>
        <v>#N/A</v>
      </c>
      <c r="I457" s="46" t="e">
        <f aca="true">IF((H457=1),0,$D$3+$D$5*(RAND()-0.5))</f>
        <v>#N/A</v>
      </c>
      <c r="J457" s="46" t="e">
        <f aca="false">I457+MAX(D457,J456)</f>
        <v>#N/A</v>
      </c>
      <c r="K457" s="46" t="e">
        <f aca="false">IF((H457=0),J457-D457,0)</f>
        <v>#N/A</v>
      </c>
      <c r="L457" s="46" t="e">
        <f aca="true">IF(($H457=0),0,$D$4+$D$5*(RAND()-0.5))</f>
        <v>#N/A</v>
      </c>
      <c r="M457" s="46" t="e">
        <f aca="false">L457+MAX(D457,M456)</f>
        <v>#N/A</v>
      </c>
      <c r="N457" s="46" t="e">
        <f aca="false">IF((H457=1),M457-D457,0)</f>
        <v>#N/A</v>
      </c>
      <c r="O457" s="29" t="n">
        <v>440</v>
      </c>
      <c r="P457" s="49" t="e">
        <f aca="false">IF((Arterial=0),P456+1,P456)</f>
        <v>#N/A</v>
      </c>
      <c r="Q457" s="49" t="e">
        <f aca="false">IF((Arterial=1),Q456+1,Q456)</f>
        <v>#N/A</v>
      </c>
      <c r="R457" s="50" t="n">
        <f aca="false">IF((RESET=1),0,R457+K457)</f>
        <v>0</v>
      </c>
      <c r="S457" s="19" t="n">
        <f aca="false">IF(RESET=1,0,S457+N457)</f>
        <v>0</v>
      </c>
      <c r="T457" s="0" t="n">
        <f aca="false">IF(RESET=1,0,T457+IF(H457=0,1,0))</f>
        <v>0</v>
      </c>
      <c r="U457" s="0" t="n">
        <f aca="false">IF(RESET=1,0,U457+H457)</f>
        <v>0</v>
      </c>
      <c r="V457" s="19" t="n">
        <f aca="false">R457/(T457+0.00001)</f>
        <v>0</v>
      </c>
      <c r="W457" s="19" t="n">
        <f aca="false">S457/(U457+0.0001)</f>
        <v>0</v>
      </c>
      <c r="X457" s="47" t="e">
        <f aca="false">IF(Informed=1,K457,0)</f>
        <v>#N/A</v>
      </c>
      <c r="Y457" s="47" t="n">
        <f aca="false">IF(Informed=0,K457,0)</f>
        <v>0</v>
      </c>
      <c r="Z457" s="47" t="e">
        <f aca="false">IF(Informed=1,N457,0)</f>
        <v>#N/A</v>
      </c>
      <c r="AA457" s="47" t="n">
        <f aca="false">IF(Informed=0,N457,0)</f>
        <v>0</v>
      </c>
      <c r="AB457" s="51" t="e">
        <f aca="false">IF(Arterial=0,IF(Informed=1,1,0),0)</f>
        <v>#N/A</v>
      </c>
      <c r="AC457" s="51" t="e">
        <f aca="false">IF(Arterial=0,IF(Informed=0,1,0),0)</f>
        <v>#N/A</v>
      </c>
      <c r="AD457" s="51" t="e">
        <f aca="false">IF(Arterial=1,IF(Informed=1,1,0),0)</f>
        <v>#N/A</v>
      </c>
      <c r="AE457" s="51" t="e">
        <f aca="false">IF(Arterial=1,IF(Informed=0,1,0),0)</f>
        <v>#N/A</v>
      </c>
      <c r="AF457" s="44" t="e">
        <f aca="false">IF(AB457=1,(X457-G$1030)^2,0)</f>
        <v>#N/A</v>
      </c>
      <c r="AG457" s="44" t="e">
        <f aca="false">IF(AC457=1,(Y457-H$1030)^2,0)</f>
        <v>#N/A</v>
      </c>
      <c r="AH457" s="44" t="e">
        <f aca="false">IF(AD457=1,(Z457-I$1030)^2,0)</f>
        <v>#N/A</v>
      </c>
      <c r="AI457" s="44" t="e">
        <f aca="false">IF(AE457=1,(AA457-J$1030)^2,0)</f>
        <v>#N/A</v>
      </c>
    </row>
    <row r="458" customFormat="false" ht="12" hidden="false" customHeight="false" outlineLevel="0" collapsed="false">
      <c r="A458" s="29" t="n">
        <v>441</v>
      </c>
      <c r="B458" s="45" t="n">
        <f aca="true">IF(RAND()&lt;$D$8,1,0)</f>
        <v>1</v>
      </c>
      <c r="C458" s="34" t="n">
        <f aca="true">-LN(RAND())/$D$2</f>
        <v>1.09876572541032</v>
      </c>
      <c r="D458" s="46" t="n">
        <f aca="false">D457+C458</f>
        <v>693.797577440716</v>
      </c>
      <c r="E458" s="47" t="e">
        <f aca="false">MAX($D$3,(1+P457-VLOOKUP(VALUE(D458),$J$18:$Q457,7,TRUE()))*$D$3)</f>
        <v>#N/A</v>
      </c>
      <c r="F458" s="47" t="e">
        <f aca="false">MAX($D$4,(1+Q457-VLOOKUP(VALUE(D458),$M$18:$Q457,5,TRUE()))*$D$4)</f>
        <v>#N/A</v>
      </c>
      <c r="G458" s="48" t="n">
        <v>0.5</v>
      </c>
      <c r="H458" s="46" t="e">
        <f aca="true">IF((B458=1),(IF((F458&lt;E458),1,(IF((F458=E458),(IF(RAND()&lt;G458,1,0)),0)))),(IF((RAND()&lt;G458),1,0)))</f>
        <v>#N/A</v>
      </c>
      <c r="I458" s="46" t="e">
        <f aca="true">IF((H458=1),0,$D$3+$D$5*(RAND()-0.5))</f>
        <v>#N/A</v>
      </c>
      <c r="J458" s="46" t="e">
        <f aca="false">I458+MAX(D458,J457)</f>
        <v>#N/A</v>
      </c>
      <c r="K458" s="46" t="e">
        <f aca="false">IF((H458=0),J458-D458,0)</f>
        <v>#N/A</v>
      </c>
      <c r="L458" s="46" t="e">
        <f aca="true">IF(($H458=0),0,$D$4+$D$5*(RAND()-0.5))</f>
        <v>#N/A</v>
      </c>
      <c r="M458" s="46" t="e">
        <f aca="false">L458+MAX(D458,M457)</f>
        <v>#N/A</v>
      </c>
      <c r="N458" s="46" t="e">
        <f aca="false">IF((H458=1),M458-D458,0)</f>
        <v>#N/A</v>
      </c>
      <c r="O458" s="29" t="n">
        <v>441</v>
      </c>
      <c r="P458" s="49" t="e">
        <f aca="false">IF((Arterial=0),P457+1,P457)</f>
        <v>#N/A</v>
      </c>
      <c r="Q458" s="49" t="e">
        <f aca="false">IF((Arterial=1),Q457+1,Q457)</f>
        <v>#N/A</v>
      </c>
      <c r="R458" s="50" t="n">
        <f aca="false">IF((RESET=1),0,R458+K458)</f>
        <v>0</v>
      </c>
      <c r="S458" s="19" t="n">
        <f aca="false">IF(RESET=1,0,S458+N458)</f>
        <v>0</v>
      </c>
      <c r="T458" s="0" t="n">
        <f aca="false">IF(RESET=1,0,T458+IF(H458=0,1,0))</f>
        <v>0</v>
      </c>
      <c r="U458" s="0" t="n">
        <f aca="false">IF(RESET=1,0,U458+H458)</f>
        <v>0</v>
      </c>
      <c r="V458" s="19" t="n">
        <f aca="false">R458/(T458+0.00001)</f>
        <v>0</v>
      </c>
      <c r="W458" s="19" t="n">
        <f aca="false">S458/(U458+0.0001)</f>
        <v>0</v>
      </c>
      <c r="X458" s="47" t="e">
        <f aca="false">IF(Informed=1,K458,0)</f>
        <v>#N/A</v>
      </c>
      <c r="Y458" s="47" t="n">
        <f aca="false">IF(Informed=0,K458,0)</f>
        <v>0</v>
      </c>
      <c r="Z458" s="47" t="e">
        <f aca="false">IF(Informed=1,N458,0)</f>
        <v>#N/A</v>
      </c>
      <c r="AA458" s="47" t="n">
        <f aca="false">IF(Informed=0,N458,0)</f>
        <v>0</v>
      </c>
      <c r="AB458" s="51" t="e">
        <f aca="false">IF(Arterial=0,IF(Informed=1,1,0),0)</f>
        <v>#N/A</v>
      </c>
      <c r="AC458" s="51" t="e">
        <f aca="false">IF(Arterial=0,IF(Informed=0,1,0),0)</f>
        <v>#N/A</v>
      </c>
      <c r="AD458" s="51" t="e">
        <f aca="false">IF(Arterial=1,IF(Informed=1,1,0),0)</f>
        <v>#N/A</v>
      </c>
      <c r="AE458" s="51" t="e">
        <f aca="false">IF(Arterial=1,IF(Informed=0,1,0),0)</f>
        <v>#N/A</v>
      </c>
      <c r="AF458" s="44" t="e">
        <f aca="false">IF(AB458=1,(X458-G$1030)^2,0)</f>
        <v>#N/A</v>
      </c>
      <c r="AG458" s="44" t="e">
        <f aca="false">IF(AC458=1,(Y458-H$1030)^2,0)</f>
        <v>#N/A</v>
      </c>
      <c r="AH458" s="44" t="e">
        <f aca="false">IF(AD458=1,(Z458-I$1030)^2,0)</f>
        <v>#N/A</v>
      </c>
      <c r="AI458" s="44" t="e">
        <f aca="false">IF(AE458=1,(AA458-J$1030)^2,0)</f>
        <v>#N/A</v>
      </c>
    </row>
    <row r="459" customFormat="false" ht="12" hidden="false" customHeight="false" outlineLevel="0" collapsed="false">
      <c r="A459" s="29" t="n">
        <v>442</v>
      </c>
      <c r="B459" s="45" t="n">
        <f aca="true">IF(RAND()&lt;$D$8,1,0)</f>
        <v>1</v>
      </c>
      <c r="C459" s="34" t="n">
        <f aca="true">-LN(RAND())/$D$2</f>
        <v>0.432275470356218</v>
      </c>
      <c r="D459" s="46" t="n">
        <f aca="false">D458+C459</f>
        <v>694.229852911072</v>
      </c>
      <c r="E459" s="47" t="e">
        <f aca="false">MAX($D$3,(1+P458-VLOOKUP(VALUE(D459),$J$18:$Q458,7,TRUE()))*$D$3)</f>
        <v>#N/A</v>
      </c>
      <c r="F459" s="47" t="e">
        <f aca="false">MAX($D$4,(1+Q458-VLOOKUP(VALUE(D459),$M$18:$Q458,5,TRUE()))*$D$4)</f>
        <v>#N/A</v>
      </c>
      <c r="G459" s="48" t="n">
        <v>0.5</v>
      </c>
      <c r="H459" s="46" t="e">
        <f aca="true">IF((B459=1),(IF((F459&lt;E459),1,(IF((F459=E459),(IF(RAND()&lt;G459,1,0)),0)))),(IF((RAND()&lt;G459),1,0)))</f>
        <v>#N/A</v>
      </c>
      <c r="I459" s="46" t="e">
        <f aca="true">IF((H459=1),0,$D$3+$D$5*(RAND()-0.5))</f>
        <v>#N/A</v>
      </c>
      <c r="J459" s="46" t="e">
        <f aca="false">I459+MAX(D459,J458)</f>
        <v>#N/A</v>
      </c>
      <c r="K459" s="46" t="e">
        <f aca="false">IF((H459=0),J459-D459,0)</f>
        <v>#N/A</v>
      </c>
      <c r="L459" s="46" t="e">
        <f aca="true">IF(($H459=0),0,$D$4+$D$5*(RAND()-0.5))</f>
        <v>#N/A</v>
      </c>
      <c r="M459" s="46" t="e">
        <f aca="false">L459+MAX(D459,M458)</f>
        <v>#N/A</v>
      </c>
      <c r="N459" s="46" t="e">
        <f aca="false">IF((H459=1),M459-D459,0)</f>
        <v>#N/A</v>
      </c>
      <c r="O459" s="29" t="n">
        <v>442</v>
      </c>
      <c r="P459" s="49" t="e">
        <f aca="false">IF((Arterial=0),P458+1,P458)</f>
        <v>#N/A</v>
      </c>
      <c r="Q459" s="49" t="e">
        <f aca="false">IF((Arterial=1),Q458+1,Q458)</f>
        <v>#N/A</v>
      </c>
      <c r="R459" s="50" t="n">
        <f aca="false">IF((RESET=1),0,R459+K459)</f>
        <v>0</v>
      </c>
      <c r="S459" s="19" t="n">
        <f aca="false">IF(RESET=1,0,S459+N459)</f>
        <v>0</v>
      </c>
      <c r="T459" s="0" t="n">
        <f aca="false">IF(RESET=1,0,T459+IF(H459=0,1,0))</f>
        <v>0</v>
      </c>
      <c r="U459" s="0" t="n">
        <f aca="false">IF(RESET=1,0,U459+H459)</f>
        <v>0</v>
      </c>
      <c r="V459" s="19" t="n">
        <f aca="false">R459/(T459+0.00001)</f>
        <v>0</v>
      </c>
      <c r="W459" s="19" t="n">
        <f aca="false">S459/(U459+0.0001)</f>
        <v>0</v>
      </c>
      <c r="X459" s="47" t="e">
        <f aca="false">IF(Informed=1,K459,0)</f>
        <v>#N/A</v>
      </c>
      <c r="Y459" s="47" t="n">
        <f aca="false">IF(Informed=0,K459,0)</f>
        <v>0</v>
      </c>
      <c r="Z459" s="47" t="e">
        <f aca="false">IF(Informed=1,N459,0)</f>
        <v>#N/A</v>
      </c>
      <c r="AA459" s="47" t="n">
        <f aca="false">IF(Informed=0,N459,0)</f>
        <v>0</v>
      </c>
      <c r="AB459" s="51" t="e">
        <f aca="false">IF(Arterial=0,IF(Informed=1,1,0),0)</f>
        <v>#N/A</v>
      </c>
      <c r="AC459" s="51" t="e">
        <f aca="false">IF(Arterial=0,IF(Informed=0,1,0),0)</f>
        <v>#N/A</v>
      </c>
      <c r="AD459" s="51" t="e">
        <f aca="false">IF(Arterial=1,IF(Informed=1,1,0),0)</f>
        <v>#N/A</v>
      </c>
      <c r="AE459" s="51" t="e">
        <f aca="false">IF(Arterial=1,IF(Informed=0,1,0),0)</f>
        <v>#N/A</v>
      </c>
      <c r="AF459" s="44" t="e">
        <f aca="false">IF(AB459=1,(X459-G$1030)^2,0)</f>
        <v>#N/A</v>
      </c>
      <c r="AG459" s="44" t="e">
        <f aca="false">IF(AC459=1,(Y459-H$1030)^2,0)</f>
        <v>#N/A</v>
      </c>
      <c r="AH459" s="44" t="e">
        <f aca="false">IF(AD459=1,(Z459-I$1030)^2,0)</f>
        <v>#N/A</v>
      </c>
      <c r="AI459" s="44" t="e">
        <f aca="false">IF(AE459=1,(AA459-J$1030)^2,0)</f>
        <v>#N/A</v>
      </c>
    </row>
    <row r="460" customFormat="false" ht="12" hidden="false" customHeight="false" outlineLevel="0" collapsed="false">
      <c r="A460" s="29" t="n">
        <v>443</v>
      </c>
      <c r="B460" s="45" t="n">
        <f aca="true">IF(RAND()&lt;$D$8,1,0)</f>
        <v>1</v>
      </c>
      <c r="C460" s="34" t="n">
        <f aca="true">-LN(RAND())/$D$2</f>
        <v>1.09919169612991</v>
      </c>
      <c r="D460" s="46" t="n">
        <f aca="false">D459+C460</f>
        <v>695.329044607202</v>
      </c>
      <c r="E460" s="47" t="e">
        <f aca="false">MAX($D$3,(1+P459-VLOOKUP(VALUE(D460),$J$18:$Q459,7,TRUE()))*$D$3)</f>
        <v>#N/A</v>
      </c>
      <c r="F460" s="47" t="e">
        <f aca="false">MAX($D$4,(1+Q459-VLOOKUP(VALUE(D460),$M$18:$Q459,5,TRUE()))*$D$4)</f>
        <v>#N/A</v>
      </c>
      <c r="G460" s="48" t="n">
        <v>0.5</v>
      </c>
      <c r="H460" s="46" t="e">
        <f aca="true">IF((B460=1),(IF((F460&lt;E460),1,(IF((F460=E460),(IF(RAND()&lt;G460,1,0)),0)))),(IF((RAND()&lt;G460),1,0)))</f>
        <v>#N/A</v>
      </c>
      <c r="I460" s="46" t="e">
        <f aca="true">IF((H460=1),0,$D$3+$D$5*(RAND()-0.5))</f>
        <v>#N/A</v>
      </c>
      <c r="J460" s="46" t="e">
        <f aca="false">I460+MAX(D460,J459)</f>
        <v>#N/A</v>
      </c>
      <c r="K460" s="46" t="e">
        <f aca="false">IF((H460=0),J460-D460,0)</f>
        <v>#N/A</v>
      </c>
      <c r="L460" s="46" t="e">
        <f aca="true">IF(($H460=0),0,$D$4+$D$5*(RAND()-0.5))</f>
        <v>#N/A</v>
      </c>
      <c r="M460" s="46" t="e">
        <f aca="false">L460+MAX(D460,M459)</f>
        <v>#N/A</v>
      </c>
      <c r="N460" s="46" t="e">
        <f aca="false">IF((H460=1),M460-D460,0)</f>
        <v>#N/A</v>
      </c>
      <c r="O460" s="29" t="n">
        <v>443</v>
      </c>
      <c r="P460" s="49" t="e">
        <f aca="false">IF((Arterial=0),P459+1,P459)</f>
        <v>#N/A</v>
      </c>
      <c r="Q460" s="49" t="e">
        <f aca="false">IF((Arterial=1),Q459+1,Q459)</f>
        <v>#N/A</v>
      </c>
      <c r="R460" s="50" t="n">
        <f aca="false">IF((RESET=1),0,R460+K460)</f>
        <v>0</v>
      </c>
      <c r="S460" s="19" t="n">
        <f aca="false">IF(RESET=1,0,S460+N460)</f>
        <v>0</v>
      </c>
      <c r="T460" s="0" t="n">
        <f aca="false">IF(RESET=1,0,T460+IF(H460=0,1,0))</f>
        <v>0</v>
      </c>
      <c r="U460" s="0" t="n">
        <f aca="false">IF(RESET=1,0,U460+H460)</f>
        <v>0</v>
      </c>
      <c r="V460" s="19" t="n">
        <f aca="false">R460/(T460+0.00001)</f>
        <v>0</v>
      </c>
      <c r="W460" s="19" t="n">
        <f aca="false">S460/(U460+0.0001)</f>
        <v>0</v>
      </c>
      <c r="X460" s="47" t="e">
        <f aca="false">IF(Informed=1,K460,0)</f>
        <v>#N/A</v>
      </c>
      <c r="Y460" s="47" t="n">
        <f aca="false">IF(Informed=0,K460,0)</f>
        <v>0</v>
      </c>
      <c r="Z460" s="47" t="e">
        <f aca="false">IF(Informed=1,N460,0)</f>
        <v>#N/A</v>
      </c>
      <c r="AA460" s="47" t="n">
        <f aca="false">IF(Informed=0,N460,0)</f>
        <v>0</v>
      </c>
      <c r="AB460" s="51" t="e">
        <f aca="false">IF(Arterial=0,IF(Informed=1,1,0),0)</f>
        <v>#N/A</v>
      </c>
      <c r="AC460" s="51" t="e">
        <f aca="false">IF(Arterial=0,IF(Informed=0,1,0),0)</f>
        <v>#N/A</v>
      </c>
      <c r="AD460" s="51" t="e">
        <f aca="false">IF(Arterial=1,IF(Informed=1,1,0),0)</f>
        <v>#N/A</v>
      </c>
      <c r="AE460" s="51" t="e">
        <f aca="false">IF(Arterial=1,IF(Informed=0,1,0),0)</f>
        <v>#N/A</v>
      </c>
      <c r="AF460" s="44" t="e">
        <f aca="false">IF(AB460=1,(X460-G$1030)^2,0)</f>
        <v>#N/A</v>
      </c>
      <c r="AG460" s="44" t="e">
        <f aca="false">IF(AC460=1,(Y460-H$1030)^2,0)</f>
        <v>#N/A</v>
      </c>
      <c r="AH460" s="44" t="e">
        <f aca="false">IF(AD460=1,(Z460-I$1030)^2,0)</f>
        <v>#N/A</v>
      </c>
      <c r="AI460" s="44" t="e">
        <f aca="false">IF(AE460=1,(AA460-J$1030)^2,0)</f>
        <v>#N/A</v>
      </c>
    </row>
    <row r="461" customFormat="false" ht="12" hidden="false" customHeight="false" outlineLevel="0" collapsed="false">
      <c r="A461" s="29" t="n">
        <v>444</v>
      </c>
      <c r="B461" s="45" t="n">
        <f aca="true">IF(RAND()&lt;$D$8,1,0)</f>
        <v>1</v>
      </c>
      <c r="C461" s="34" t="n">
        <f aca="true">-LN(RAND())/$D$2</f>
        <v>4.04333164045779</v>
      </c>
      <c r="D461" s="46" t="n">
        <f aca="false">D460+C461</f>
        <v>699.37237624766</v>
      </c>
      <c r="E461" s="47" t="e">
        <f aca="false">MAX($D$3,(1+P460-VLOOKUP(VALUE(D461),$J$18:$Q460,7,TRUE()))*$D$3)</f>
        <v>#N/A</v>
      </c>
      <c r="F461" s="47" t="e">
        <f aca="false">MAX($D$4,(1+Q460-VLOOKUP(VALUE(D461),$M$18:$Q460,5,TRUE()))*$D$4)</f>
        <v>#N/A</v>
      </c>
      <c r="G461" s="48" t="n">
        <v>0.5</v>
      </c>
      <c r="H461" s="46" t="e">
        <f aca="true">IF((B461=1),(IF((F461&lt;E461),1,(IF((F461=E461),(IF(RAND()&lt;G461,1,0)),0)))),(IF((RAND()&lt;G461),1,0)))</f>
        <v>#N/A</v>
      </c>
      <c r="I461" s="46" t="e">
        <f aca="true">IF((H461=1),0,$D$3+$D$5*(RAND()-0.5))</f>
        <v>#N/A</v>
      </c>
      <c r="J461" s="46" t="e">
        <f aca="false">I461+MAX(D461,J460)</f>
        <v>#N/A</v>
      </c>
      <c r="K461" s="46" t="e">
        <f aca="false">IF((H461=0),J461-D461,0)</f>
        <v>#N/A</v>
      </c>
      <c r="L461" s="46" t="e">
        <f aca="true">IF(($H461=0),0,$D$4+$D$5*(RAND()-0.5))</f>
        <v>#N/A</v>
      </c>
      <c r="M461" s="46" t="e">
        <f aca="false">L461+MAX(D461,M460)</f>
        <v>#N/A</v>
      </c>
      <c r="N461" s="46" t="e">
        <f aca="false">IF((H461=1),M461-D461,0)</f>
        <v>#N/A</v>
      </c>
      <c r="O461" s="29" t="n">
        <v>444</v>
      </c>
      <c r="P461" s="49" t="e">
        <f aca="false">IF((Arterial=0),P460+1,P460)</f>
        <v>#N/A</v>
      </c>
      <c r="Q461" s="49" t="e">
        <f aca="false">IF((Arterial=1),Q460+1,Q460)</f>
        <v>#N/A</v>
      </c>
      <c r="R461" s="50" t="n">
        <f aca="false">IF((RESET=1),0,R461+K461)</f>
        <v>0</v>
      </c>
      <c r="S461" s="19" t="n">
        <f aca="false">IF(RESET=1,0,S461+N461)</f>
        <v>0</v>
      </c>
      <c r="T461" s="0" t="n">
        <f aca="false">IF(RESET=1,0,T461+IF(H461=0,1,0))</f>
        <v>0</v>
      </c>
      <c r="U461" s="0" t="n">
        <f aca="false">IF(RESET=1,0,U461+H461)</f>
        <v>0</v>
      </c>
      <c r="V461" s="19" t="n">
        <f aca="false">R461/(T461+0.00001)</f>
        <v>0</v>
      </c>
      <c r="W461" s="19" t="n">
        <f aca="false">S461/(U461+0.0001)</f>
        <v>0</v>
      </c>
      <c r="X461" s="47" t="e">
        <f aca="false">IF(Informed=1,K461,0)</f>
        <v>#N/A</v>
      </c>
      <c r="Y461" s="47" t="n">
        <f aca="false">IF(Informed=0,K461,0)</f>
        <v>0</v>
      </c>
      <c r="Z461" s="47" t="e">
        <f aca="false">IF(Informed=1,N461,0)</f>
        <v>#N/A</v>
      </c>
      <c r="AA461" s="47" t="n">
        <f aca="false">IF(Informed=0,N461,0)</f>
        <v>0</v>
      </c>
      <c r="AB461" s="51" t="e">
        <f aca="false">IF(Arterial=0,IF(Informed=1,1,0),0)</f>
        <v>#N/A</v>
      </c>
      <c r="AC461" s="51" t="e">
        <f aca="false">IF(Arterial=0,IF(Informed=0,1,0),0)</f>
        <v>#N/A</v>
      </c>
      <c r="AD461" s="51" t="e">
        <f aca="false">IF(Arterial=1,IF(Informed=1,1,0),0)</f>
        <v>#N/A</v>
      </c>
      <c r="AE461" s="51" t="e">
        <f aca="false">IF(Arterial=1,IF(Informed=0,1,0),0)</f>
        <v>#N/A</v>
      </c>
      <c r="AF461" s="44" t="e">
        <f aca="false">IF(AB461=1,(X461-G$1030)^2,0)</f>
        <v>#N/A</v>
      </c>
      <c r="AG461" s="44" t="e">
        <f aca="false">IF(AC461=1,(Y461-H$1030)^2,0)</f>
        <v>#N/A</v>
      </c>
      <c r="AH461" s="44" t="e">
        <f aca="false">IF(AD461=1,(Z461-I$1030)^2,0)</f>
        <v>#N/A</v>
      </c>
      <c r="AI461" s="44" t="e">
        <f aca="false">IF(AE461=1,(AA461-J$1030)^2,0)</f>
        <v>#N/A</v>
      </c>
    </row>
    <row r="462" customFormat="false" ht="12" hidden="false" customHeight="false" outlineLevel="0" collapsed="false">
      <c r="A462" s="29" t="n">
        <v>445</v>
      </c>
      <c r="B462" s="45" t="n">
        <f aca="true">IF(RAND()&lt;$D$8,1,0)</f>
        <v>1</v>
      </c>
      <c r="C462" s="34" t="n">
        <f aca="true">-LN(RAND())/$D$2</f>
        <v>0.0683362709047168</v>
      </c>
      <c r="D462" s="46" t="n">
        <f aca="false">D461+C462</f>
        <v>699.440712518564</v>
      </c>
      <c r="E462" s="47" t="e">
        <f aca="false">MAX($D$3,(1+P461-VLOOKUP(VALUE(D462),$J$18:$Q461,7,TRUE()))*$D$3)</f>
        <v>#N/A</v>
      </c>
      <c r="F462" s="47" t="e">
        <f aca="false">MAX($D$4,(1+Q461-VLOOKUP(VALUE(D462),$M$18:$Q461,5,TRUE()))*$D$4)</f>
        <v>#N/A</v>
      </c>
      <c r="G462" s="48" t="n">
        <v>0.5</v>
      </c>
      <c r="H462" s="46" t="e">
        <f aca="true">IF((B462=1),(IF((F462&lt;E462),1,(IF((F462=E462),(IF(RAND()&lt;G462,1,0)),0)))),(IF((RAND()&lt;G462),1,0)))</f>
        <v>#N/A</v>
      </c>
      <c r="I462" s="46" t="e">
        <f aca="true">IF((H462=1),0,$D$3+$D$5*(RAND()-0.5))</f>
        <v>#N/A</v>
      </c>
      <c r="J462" s="46" t="e">
        <f aca="false">I462+MAX(D462,J461)</f>
        <v>#N/A</v>
      </c>
      <c r="K462" s="46" t="e">
        <f aca="false">IF((H462=0),J462-D462,0)</f>
        <v>#N/A</v>
      </c>
      <c r="L462" s="46" t="e">
        <f aca="true">IF(($H462=0),0,$D$4+$D$5*(RAND()-0.5))</f>
        <v>#N/A</v>
      </c>
      <c r="M462" s="46" t="e">
        <f aca="false">L462+MAX(D462,M461)</f>
        <v>#N/A</v>
      </c>
      <c r="N462" s="46" t="e">
        <f aca="false">IF((H462=1),M462-D462,0)</f>
        <v>#N/A</v>
      </c>
      <c r="O462" s="29" t="n">
        <v>445</v>
      </c>
      <c r="P462" s="49" t="e">
        <f aca="false">IF((Arterial=0),P461+1,P461)</f>
        <v>#N/A</v>
      </c>
      <c r="Q462" s="49" t="e">
        <f aca="false">IF((Arterial=1),Q461+1,Q461)</f>
        <v>#N/A</v>
      </c>
      <c r="R462" s="50" t="n">
        <f aca="false">IF((RESET=1),0,R462+K462)</f>
        <v>0</v>
      </c>
      <c r="S462" s="19" t="n">
        <f aca="false">IF(RESET=1,0,S462+N462)</f>
        <v>0</v>
      </c>
      <c r="T462" s="0" t="n">
        <f aca="false">IF(RESET=1,0,T462+IF(H462=0,1,0))</f>
        <v>0</v>
      </c>
      <c r="U462" s="0" t="n">
        <f aca="false">IF(RESET=1,0,U462+H462)</f>
        <v>0</v>
      </c>
      <c r="V462" s="19" t="n">
        <f aca="false">R462/(T462+0.00001)</f>
        <v>0</v>
      </c>
      <c r="W462" s="19" t="n">
        <f aca="false">S462/(U462+0.0001)</f>
        <v>0</v>
      </c>
      <c r="X462" s="47" t="e">
        <f aca="false">IF(Informed=1,K462,0)</f>
        <v>#N/A</v>
      </c>
      <c r="Y462" s="47" t="n">
        <f aca="false">IF(Informed=0,K462,0)</f>
        <v>0</v>
      </c>
      <c r="Z462" s="47" t="e">
        <f aca="false">IF(Informed=1,N462,0)</f>
        <v>#N/A</v>
      </c>
      <c r="AA462" s="47" t="n">
        <f aca="false">IF(Informed=0,N462,0)</f>
        <v>0</v>
      </c>
      <c r="AB462" s="51" t="e">
        <f aca="false">IF(Arterial=0,IF(Informed=1,1,0),0)</f>
        <v>#N/A</v>
      </c>
      <c r="AC462" s="51" t="e">
        <f aca="false">IF(Arterial=0,IF(Informed=0,1,0),0)</f>
        <v>#N/A</v>
      </c>
      <c r="AD462" s="51" t="e">
        <f aca="false">IF(Arterial=1,IF(Informed=1,1,0),0)</f>
        <v>#N/A</v>
      </c>
      <c r="AE462" s="51" t="e">
        <f aca="false">IF(Arterial=1,IF(Informed=0,1,0),0)</f>
        <v>#N/A</v>
      </c>
      <c r="AF462" s="44" t="e">
        <f aca="false">IF(AB462=1,(X462-G$1030)^2,0)</f>
        <v>#N/A</v>
      </c>
      <c r="AG462" s="44" t="e">
        <f aca="false">IF(AC462=1,(Y462-H$1030)^2,0)</f>
        <v>#N/A</v>
      </c>
      <c r="AH462" s="44" t="e">
        <f aca="false">IF(AD462=1,(Z462-I$1030)^2,0)</f>
        <v>#N/A</v>
      </c>
      <c r="AI462" s="44" t="e">
        <f aca="false">IF(AE462=1,(AA462-J$1030)^2,0)</f>
        <v>#N/A</v>
      </c>
    </row>
    <row r="463" customFormat="false" ht="12" hidden="false" customHeight="false" outlineLevel="0" collapsed="false">
      <c r="A463" s="29" t="n">
        <v>446</v>
      </c>
      <c r="B463" s="45" t="n">
        <f aca="true">IF(RAND()&lt;$D$8,1,0)</f>
        <v>1</v>
      </c>
      <c r="C463" s="34" t="n">
        <f aca="true">-LN(RAND())/$D$2</f>
        <v>0.0484945602608718</v>
      </c>
      <c r="D463" s="46" t="n">
        <f aca="false">D462+C463</f>
        <v>699.489207078825</v>
      </c>
      <c r="E463" s="47" t="e">
        <f aca="false">MAX($D$3,(1+P462-VLOOKUP(VALUE(D463),$J$18:$Q462,7,TRUE()))*$D$3)</f>
        <v>#N/A</v>
      </c>
      <c r="F463" s="47" t="e">
        <f aca="false">MAX($D$4,(1+Q462-VLOOKUP(VALUE(D463),$M$18:$Q462,5,TRUE()))*$D$4)</f>
        <v>#N/A</v>
      </c>
      <c r="G463" s="48" t="n">
        <v>0.5</v>
      </c>
      <c r="H463" s="46" t="e">
        <f aca="true">IF((B463=1),(IF((F463&lt;E463),1,(IF((F463=E463),(IF(RAND()&lt;G463,1,0)),0)))),(IF((RAND()&lt;G463),1,0)))</f>
        <v>#N/A</v>
      </c>
      <c r="I463" s="46" t="e">
        <f aca="true">IF((H463=1),0,$D$3+$D$5*(RAND()-0.5))</f>
        <v>#N/A</v>
      </c>
      <c r="J463" s="46" t="e">
        <f aca="false">I463+MAX(D463,J462)</f>
        <v>#N/A</v>
      </c>
      <c r="K463" s="46" t="e">
        <f aca="false">IF((H463=0),J463-D463,0)</f>
        <v>#N/A</v>
      </c>
      <c r="L463" s="46" t="e">
        <f aca="true">IF(($H463=0),0,$D$4+$D$5*(RAND()-0.5))</f>
        <v>#N/A</v>
      </c>
      <c r="M463" s="46" t="e">
        <f aca="false">L463+MAX(D463,M462)</f>
        <v>#N/A</v>
      </c>
      <c r="N463" s="46" t="e">
        <f aca="false">IF((H463=1),M463-D463,0)</f>
        <v>#N/A</v>
      </c>
      <c r="O463" s="29" t="n">
        <v>446</v>
      </c>
      <c r="P463" s="49" t="e">
        <f aca="false">IF((Arterial=0),P462+1,P462)</f>
        <v>#N/A</v>
      </c>
      <c r="Q463" s="49" t="e">
        <f aca="false">IF((Arterial=1),Q462+1,Q462)</f>
        <v>#N/A</v>
      </c>
      <c r="R463" s="50" t="n">
        <f aca="false">IF((RESET=1),0,R463+K463)</f>
        <v>0</v>
      </c>
      <c r="S463" s="19" t="n">
        <f aca="false">IF(RESET=1,0,S463+N463)</f>
        <v>0</v>
      </c>
      <c r="T463" s="0" t="n">
        <f aca="false">IF(RESET=1,0,T463+IF(H463=0,1,0))</f>
        <v>0</v>
      </c>
      <c r="U463" s="0" t="n">
        <f aca="false">IF(RESET=1,0,U463+H463)</f>
        <v>0</v>
      </c>
      <c r="V463" s="19" t="n">
        <f aca="false">R463/(T463+0.00001)</f>
        <v>0</v>
      </c>
      <c r="W463" s="19" t="n">
        <f aca="false">S463/(U463+0.0001)</f>
        <v>0</v>
      </c>
      <c r="X463" s="47" t="e">
        <f aca="false">IF(Informed=1,K463,0)</f>
        <v>#N/A</v>
      </c>
      <c r="Y463" s="47" t="n">
        <f aca="false">IF(Informed=0,K463,0)</f>
        <v>0</v>
      </c>
      <c r="Z463" s="47" t="e">
        <f aca="false">IF(Informed=1,N463,0)</f>
        <v>#N/A</v>
      </c>
      <c r="AA463" s="47" t="n">
        <f aca="false">IF(Informed=0,N463,0)</f>
        <v>0</v>
      </c>
      <c r="AB463" s="51" t="e">
        <f aca="false">IF(Arterial=0,IF(Informed=1,1,0),0)</f>
        <v>#N/A</v>
      </c>
      <c r="AC463" s="51" t="e">
        <f aca="false">IF(Arterial=0,IF(Informed=0,1,0),0)</f>
        <v>#N/A</v>
      </c>
      <c r="AD463" s="51" t="e">
        <f aca="false">IF(Arterial=1,IF(Informed=1,1,0),0)</f>
        <v>#N/A</v>
      </c>
      <c r="AE463" s="51" t="e">
        <f aca="false">IF(Arterial=1,IF(Informed=0,1,0),0)</f>
        <v>#N/A</v>
      </c>
      <c r="AF463" s="44" t="e">
        <f aca="false">IF(AB463=1,(X463-G$1030)^2,0)</f>
        <v>#N/A</v>
      </c>
      <c r="AG463" s="44" t="e">
        <f aca="false">IF(AC463=1,(Y463-H$1030)^2,0)</f>
        <v>#N/A</v>
      </c>
      <c r="AH463" s="44" t="e">
        <f aca="false">IF(AD463=1,(Z463-I$1030)^2,0)</f>
        <v>#N/A</v>
      </c>
      <c r="AI463" s="44" t="e">
        <f aca="false">IF(AE463=1,(AA463-J$1030)^2,0)</f>
        <v>#N/A</v>
      </c>
    </row>
    <row r="464" customFormat="false" ht="12" hidden="false" customHeight="false" outlineLevel="0" collapsed="false">
      <c r="A464" s="29" t="n">
        <v>447</v>
      </c>
      <c r="B464" s="45" t="n">
        <f aca="true">IF(RAND()&lt;$D$8,1,0)</f>
        <v>1</v>
      </c>
      <c r="C464" s="34" t="n">
        <f aca="true">-LN(RAND())/$D$2</f>
        <v>1.16767408047423</v>
      </c>
      <c r="D464" s="46" t="n">
        <f aca="false">D463+C464</f>
        <v>700.6568811593</v>
      </c>
      <c r="E464" s="47" t="e">
        <f aca="false">MAX($D$3,(1+P463-VLOOKUP(VALUE(D464),$J$18:$Q463,7,TRUE()))*$D$3)</f>
        <v>#N/A</v>
      </c>
      <c r="F464" s="47" t="e">
        <f aca="false">MAX($D$4,(1+Q463-VLOOKUP(VALUE(D464),$M$18:$Q463,5,TRUE()))*$D$4)</f>
        <v>#N/A</v>
      </c>
      <c r="G464" s="48" t="n">
        <v>0.5</v>
      </c>
      <c r="H464" s="46" t="e">
        <f aca="true">IF((B464=1),(IF((F464&lt;E464),1,(IF((F464=E464),(IF(RAND()&lt;G464,1,0)),0)))),(IF((RAND()&lt;G464),1,0)))</f>
        <v>#N/A</v>
      </c>
      <c r="I464" s="46" t="e">
        <f aca="true">IF((H464=1),0,$D$3+$D$5*(RAND()-0.5))</f>
        <v>#N/A</v>
      </c>
      <c r="J464" s="46" t="e">
        <f aca="false">I464+MAX(D464,J463)</f>
        <v>#N/A</v>
      </c>
      <c r="K464" s="46" t="e">
        <f aca="false">IF((H464=0),J464-D464,0)</f>
        <v>#N/A</v>
      </c>
      <c r="L464" s="46" t="e">
        <f aca="true">IF(($H464=0),0,$D$4+$D$5*(RAND()-0.5))</f>
        <v>#N/A</v>
      </c>
      <c r="M464" s="46" t="e">
        <f aca="false">L464+MAX(D464,M463)</f>
        <v>#N/A</v>
      </c>
      <c r="N464" s="46" t="e">
        <f aca="false">IF((H464=1),M464-D464,0)</f>
        <v>#N/A</v>
      </c>
      <c r="O464" s="29" t="n">
        <v>447</v>
      </c>
      <c r="P464" s="49" t="e">
        <f aca="false">IF((Arterial=0),P463+1,P463)</f>
        <v>#N/A</v>
      </c>
      <c r="Q464" s="49" t="e">
        <f aca="false">IF((Arterial=1),Q463+1,Q463)</f>
        <v>#N/A</v>
      </c>
      <c r="R464" s="50" t="n">
        <f aca="false">IF((RESET=1),0,R464+K464)</f>
        <v>0</v>
      </c>
      <c r="S464" s="19" t="n">
        <f aca="false">IF(RESET=1,0,S464+N464)</f>
        <v>0</v>
      </c>
      <c r="T464" s="0" t="n">
        <f aca="false">IF(RESET=1,0,T464+IF(H464=0,1,0))</f>
        <v>0</v>
      </c>
      <c r="U464" s="0" t="n">
        <f aca="false">IF(RESET=1,0,U464+H464)</f>
        <v>0</v>
      </c>
      <c r="V464" s="19" t="n">
        <f aca="false">R464/(T464+0.00001)</f>
        <v>0</v>
      </c>
      <c r="W464" s="19" t="n">
        <f aca="false">S464/(U464+0.0001)</f>
        <v>0</v>
      </c>
      <c r="X464" s="47" t="e">
        <f aca="false">IF(Informed=1,K464,0)</f>
        <v>#N/A</v>
      </c>
      <c r="Y464" s="47" t="n">
        <f aca="false">IF(Informed=0,K464,0)</f>
        <v>0</v>
      </c>
      <c r="Z464" s="47" t="e">
        <f aca="false">IF(Informed=1,N464,0)</f>
        <v>#N/A</v>
      </c>
      <c r="AA464" s="47" t="n">
        <f aca="false">IF(Informed=0,N464,0)</f>
        <v>0</v>
      </c>
      <c r="AB464" s="51" t="e">
        <f aca="false">IF(Arterial=0,IF(Informed=1,1,0),0)</f>
        <v>#N/A</v>
      </c>
      <c r="AC464" s="51" t="e">
        <f aca="false">IF(Arterial=0,IF(Informed=0,1,0),0)</f>
        <v>#N/A</v>
      </c>
      <c r="AD464" s="51" t="e">
        <f aca="false">IF(Arterial=1,IF(Informed=1,1,0),0)</f>
        <v>#N/A</v>
      </c>
      <c r="AE464" s="51" t="e">
        <f aca="false">IF(Arterial=1,IF(Informed=0,1,0),0)</f>
        <v>#N/A</v>
      </c>
      <c r="AF464" s="44" t="e">
        <f aca="false">IF(AB464=1,(X464-G$1030)^2,0)</f>
        <v>#N/A</v>
      </c>
      <c r="AG464" s="44" t="e">
        <f aca="false">IF(AC464=1,(Y464-H$1030)^2,0)</f>
        <v>#N/A</v>
      </c>
      <c r="AH464" s="44" t="e">
        <f aca="false">IF(AD464=1,(Z464-I$1030)^2,0)</f>
        <v>#N/A</v>
      </c>
      <c r="AI464" s="44" t="e">
        <f aca="false">IF(AE464=1,(AA464-J$1030)^2,0)</f>
        <v>#N/A</v>
      </c>
    </row>
    <row r="465" customFormat="false" ht="12" hidden="false" customHeight="false" outlineLevel="0" collapsed="false">
      <c r="A465" s="29" t="n">
        <v>448</v>
      </c>
      <c r="B465" s="45" t="n">
        <f aca="true">IF(RAND()&lt;$D$8,1,0)</f>
        <v>1</v>
      </c>
      <c r="C465" s="34" t="n">
        <f aca="true">-LN(RAND())/$D$2</f>
        <v>0.818296213275019</v>
      </c>
      <c r="D465" s="46" t="n">
        <f aca="false">D464+C465</f>
        <v>701.475177372575</v>
      </c>
      <c r="E465" s="47" t="e">
        <f aca="false">MAX($D$3,(1+P464-VLOOKUP(VALUE(D465),$J$18:$Q464,7,TRUE()))*$D$3)</f>
        <v>#N/A</v>
      </c>
      <c r="F465" s="47" t="e">
        <f aca="false">MAX($D$4,(1+Q464-VLOOKUP(VALUE(D465),$M$18:$Q464,5,TRUE()))*$D$4)</f>
        <v>#N/A</v>
      </c>
      <c r="G465" s="48" t="n">
        <v>0.5</v>
      </c>
      <c r="H465" s="46" t="e">
        <f aca="true">IF((B465=1),(IF((F465&lt;E465),1,(IF((F465=E465),(IF(RAND()&lt;G465,1,0)),0)))),(IF((RAND()&lt;G465),1,0)))</f>
        <v>#N/A</v>
      </c>
      <c r="I465" s="46" t="e">
        <f aca="true">IF((H465=1),0,$D$3+$D$5*(RAND()-0.5))</f>
        <v>#N/A</v>
      </c>
      <c r="J465" s="46" t="e">
        <f aca="false">I465+MAX(D465,J464)</f>
        <v>#N/A</v>
      </c>
      <c r="K465" s="46" t="e">
        <f aca="false">IF((H465=0),J465-D465,0)</f>
        <v>#N/A</v>
      </c>
      <c r="L465" s="46" t="e">
        <f aca="true">IF(($H465=0),0,$D$4+$D$5*(RAND()-0.5))</f>
        <v>#N/A</v>
      </c>
      <c r="M465" s="46" t="e">
        <f aca="false">L465+MAX(D465,M464)</f>
        <v>#N/A</v>
      </c>
      <c r="N465" s="46" t="e">
        <f aca="false">IF((H465=1),M465-D465,0)</f>
        <v>#N/A</v>
      </c>
      <c r="O465" s="29" t="n">
        <v>448</v>
      </c>
      <c r="P465" s="49" t="e">
        <f aca="false">IF((Arterial=0),P464+1,P464)</f>
        <v>#N/A</v>
      </c>
      <c r="Q465" s="49" t="e">
        <f aca="false">IF((Arterial=1),Q464+1,Q464)</f>
        <v>#N/A</v>
      </c>
      <c r="R465" s="50" t="n">
        <f aca="false">IF((RESET=1),0,R465+K465)</f>
        <v>0</v>
      </c>
      <c r="S465" s="19" t="n">
        <f aca="false">IF(RESET=1,0,S465+N465)</f>
        <v>0</v>
      </c>
      <c r="T465" s="0" t="n">
        <f aca="false">IF(RESET=1,0,T465+IF(H465=0,1,0))</f>
        <v>0</v>
      </c>
      <c r="U465" s="0" t="n">
        <f aca="false">IF(RESET=1,0,U465+H465)</f>
        <v>0</v>
      </c>
      <c r="V465" s="19" t="n">
        <f aca="false">R465/(T465+0.00001)</f>
        <v>0</v>
      </c>
      <c r="W465" s="19" t="n">
        <f aca="false">S465/(U465+0.0001)</f>
        <v>0</v>
      </c>
      <c r="X465" s="47" t="e">
        <f aca="false">IF(Informed=1,K465,0)</f>
        <v>#N/A</v>
      </c>
      <c r="Y465" s="47" t="n">
        <f aca="false">IF(Informed=0,K465,0)</f>
        <v>0</v>
      </c>
      <c r="Z465" s="47" t="e">
        <f aca="false">IF(Informed=1,N465,0)</f>
        <v>#N/A</v>
      </c>
      <c r="AA465" s="47" t="n">
        <f aca="false">IF(Informed=0,N465,0)</f>
        <v>0</v>
      </c>
      <c r="AB465" s="51" t="e">
        <f aca="false">IF(Arterial=0,IF(Informed=1,1,0),0)</f>
        <v>#N/A</v>
      </c>
      <c r="AC465" s="51" t="e">
        <f aca="false">IF(Arterial=0,IF(Informed=0,1,0),0)</f>
        <v>#N/A</v>
      </c>
      <c r="AD465" s="51" t="e">
        <f aca="false">IF(Arterial=1,IF(Informed=1,1,0),0)</f>
        <v>#N/A</v>
      </c>
      <c r="AE465" s="51" t="e">
        <f aca="false">IF(Arterial=1,IF(Informed=0,1,0),0)</f>
        <v>#N/A</v>
      </c>
      <c r="AF465" s="44" t="e">
        <f aca="false">IF(AB465=1,(X465-G$1030)^2,0)</f>
        <v>#N/A</v>
      </c>
      <c r="AG465" s="44" t="e">
        <f aca="false">IF(AC465=1,(Y465-H$1030)^2,0)</f>
        <v>#N/A</v>
      </c>
      <c r="AH465" s="44" t="e">
        <f aca="false">IF(AD465=1,(Z465-I$1030)^2,0)</f>
        <v>#N/A</v>
      </c>
      <c r="AI465" s="44" t="e">
        <f aca="false">IF(AE465=1,(AA465-J$1030)^2,0)</f>
        <v>#N/A</v>
      </c>
    </row>
    <row r="466" customFormat="false" ht="12" hidden="false" customHeight="false" outlineLevel="0" collapsed="false">
      <c r="A466" s="29" t="n">
        <v>449</v>
      </c>
      <c r="B466" s="45" t="n">
        <f aca="true">IF(RAND()&lt;$D$8,1,0)</f>
        <v>1</v>
      </c>
      <c r="C466" s="34" t="n">
        <f aca="true">-LN(RAND())/$D$2</f>
        <v>0.463693795628756</v>
      </c>
      <c r="D466" s="46" t="n">
        <f aca="false">D465+C466</f>
        <v>701.938871168203</v>
      </c>
      <c r="E466" s="47" t="e">
        <f aca="false">MAX($D$3,(1+P465-VLOOKUP(VALUE(D466),$J$18:$Q465,7,TRUE()))*$D$3)</f>
        <v>#N/A</v>
      </c>
      <c r="F466" s="47" t="e">
        <f aca="false">MAX($D$4,(1+Q465-VLOOKUP(VALUE(D466),$M$18:$Q465,5,TRUE()))*$D$4)</f>
        <v>#N/A</v>
      </c>
      <c r="G466" s="48" t="n">
        <v>0.5</v>
      </c>
      <c r="H466" s="46" t="e">
        <f aca="true">IF((B466=1),(IF((F466&lt;E466),1,(IF((F466=E466),(IF(RAND()&lt;G466,1,0)),0)))),(IF((RAND()&lt;G466),1,0)))</f>
        <v>#N/A</v>
      </c>
      <c r="I466" s="46" t="e">
        <f aca="true">IF((H466=1),0,$D$3+$D$5*(RAND()-0.5))</f>
        <v>#N/A</v>
      </c>
      <c r="J466" s="46" t="e">
        <f aca="false">I466+MAX(D466,J465)</f>
        <v>#N/A</v>
      </c>
      <c r="K466" s="46" t="e">
        <f aca="false">IF((H466=0),J466-D466,0)</f>
        <v>#N/A</v>
      </c>
      <c r="L466" s="46" t="e">
        <f aca="true">IF(($H466=0),0,$D$4+$D$5*(RAND()-0.5))</f>
        <v>#N/A</v>
      </c>
      <c r="M466" s="46" t="e">
        <f aca="false">L466+MAX(D466,M465)</f>
        <v>#N/A</v>
      </c>
      <c r="N466" s="46" t="e">
        <f aca="false">IF((H466=1),M466-D466,0)</f>
        <v>#N/A</v>
      </c>
      <c r="O466" s="29" t="n">
        <v>449</v>
      </c>
      <c r="P466" s="49" t="e">
        <f aca="false">IF((Arterial=0),P465+1,P465)</f>
        <v>#N/A</v>
      </c>
      <c r="Q466" s="49" t="e">
        <f aca="false">IF((Arterial=1),Q465+1,Q465)</f>
        <v>#N/A</v>
      </c>
      <c r="R466" s="50" t="n">
        <f aca="false">IF((RESET=1),0,R466+K466)</f>
        <v>0</v>
      </c>
      <c r="S466" s="19" t="n">
        <f aca="false">IF(RESET=1,0,S466+N466)</f>
        <v>0</v>
      </c>
      <c r="T466" s="0" t="n">
        <f aca="false">IF(RESET=1,0,T466+IF(H466=0,1,0))</f>
        <v>0</v>
      </c>
      <c r="U466" s="0" t="n">
        <f aca="false">IF(RESET=1,0,U466+H466)</f>
        <v>0</v>
      </c>
      <c r="V466" s="19" t="n">
        <f aca="false">R466/(T466+0.00001)</f>
        <v>0</v>
      </c>
      <c r="W466" s="19" t="n">
        <f aca="false">S466/(U466+0.0001)</f>
        <v>0</v>
      </c>
      <c r="X466" s="47" t="e">
        <f aca="false">IF(Informed=1,K466,0)</f>
        <v>#N/A</v>
      </c>
      <c r="Y466" s="47" t="n">
        <f aca="false">IF(Informed=0,K466,0)</f>
        <v>0</v>
      </c>
      <c r="Z466" s="47" t="e">
        <f aca="false">IF(Informed=1,N466,0)</f>
        <v>#N/A</v>
      </c>
      <c r="AA466" s="47" t="n">
        <f aca="false">IF(Informed=0,N466,0)</f>
        <v>0</v>
      </c>
      <c r="AB466" s="51" t="e">
        <f aca="false">IF(Arterial=0,IF(Informed=1,1,0),0)</f>
        <v>#N/A</v>
      </c>
      <c r="AC466" s="51" t="e">
        <f aca="false">IF(Arterial=0,IF(Informed=0,1,0),0)</f>
        <v>#N/A</v>
      </c>
      <c r="AD466" s="51" t="e">
        <f aca="false">IF(Arterial=1,IF(Informed=1,1,0),0)</f>
        <v>#N/A</v>
      </c>
      <c r="AE466" s="51" t="e">
        <f aca="false">IF(Arterial=1,IF(Informed=0,1,0),0)</f>
        <v>#N/A</v>
      </c>
      <c r="AF466" s="44" t="e">
        <f aca="false">IF(AB466=1,(X466-G$1030)^2,0)</f>
        <v>#N/A</v>
      </c>
      <c r="AG466" s="44" t="e">
        <f aca="false">IF(AC466=1,(Y466-H$1030)^2,0)</f>
        <v>#N/A</v>
      </c>
      <c r="AH466" s="44" t="e">
        <f aca="false">IF(AD466=1,(Z466-I$1030)^2,0)</f>
        <v>#N/A</v>
      </c>
      <c r="AI466" s="44" t="e">
        <f aca="false">IF(AE466=1,(AA466-J$1030)^2,0)</f>
        <v>#N/A</v>
      </c>
    </row>
    <row r="467" customFormat="false" ht="12" hidden="false" customHeight="false" outlineLevel="0" collapsed="false">
      <c r="A467" s="29" t="n">
        <v>450</v>
      </c>
      <c r="B467" s="45" t="n">
        <f aca="true">IF(RAND()&lt;$D$8,1,0)</f>
        <v>1</v>
      </c>
      <c r="C467" s="34" t="n">
        <f aca="true">-LN(RAND())/$D$2</f>
        <v>2.92652495815711</v>
      </c>
      <c r="D467" s="46" t="n">
        <f aca="false">D466+C467</f>
        <v>704.865396126361</v>
      </c>
      <c r="E467" s="47" t="e">
        <f aca="false">MAX($D$3,(1+P466-VLOOKUP(VALUE(D467),$J$18:$Q466,7,TRUE()))*$D$3)</f>
        <v>#N/A</v>
      </c>
      <c r="F467" s="47" t="e">
        <f aca="false">MAX($D$4,(1+Q466-VLOOKUP(VALUE(D467),$M$18:$Q466,5,TRUE()))*$D$4)</f>
        <v>#N/A</v>
      </c>
      <c r="G467" s="48" t="n">
        <v>0.5</v>
      </c>
      <c r="H467" s="46" t="e">
        <f aca="true">IF((B467=1),(IF((F467&lt;E467),1,(IF((F467=E467),(IF(RAND()&lt;G467,1,0)),0)))),(IF((RAND()&lt;G467),1,0)))</f>
        <v>#N/A</v>
      </c>
      <c r="I467" s="46" t="e">
        <f aca="true">IF((H467=1),0,$D$3+$D$5*(RAND()-0.5))</f>
        <v>#N/A</v>
      </c>
      <c r="J467" s="46" t="e">
        <f aca="false">I467+MAX(D467,J466)</f>
        <v>#N/A</v>
      </c>
      <c r="K467" s="46" t="e">
        <f aca="false">IF((H467=0),J467-D467,0)</f>
        <v>#N/A</v>
      </c>
      <c r="L467" s="46" t="e">
        <f aca="true">IF(($H467=0),0,$D$4+$D$5*(RAND()-0.5))</f>
        <v>#N/A</v>
      </c>
      <c r="M467" s="46" t="e">
        <f aca="false">L467+MAX(D467,M466)</f>
        <v>#N/A</v>
      </c>
      <c r="N467" s="46" t="e">
        <f aca="false">IF((H467=1),M467-D467,0)</f>
        <v>#N/A</v>
      </c>
      <c r="O467" s="29" t="n">
        <v>450</v>
      </c>
      <c r="P467" s="49" t="e">
        <f aca="false">IF((Arterial=0),P466+1,P466)</f>
        <v>#N/A</v>
      </c>
      <c r="Q467" s="49" t="e">
        <f aca="false">IF((Arterial=1),Q466+1,Q466)</f>
        <v>#N/A</v>
      </c>
      <c r="R467" s="50" t="n">
        <f aca="false">IF((RESET=1),0,R467+K467)</f>
        <v>0</v>
      </c>
      <c r="S467" s="19" t="n">
        <f aca="false">IF(RESET=1,0,S467+N467)</f>
        <v>0</v>
      </c>
      <c r="T467" s="0" t="n">
        <f aca="false">IF(RESET=1,0,T467+IF(H467=0,1,0))</f>
        <v>0</v>
      </c>
      <c r="U467" s="0" t="n">
        <f aca="false">IF(RESET=1,0,U467+H467)</f>
        <v>0</v>
      </c>
      <c r="V467" s="19" t="n">
        <f aca="false">R467/(T467+0.00001)</f>
        <v>0</v>
      </c>
      <c r="W467" s="19" t="n">
        <f aca="false">S467/(U467+0.0001)</f>
        <v>0</v>
      </c>
      <c r="X467" s="47" t="e">
        <f aca="false">IF(Informed=1,K467,0)</f>
        <v>#N/A</v>
      </c>
      <c r="Y467" s="47" t="n">
        <f aca="false">IF(Informed=0,K467,0)</f>
        <v>0</v>
      </c>
      <c r="Z467" s="47" t="e">
        <f aca="false">IF(Informed=1,N467,0)</f>
        <v>#N/A</v>
      </c>
      <c r="AA467" s="47" t="n">
        <f aca="false">IF(Informed=0,N467,0)</f>
        <v>0</v>
      </c>
      <c r="AB467" s="51" t="e">
        <f aca="false">IF(Arterial=0,IF(Informed=1,1,0),0)</f>
        <v>#N/A</v>
      </c>
      <c r="AC467" s="51" t="e">
        <f aca="false">IF(Arterial=0,IF(Informed=0,1,0),0)</f>
        <v>#N/A</v>
      </c>
      <c r="AD467" s="51" t="e">
        <f aca="false">IF(Arterial=1,IF(Informed=1,1,0),0)</f>
        <v>#N/A</v>
      </c>
      <c r="AE467" s="51" t="e">
        <f aca="false">IF(Arterial=1,IF(Informed=0,1,0),0)</f>
        <v>#N/A</v>
      </c>
      <c r="AF467" s="44" t="e">
        <f aca="false">IF(AB467=1,(X467-G$1030)^2,0)</f>
        <v>#N/A</v>
      </c>
      <c r="AG467" s="44" t="e">
        <f aca="false">IF(AC467=1,(Y467-H$1030)^2,0)</f>
        <v>#N/A</v>
      </c>
      <c r="AH467" s="44" t="e">
        <f aca="false">IF(AD467=1,(Z467-I$1030)^2,0)</f>
        <v>#N/A</v>
      </c>
      <c r="AI467" s="44" t="e">
        <f aca="false">IF(AE467=1,(AA467-J$1030)^2,0)</f>
        <v>#N/A</v>
      </c>
    </row>
    <row r="468" customFormat="false" ht="12" hidden="false" customHeight="false" outlineLevel="0" collapsed="false">
      <c r="A468" s="29" t="n">
        <v>451</v>
      </c>
      <c r="B468" s="45" t="n">
        <f aca="true">IF(RAND()&lt;$D$8,1,0)</f>
        <v>1</v>
      </c>
      <c r="C468" s="34" t="n">
        <f aca="true">-LN(RAND())/$D$2</f>
        <v>0.81854025257297</v>
      </c>
      <c r="D468" s="46" t="n">
        <f aca="false">D467+C468</f>
        <v>705.683936378933</v>
      </c>
      <c r="E468" s="47" t="e">
        <f aca="false">MAX($D$3,(1+P467-VLOOKUP(VALUE(D468),$J$18:$Q467,7,TRUE()))*$D$3)</f>
        <v>#N/A</v>
      </c>
      <c r="F468" s="47" t="e">
        <f aca="false">MAX($D$4,(1+Q467-VLOOKUP(VALUE(D468),$M$18:$Q467,5,TRUE()))*$D$4)</f>
        <v>#N/A</v>
      </c>
      <c r="G468" s="48" t="n">
        <v>0.5</v>
      </c>
      <c r="H468" s="46" t="e">
        <f aca="true">IF((B468=1),(IF((F468&lt;E468),1,(IF((F468=E468),(IF(RAND()&lt;G468,1,0)),0)))),(IF((RAND()&lt;G468),1,0)))</f>
        <v>#N/A</v>
      </c>
      <c r="I468" s="46" t="e">
        <f aca="true">IF((H468=1),0,$D$3+$D$5*(RAND()-0.5))</f>
        <v>#N/A</v>
      </c>
      <c r="J468" s="46" t="e">
        <f aca="false">I468+MAX(D468,J467)</f>
        <v>#N/A</v>
      </c>
      <c r="K468" s="46" t="e">
        <f aca="false">IF((H468=0),J468-D468,0)</f>
        <v>#N/A</v>
      </c>
      <c r="L468" s="46" t="e">
        <f aca="true">IF(($H468=0),0,$D$4+$D$5*(RAND()-0.5))</f>
        <v>#N/A</v>
      </c>
      <c r="M468" s="46" t="e">
        <f aca="false">L468+MAX(D468,M467)</f>
        <v>#N/A</v>
      </c>
      <c r="N468" s="46" t="e">
        <f aca="false">IF((H468=1),M468-D468,0)</f>
        <v>#N/A</v>
      </c>
      <c r="O468" s="29" t="n">
        <v>451</v>
      </c>
      <c r="P468" s="49" t="e">
        <f aca="false">IF((Arterial=0),P467+1,P467)</f>
        <v>#N/A</v>
      </c>
      <c r="Q468" s="49" t="e">
        <f aca="false">IF((Arterial=1),Q467+1,Q467)</f>
        <v>#N/A</v>
      </c>
      <c r="R468" s="50" t="n">
        <f aca="false">IF((RESET=1),0,R468+K468)</f>
        <v>0</v>
      </c>
      <c r="S468" s="19" t="n">
        <f aca="false">IF(RESET=1,0,S468+N468)</f>
        <v>0</v>
      </c>
      <c r="T468" s="0" t="n">
        <f aca="false">IF(RESET=1,0,T468+IF(H468=0,1,0))</f>
        <v>0</v>
      </c>
      <c r="U468" s="0" t="n">
        <f aca="false">IF(RESET=1,0,U468+H468)</f>
        <v>0</v>
      </c>
      <c r="V468" s="19" t="n">
        <f aca="false">R468/(T468+0.00001)</f>
        <v>0</v>
      </c>
      <c r="W468" s="19" t="n">
        <f aca="false">S468/(U468+0.0001)</f>
        <v>0</v>
      </c>
      <c r="X468" s="47" t="e">
        <f aca="false">IF(Informed=1,K468,0)</f>
        <v>#N/A</v>
      </c>
      <c r="Y468" s="47" t="n">
        <f aca="false">IF(Informed=0,K468,0)</f>
        <v>0</v>
      </c>
      <c r="Z468" s="47" t="e">
        <f aca="false">IF(Informed=1,N468,0)</f>
        <v>#N/A</v>
      </c>
      <c r="AA468" s="47" t="n">
        <f aca="false">IF(Informed=0,N468,0)</f>
        <v>0</v>
      </c>
      <c r="AB468" s="51" t="e">
        <f aca="false">IF(Arterial=0,IF(Informed=1,1,0),0)</f>
        <v>#N/A</v>
      </c>
      <c r="AC468" s="51" t="e">
        <f aca="false">IF(Arterial=0,IF(Informed=0,1,0),0)</f>
        <v>#N/A</v>
      </c>
      <c r="AD468" s="51" t="e">
        <f aca="false">IF(Arterial=1,IF(Informed=1,1,0),0)</f>
        <v>#N/A</v>
      </c>
      <c r="AE468" s="51" t="e">
        <f aca="false">IF(Arterial=1,IF(Informed=0,1,0),0)</f>
        <v>#N/A</v>
      </c>
      <c r="AF468" s="44" t="e">
        <f aca="false">IF(AB468=1,(X468-G$1030)^2,0)</f>
        <v>#N/A</v>
      </c>
      <c r="AG468" s="44" t="e">
        <f aca="false">IF(AC468=1,(Y468-H$1030)^2,0)</f>
        <v>#N/A</v>
      </c>
      <c r="AH468" s="44" t="e">
        <f aca="false">IF(AD468=1,(Z468-I$1030)^2,0)</f>
        <v>#N/A</v>
      </c>
      <c r="AI468" s="44" t="e">
        <f aca="false">IF(AE468=1,(AA468-J$1030)^2,0)</f>
        <v>#N/A</v>
      </c>
    </row>
    <row r="469" customFormat="false" ht="12" hidden="false" customHeight="false" outlineLevel="0" collapsed="false">
      <c r="A469" s="29" t="n">
        <v>452</v>
      </c>
      <c r="B469" s="45" t="n">
        <f aca="true">IF(RAND()&lt;$D$8,1,0)</f>
        <v>1</v>
      </c>
      <c r="C469" s="34" t="n">
        <f aca="true">-LN(RAND())/$D$2</f>
        <v>4.81662757573247</v>
      </c>
      <c r="D469" s="46" t="n">
        <f aca="false">D468+C469</f>
        <v>710.500563954666</v>
      </c>
      <c r="E469" s="47" t="e">
        <f aca="false">MAX($D$3,(1+P468-VLOOKUP(VALUE(D469),$J$18:$Q468,7,TRUE()))*$D$3)</f>
        <v>#N/A</v>
      </c>
      <c r="F469" s="47" t="e">
        <f aca="false">MAX($D$4,(1+Q468-VLOOKUP(VALUE(D469),$M$18:$Q468,5,TRUE()))*$D$4)</f>
        <v>#N/A</v>
      </c>
      <c r="G469" s="48" t="n">
        <v>0.5</v>
      </c>
      <c r="H469" s="46" t="e">
        <f aca="true">IF((B469=1),(IF((F469&lt;E469),1,(IF((F469=E469),(IF(RAND()&lt;G469,1,0)),0)))),(IF((RAND()&lt;G469),1,0)))</f>
        <v>#N/A</v>
      </c>
      <c r="I469" s="46" t="e">
        <f aca="true">IF((H469=1),0,$D$3+$D$5*(RAND()-0.5))</f>
        <v>#N/A</v>
      </c>
      <c r="J469" s="46" t="e">
        <f aca="false">I469+MAX(D469,J468)</f>
        <v>#N/A</v>
      </c>
      <c r="K469" s="46" t="e">
        <f aca="false">IF((H469=0),J469-D469,0)</f>
        <v>#N/A</v>
      </c>
      <c r="L469" s="46" t="e">
        <f aca="true">IF(($H469=0),0,$D$4+$D$5*(RAND()-0.5))</f>
        <v>#N/A</v>
      </c>
      <c r="M469" s="46" t="e">
        <f aca="false">L469+MAX(D469,M468)</f>
        <v>#N/A</v>
      </c>
      <c r="N469" s="46" t="e">
        <f aca="false">IF((H469=1),M469-D469,0)</f>
        <v>#N/A</v>
      </c>
      <c r="O469" s="29" t="n">
        <v>452</v>
      </c>
      <c r="P469" s="49" t="e">
        <f aca="false">IF((Arterial=0),P468+1,P468)</f>
        <v>#N/A</v>
      </c>
      <c r="Q469" s="49" t="e">
        <f aca="false">IF((Arterial=1),Q468+1,Q468)</f>
        <v>#N/A</v>
      </c>
      <c r="R469" s="50" t="n">
        <f aca="false">IF((RESET=1),0,R469+K469)</f>
        <v>0</v>
      </c>
      <c r="S469" s="19" t="n">
        <f aca="false">IF(RESET=1,0,S469+N469)</f>
        <v>0</v>
      </c>
      <c r="T469" s="0" t="n">
        <f aca="false">IF(RESET=1,0,T469+IF(H469=0,1,0))</f>
        <v>0</v>
      </c>
      <c r="U469" s="0" t="n">
        <f aca="false">IF(RESET=1,0,U469+H469)</f>
        <v>0</v>
      </c>
      <c r="V469" s="19" t="n">
        <f aca="false">R469/(T469+0.00001)</f>
        <v>0</v>
      </c>
      <c r="W469" s="19" t="n">
        <f aca="false">S469/(U469+0.0001)</f>
        <v>0</v>
      </c>
      <c r="X469" s="47" t="e">
        <f aca="false">IF(Informed=1,K469,0)</f>
        <v>#N/A</v>
      </c>
      <c r="Y469" s="47" t="n">
        <f aca="false">IF(Informed=0,K469,0)</f>
        <v>0</v>
      </c>
      <c r="Z469" s="47" t="e">
        <f aca="false">IF(Informed=1,N469,0)</f>
        <v>#N/A</v>
      </c>
      <c r="AA469" s="47" t="n">
        <f aca="false">IF(Informed=0,N469,0)</f>
        <v>0</v>
      </c>
      <c r="AB469" s="51" t="e">
        <f aca="false">IF(Arterial=0,IF(Informed=1,1,0),0)</f>
        <v>#N/A</v>
      </c>
      <c r="AC469" s="51" t="e">
        <f aca="false">IF(Arterial=0,IF(Informed=0,1,0),0)</f>
        <v>#N/A</v>
      </c>
      <c r="AD469" s="51" t="e">
        <f aca="false">IF(Arterial=1,IF(Informed=1,1,0),0)</f>
        <v>#N/A</v>
      </c>
      <c r="AE469" s="51" t="e">
        <f aca="false">IF(Arterial=1,IF(Informed=0,1,0),0)</f>
        <v>#N/A</v>
      </c>
      <c r="AF469" s="44" t="e">
        <f aca="false">IF(AB469=1,(X469-G$1030)^2,0)</f>
        <v>#N/A</v>
      </c>
      <c r="AG469" s="44" t="e">
        <f aca="false">IF(AC469=1,(Y469-H$1030)^2,0)</f>
        <v>#N/A</v>
      </c>
      <c r="AH469" s="44" t="e">
        <f aca="false">IF(AD469=1,(Z469-I$1030)^2,0)</f>
        <v>#N/A</v>
      </c>
      <c r="AI469" s="44" t="e">
        <f aca="false">IF(AE469=1,(AA469-J$1030)^2,0)</f>
        <v>#N/A</v>
      </c>
    </row>
    <row r="470" customFormat="false" ht="12" hidden="false" customHeight="false" outlineLevel="0" collapsed="false">
      <c r="A470" s="29" t="n">
        <v>453</v>
      </c>
      <c r="B470" s="45" t="n">
        <f aca="true">IF(RAND()&lt;$D$8,1,0)</f>
        <v>1</v>
      </c>
      <c r="C470" s="34" t="n">
        <f aca="true">-LN(RAND())/$D$2</f>
        <v>0.718623490329627</v>
      </c>
      <c r="D470" s="46" t="n">
        <f aca="false">D469+C470</f>
        <v>711.219187444995</v>
      </c>
      <c r="E470" s="47" t="e">
        <f aca="false">MAX($D$3,(1+P469-VLOOKUP(VALUE(D470),$J$18:$Q469,7,TRUE()))*$D$3)</f>
        <v>#N/A</v>
      </c>
      <c r="F470" s="47" t="e">
        <f aca="false">MAX($D$4,(1+Q469-VLOOKUP(VALUE(D470),$M$18:$Q469,5,TRUE()))*$D$4)</f>
        <v>#N/A</v>
      </c>
      <c r="G470" s="48" t="n">
        <v>0.5</v>
      </c>
      <c r="H470" s="46" t="e">
        <f aca="true">IF((B470=1),(IF((F470&lt;E470),1,(IF((F470=E470),(IF(RAND()&lt;G470,1,0)),0)))),(IF((RAND()&lt;G470),1,0)))</f>
        <v>#N/A</v>
      </c>
      <c r="I470" s="46" t="e">
        <f aca="true">IF((H470=1),0,$D$3+$D$5*(RAND()-0.5))</f>
        <v>#N/A</v>
      </c>
      <c r="J470" s="46" t="e">
        <f aca="false">I470+MAX(D470,J469)</f>
        <v>#N/A</v>
      </c>
      <c r="K470" s="46" t="e">
        <f aca="false">IF((H470=0),J470-D470,0)</f>
        <v>#N/A</v>
      </c>
      <c r="L470" s="46" t="e">
        <f aca="true">IF(($H470=0),0,$D$4+$D$5*(RAND()-0.5))</f>
        <v>#N/A</v>
      </c>
      <c r="M470" s="46" t="e">
        <f aca="false">L470+MAX(D470,M469)</f>
        <v>#N/A</v>
      </c>
      <c r="N470" s="46" t="e">
        <f aca="false">IF((H470=1),M470-D470,0)</f>
        <v>#N/A</v>
      </c>
      <c r="O470" s="29" t="n">
        <v>453</v>
      </c>
      <c r="P470" s="49" t="e">
        <f aca="false">IF((Arterial=0),P469+1,P469)</f>
        <v>#N/A</v>
      </c>
      <c r="Q470" s="49" t="e">
        <f aca="false">IF((Arterial=1),Q469+1,Q469)</f>
        <v>#N/A</v>
      </c>
      <c r="R470" s="50" t="n">
        <f aca="false">IF((RESET=1),0,R470+K470)</f>
        <v>0</v>
      </c>
      <c r="S470" s="19" t="n">
        <f aca="false">IF(RESET=1,0,S470+N470)</f>
        <v>0</v>
      </c>
      <c r="T470" s="0" t="n">
        <f aca="false">IF(RESET=1,0,T470+IF(H470=0,1,0))</f>
        <v>0</v>
      </c>
      <c r="U470" s="0" t="n">
        <f aca="false">IF(RESET=1,0,U470+H470)</f>
        <v>0</v>
      </c>
      <c r="V470" s="19" t="n">
        <f aca="false">R470/(T470+0.00001)</f>
        <v>0</v>
      </c>
      <c r="W470" s="19" t="n">
        <f aca="false">S470/(U470+0.0001)</f>
        <v>0</v>
      </c>
      <c r="X470" s="47" t="e">
        <f aca="false">IF(Informed=1,K470,0)</f>
        <v>#N/A</v>
      </c>
      <c r="Y470" s="47" t="n">
        <f aca="false">IF(Informed=0,K470,0)</f>
        <v>0</v>
      </c>
      <c r="Z470" s="47" t="e">
        <f aca="false">IF(Informed=1,N470,0)</f>
        <v>#N/A</v>
      </c>
      <c r="AA470" s="47" t="n">
        <f aca="false">IF(Informed=0,N470,0)</f>
        <v>0</v>
      </c>
      <c r="AB470" s="51" t="e">
        <f aca="false">IF(Arterial=0,IF(Informed=1,1,0),0)</f>
        <v>#N/A</v>
      </c>
      <c r="AC470" s="51" t="e">
        <f aca="false">IF(Arterial=0,IF(Informed=0,1,0),0)</f>
        <v>#N/A</v>
      </c>
      <c r="AD470" s="51" t="e">
        <f aca="false">IF(Arterial=1,IF(Informed=1,1,0),0)</f>
        <v>#N/A</v>
      </c>
      <c r="AE470" s="51" t="e">
        <f aca="false">IF(Arterial=1,IF(Informed=0,1,0),0)</f>
        <v>#N/A</v>
      </c>
      <c r="AF470" s="44" t="e">
        <f aca="false">IF(AB470=1,(X470-G$1030)^2,0)</f>
        <v>#N/A</v>
      </c>
      <c r="AG470" s="44" t="e">
        <f aca="false">IF(AC470=1,(Y470-H$1030)^2,0)</f>
        <v>#N/A</v>
      </c>
      <c r="AH470" s="44" t="e">
        <f aca="false">IF(AD470=1,(Z470-I$1030)^2,0)</f>
        <v>#N/A</v>
      </c>
      <c r="AI470" s="44" t="e">
        <f aca="false">IF(AE470=1,(AA470-J$1030)^2,0)</f>
        <v>#N/A</v>
      </c>
    </row>
    <row r="471" customFormat="false" ht="12" hidden="false" customHeight="false" outlineLevel="0" collapsed="false">
      <c r="A471" s="29" t="n">
        <v>454</v>
      </c>
      <c r="B471" s="45" t="n">
        <f aca="true">IF(RAND()&lt;$D$8,1,0)</f>
        <v>1</v>
      </c>
      <c r="C471" s="34" t="n">
        <f aca="true">-LN(RAND())/$D$2</f>
        <v>0.232198168434681</v>
      </c>
      <c r="D471" s="46" t="n">
        <f aca="false">D470+C471</f>
        <v>711.45138561343</v>
      </c>
      <c r="E471" s="47" t="e">
        <f aca="false">MAX($D$3,(1+P470-VLOOKUP(VALUE(D471),$J$18:$Q470,7,TRUE()))*$D$3)</f>
        <v>#N/A</v>
      </c>
      <c r="F471" s="47" t="e">
        <f aca="false">MAX($D$4,(1+Q470-VLOOKUP(VALUE(D471),$M$18:$Q470,5,TRUE()))*$D$4)</f>
        <v>#N/A</v>
      </c>
      <c r="G471" s="48" t="n">
        <v>0.5</v>
      </c>
      <c r="H471" s="46" t="e">
        <f aca="true">IF((B471=1),(IF((F471&lt;E471),1,(IF((F471=E471),(IF(RAND()&lt;G471,1,0)),0)))),(IF((RAND()&lt;G471),1,0)))</f>
        <v>#N/A</v>
      </c>
      <c r="I471" s="46" t="e">
        <f aca="true">IF((H471=1),0,$D$3+$D$5*(RAND()-0.5))</f>
        <v>#N/A</v>
      </c>
      <c r="J471" s="46" t="e">
        <f aca="false">I471+MAX(D471,J470)</f>
        <v>#N/A</v>
      </c>
      <c r="K471" s="46" t="e">
        <f aca="false">IF((H471=0),J471-D471,0)</f>
        <v>#N/A</v>
      </c>
      <c r="L471" s="46" t="e">
        <f aca="true">IF(($H471=0),0,$D$4+$D$5*(RAND()-0.5))</f>
        <v>#N/A</v>
      </c>
      <c r="M471" s="46" t="e">
        <f aca="false">L471+MAX(D471,M470)</f>
        <v>#N/A</v>
      </c>
      <c r="N471" s="46" t="e">
        <f aca="false">IF((H471=1),M471-D471,0)</f>
        <v>#N/A</v>
      </c>
      <c r="O471" s="29" t="n">
        <v>454</v>
      </c>
      <c r="P471" s="49" t="e">
        <f aca="false">IF((Arterial=0),P470+1,P470)</f>
        <v>#N/A</v>
      </c>
      <c r="Q471" s="49" t="e">
        <f aca="false">IF((Arterial=1),Q470+1,Q470)</f>
        <v>#N/A</v>
      </c>
      <c r="R471" s="50" t="n">
        <f aca="false">IF((RESET=1),0,R471+K471)</f>
        <v>0</v>
      </c>
      <c r="S471" s="19" t="n">
        <f aca="false">IF(RESET=1,0,S471+N471)</f>
        <v>0</v>
      </c>
      <c r="T471" s="0" t="n">
        <f aca="false">IF(RESET=1,0,T471+IF(H471=0,1,0))</f>
        <v>0</v>
      </c>
      <c r="U471" s="0" t="n">
        <f aca="false">IF(RESET=1,0,U471+H471)</f>
        <v>0</v>
      </c>
      <c r="V471" s="19" t="n">
        <f aca="false">R471/(T471+0.00001)</f>
        <v>0</v>
      </c>
      <c r="W471" s="19" t="n">
        <f aca="false">S471/(U471+0.0001)</f>
        <v>0</v>
      </c>
      <c r="X471" s="47" t="e">
        <f aca="false">IF(Informed=1,K471,0)</f>
        <v>#N/A</v>
      </c>
      <c r="Y471" s="47" t="n">
        <f aca="false">IF(Informed=0,K471,0)</f>
        <v>0</v>
      </c>
      <c r="Z471" s="47" t="e">
        <f aca="false">IF(Informed=1,N471,0)</f>
        <v>#N/A</v>
      </c>
      <c r="AA471" s="47" t="n">
        <f aca="false">IF(Informed=0,N471,0)</f>
        <v>0</v>
      </c>
      <c r="AB471" s="51" t="e">
        <f aca="false">IF(Arterial=0,IF(Informed=1,1,0),0)</f>
        <v>#N/A</v>
      </c>
      <c r="AC471" s="51" t="e">
        <f aca="false">IF(Arterial=0,IF(Informed=0,1,0),0)</f>
        <v>#N/A</v>
      </c>
      <c r="AD471" s="51" t="e">
        <f aca="false">IF(Arterial=1,IF(Informed=1,1,0),0)</f>
        <v>#N/A</v>
      </c>
      <c r="AE471" s="51" t="e">
        <f aca="false">IF(Arterial=1,IF(Informed=0,1,0),0)</f>
        <v>#N/A</v>
      </c>
      <c r="AF471" s="44" t="e">
        <f aca="false">IF(AB471=1,(X471-G$1030)^2,0)</f>
        <v>#N/A</v>
      </c>
      <c r="AG471" s="44" t="e">
        <f aca="false">IF(AC471=1,(Y471-H$1030)^2,0)</f>
        <v>#N/A</v>
      </c>
      <c r="AH471" s="44" t="e">
        <f aca="false">IF(AD471=1,(Z471-I$1030)^2,0)</f>
        <v>#N/A</v>
      </c>
      <c r="AI471" s="44" t="e">
        <f aca="false">IF(AE471=1,(AA471-J$1030)^2,0)</f>
        <v>#N/A</v>
      </c>
    </row>
    <row r="472" customFormat="false" ht="12" hidden="false" customHeight="false" outlineLevel="0" collapsed="false">
      <c r="A472" s="29" t="n">
        <v>455</v>
      </c>
      <c r="B472" s="45" t="n">
        <f aca="true">IF(RAND()&lt;$D$8,1,0)</f>
        <v>1</v>
      </c>
      <c r="C472" s="34" t="n">
        <f aca="true">-LN(RAND())/$D$2</f>
        <v>5.84201792245043</v>
      </c>
      <c r="D472" s="46" t="n">
        <f aca="false">D471+C472</f>
        <v>717.293403535881</v>
      </c>
      <c r="E472" s="47" t="e">
        <f aca="false">MAX($D$3,(1+P471-VLOOKUP(VALUE(D472),$J$18:$Q471,7,TRUE()))*$D$3)</f>
        <v>#N/A</v>
      </c>
      <c r="F472" s="47" t="e">
        <f aca="false">MAX($D$4,(1+Q471-VLOOKUP(VALUE(D472),$M$18:$Q471,5,TRUE()))*$D$4)</f>
        <v>#N/A</v>
      </c>
      <c r="G472" s="48" t="n">
        <v>0.5</v>
      </c>
      <c r="H472" s="46" t="e">
        <f aca="true">IF((B472=1),(IF((F472&lt;E472),1,(IF((F472=E472),(IF(RAND()&lt;G472,1,0)),0)))),(IF((RAND()&lt;G472),1,0)))</f>
        <v>#N/A</v>
      </c>
      <c r="I472" s="46" t="e">
        <f aca="true">IF((H472=1),0,$D$3+$D$5*(RAND()-0.5))</f>
        <v>#N/A</v>
      </c>
      <c r="J472" s="46" t="e">
        <f aca="false">I472+MAX(D472,J471)</f>
        <v>#N/A</v>
      </c>
      <c r="K472" s="46" t="e">
        <f aca="false">IF((H472=0),J472-D472,0)</f>
        <v>#N/A</v>
      </c>
      <c r="L472" s="46" t="e">
        <f aca="true">IF(($H472=0),0,$D$4+$D$5*(RAND()-0.5))</f>
        <v>#N/A</v>
      </c>
      <c r="M472" s="46" t="e">
        <f aca="false">L472+MAX(D472,M471)</f>
        <v>#N/A</v>
      </c>
      <c r="N472" s="46" t="e">
        <f aca="false">IF((H472=1),M472-D472,0)</f>
        <v>#N/A</v>
      </c>
      <c r="O472" s="29" t="n">
        <v>455</v>
      </c>
      <c r="P472" s="49" t="e">
        <f aca="false">IF((Arterial=0),P471+1,P471)</f>
        <v>#N/A</v>
      </c>
      <c r="Q472" s="49" t="e">
        <f aca="false">IF((Arterial=1),Q471+1,Q471)</f>
        <v>#N/A</v>
      </c>
      <c r="R472" s="50" t="n">
        <f aca="false">IF((RESET=1),0,R472+K472)</f>
        <v>0</v>
      </c>
      <c r="S472" s="19" t="n">
        <f aca="false">IF(RESET=1,0,S472+N472)</f>
        <v>0</v>
      </c>
      <c r="T472" s="0" t="n">
        <f aca="false">IF(RESET=1,0,T472+IF(H472=0,1,0))</f>
        <v>0</v>
      </c>
      <c r="U472" s="0" t="n">
        <f aca="false">IF(RESET=1,0,U472+H472)</f>
        <v>0</v>
      </c>
      <c r="V472" s="19" t="n">
        <f aca="false">R472/(T472+0.00001)</f>
        <v>0</v>
      </c>
      <c r="W472" s="19" t="n">
        <f aca="false">S472/(U472+0.0001)</f>
        <v>0</v>
      </c>
      <c r="X472" s="47" t="e">
        <f aca="false">IF(Informed=1,K472,0)</f>
        <v>#N/A</v>
      </c>
      <c r="Y472" s="47" t="n">
        <f aca="false">IF(Informed=0,K472,0)</f>
        <v>0</v>
      </c>
      <c r="Z472" s="47" t="e">
        <f aca="false">IF(Informed=1,N472,0)</f>
        <v>#N/A</v>
      </c>
      <c r="AA472" s="47" t="n">
        <f aca="false">IF(Informed=0,N472,0)</f>
        <v>0</v>
      </c>
      <c r="AB472" s="51" t="e">
        <f aca="false">IF(Arterial=0,IF(Informed=1,1,0),0)</f>
        <v>#N/A</v>
      </c>
      <c r="AC472" s="51" t="e">
        <f aca="false">IF(Arterial=0,IF(Informed=0,1,0),0)</f>
        <v>#N/A</v>
      </c>
      <c r="AD472" s="51" t="e">
        <f aca="false">IF(Arterial=1,IF(Informed=1,1,0),0)</f>
        <v>#N/A</v>
      </c>
      <c r="AE472" s="51" t="e">
        <f aca="false">IF(Arterial=1,IF(Informed=0,1,0),0)</f>
        <v>#N/A</v>
      </c>
      <c r="AF472" s="44" t="e">
        <f aca="false">IF(AB472=1,(X472-G$1030)^2,0)</f>
        <v>#N/A</v>
      </c>
      <c r="AG472" s="44" t="e">
        <f aca="false">IF(AC472=1,(Y472-H$1030)^2,0)</f>
        <v>#N/A</v>
      </c>
      <c r="AH472" s="44" t="e">
        <f aca="false">IF(AD472=1,(Z472-I$1030)^2,0)</f>
        <v>#N/A</v>
      </c>
      <c r="AI472" s="44" t="e">
        <f aca="false">IF(AE472=1,(AA472-J$1030)^2,0)</f>
        <v>#N/A</v>
      </c>
    </row>
    <row r="473" customFormat="false" ht="12" hidden="false" customHeight="false" outlineLevel="0" collapsed="false">
      <c r="A473" s="29" t="n">
        <v>456</v>
      </c>
      <c r="B473" s="45" t="n">
        <f aca="true">IF(RAND()&lt;$D$8,1,0)</f>
        <v>1</v>
      </c>
      <c r="C473" s="34" t="n">
        <f aca="true">-LN(RAND())/$D$2</f>
        <v>0.219440526078881</v>
      </c>
      <c r="D473" s="46" t="n">
        <f aca="false">D472+C473</f>
        <v>717.512844061959</v>
      </c>
      <c r="E473" s="47" t="e">
        <f aca="false">MAX($D$3,(1+P472-VLOOKUP(VALUE(D473),$J$18:$Q472,7,TRUE()))*$D$3)</f>
        <v>#N/A</v>
      </c>
      <c r="F473" s="47" t="e">
        <f aca="false">MAX($D$4,(1+Q472-VLOOKUP(VALUE(D473),$M$18:$Q472,5,TRUE()))*$D$4)</f>
        <v>#N/A</v>
      </c>
      <c r="G473" s="48" t="n">
        <v>0.5</v>
      </c>
      <c r="H473" s="46" t="e">
        <f aca="true">IF((B473=1),(IF((F473&lt;E473),1,(IF((F473=E473),(IF(RAND()&lt;G473,1,0)),0)))),(IF((RAND()&lt;G473),1,0)))</f>
        <v>#N/A</v>
      </c>
      <c r="I473" s="46" t="e">
        <f aca="true">IF((H473=1),0,$D$3+$D$5*(RAND()-0.5))</f>
        <v>#N/A</v>
      </c>
      <c r="J473" s="46" t="e">
        <f aca="false">I473+MAX(D473,J472)</f>
        <v>#N/A</v>
      </c>
      <c r="K473" s="46" t="e">
        <f aca="false">IF((H473=0),J473-D473,0)</f>
        <v>#N/A</v>
      </c>
      <c r="L473" s="46" t="e">
        <f aca="true">IF(($H473=0),0,$D$4+$D$5*(RAND()-0.5))</f>
        <v>#N/A</v>
      </c>
      <c r="M473" s="46" t="e">
        <f aca="false">L473+MAX(D473,M472)</f>
        <v>#N/A</v>
      </c>
      <c r="N473" s="46" t="e">
        <f aca="false">IF((H473=1),M473-D473,0)</f>
        <v>#N/A</v>
      </c>
      <c r="O473" s="29" t="n">
        <v>456</v>
      </c>
      <c r="P473" s="49" t="e">
        <f aca="false">IF((Arterial=0),P472+1,P472)</f>
        <v>#N/A</v>
      </c>
      <c r="Q473" s="49" t="e">
        <f aca="false">IF((Arterial=1),Q472+1,Q472)</f>
        <v>#N/A</v>
      </c>
      <c r="R473" s="50" t="n">
        <f aca="false">IF((RESET=1),0,R473+K473)</f>
        <v>0</v>
      </c>
      <c r="S473" s="19" t="n">
        <f aca="false">IF(RESET=1,0,S473+N473)</f>
        <v>0</v>
      </c>
      <c r="T473" s="0" t="n">
        <f aca="false">IF(RESET=1,0,T473+IF(H473=0,1,0))</f>
        <v>0</v>
      </c>
      <c r="U473" s="0" t="n">
        <f aca="false">IF(RESET=1,0,U473+H473)</f>
        <v>0</v>
      </c>
      <c r="V473" s="19" t="n">
        <f aca="false">R473/(T473+0.00001)</f>
        <v>0</v>
      </c>
      <c r="W473" s="19" t="n">
        <f aca="false">S473/(U473+0.0001)</f>
        <v>0</v>
      </c>
      <c r="X473" s="47" t="e">
        <f aca="false">IF(Informed=1,K473,0)</f>
        <v>#N/A</v>
      </c>
      <c r="Y473" s="47" t="n">
        <f aca="false">IF(Informed=0,K473,0)</f>
        <v>0</v>
      </c>
      <c r="Z473" s="47" t="e">
        <f aca="false">IF(Informed=1,N473,0)</f>
        <v>#N/A</v>
      </c>
      <c r="AA473" s="47" t="n">
        <f aca="false">IF(Informed=0,N473,0)</f>
        <v>0</v>
      </c>
      <c r="AB473" s="51" t="e">
        <f aca="false">IF(Arterial=0,IF(Informed=1,1,0),0)</f>
        <v>#N/A</v>
      </c>
      <c r="AC473" s="51" t="e">
        <f aca="false">IF(Arterial=0,IF(Informed=0,1,0),0)</f>
        <v>#N/A</v>
      </c>
      <c r="AD473" s="51" t="e">
        <f aca="false">IF(Arterial=1,IF(Informed=1,1,0),0)</f>
        <v>#N/A</v>
      </c>
      <c r="AE473" s="51" t="e">
        <f aca="false">IF(Arterial=1,IF(Informed=0,1,0),0)</f>
        <v>#N/A</v>
      </c>
      <c r="AF473" s="44" t="e">
        <f aca="false">IF(AB473=1,(X473-G$1030)^2,0)</f>
        <v>#N/A</v>
      </c>
      <c r="AG473" s="44" t="e">
        <f aca="false">IF(AC473=1,(Y473-H$1030)^2,0)</f>
        <v>#N/A</v>
      </c>
      <c r="AH473" s="44" t="e">
        <f aca="false">IF(AD473=1,(Z473-I$1030)^2,0)</f>
        <v>#N/A</v>
      </c>
      <c r="AI473" s="44" t="e">
        <f aca="false">IF(AE473=1,(AA473-J$1030)^2,0)</f>
        <v>#N/A</v>
      </c>
    </row>
    <row r="474" customFormat="false" ht="12" hidden="false" customHeight="false" outlineLevel="0" collapsed="false">
      <c r="A474" s="29" t="n">
        <v>457</v>
      </c>
      <c r="B474" s="45" t="n">
        <f aca="true">IF(RAND()&lt;$D$8,1,0)</f>
        <v>1</v>
      </c>
      <c r="C474" s="34" t="n">
        <f aca="true">-LN(RAND())/$D$2</f>
        <v>0.184671455151902</v>
      </c>
      <c r="D474" s="46" t="n">
        <f aca="false">D473+C474</f>
        <v>717.697515517111</v>
      </c>
      <c r="E474" s="47" t="e">
        <f aca="false">MAX($D$3,(1+P473-VLOOKUP(VALUE(D474),$J$18:$Q473,7,TRUE()))*$D$3)</f>
        <v>#N/A</v>
      </c>
      <c r="F474" s="47" t="e">
        <f aca="false">MAX($D$4,(1+Q473-VLOOKUP(VALUE(D474),$M$18:$Q473,5,TRUE()))*$D$4)</f>
        <v>#N/A</v>
      </c>
      <c r="G474" s="48" t="n">
        <v>0.5</v>
      </c>
      <c r="H474" s="46" t="e">
        <f aca="true">IF((B474=1),(IF((F474&lt;E474),1,(IF((F474=E474),(IF(RAND()&lt;G474,1,0)),0)))),(IF((RAND()&lt;G474),1,0)))</f>
        <v>#N/A</v>
      </c>
      <c r="I474" s="46" t="e">
        <f aca="true">IF((H474=1),0,$D$3+$D$5*(RAND()-0.5))</f>
        <v>#N/A</v>
      </c>
      <c r="J474" s="46" t="e">
        <f aca="false">I474+MAX(D474,J473)</f>
        <v>#N/A</v>
      </c>
      <c r="K474" s="46" t="e">
        <f aca="false">IF((H474=0),J474-D474,0)</f>
        <v>#N/A</v>
      </c>
      <c r="L474" s="46" t="e">
        <f aca="true">IF(($H474=0),0,$D$4+$D$5*(RAND()-0.5))</f>
        <v>#N/A</v>
      </c>
      <c r="M474" s="46" t="e">
        <f aca="false">L474+MAX(D474,M473)</f>
        <v>#N/A</v>
      </c>
      <c r="N474" s="46" t="e">
        <f aca="false">IF((H474=1),M474-D474,0)</f>
        <v>#N/A</v>
      </c>
      <c r="O474" s="29" t="n">
        <v>457</v>
      </c>
      <c r="P474" s="49" t="e">
        <f aca="false">IF((Arterial=0),P473+1,P473)</f>
        <v>#N/A</v>
      </c>
      <c r="Q474" s="49" t="e">
        <f aca="false">IF((Arterial=1),Q473+1,Q473)</f>
        <v>#N/A</v>
      </c>
      <c r="R474" s="50" t="n">
        <f aca="false">IF((RESET=1),0,R474+K474)</f>
        <v>0</v>
      </c>
      <c r="S474" s="19" t="n">
        <f aca="false">IF(RESET=1,0,S474+N474)</f>
        <v>0</v>
      </c>
      <c r="T474" s="0" t="n">
        <f aca="false">IF(RESET=1,0,T474+IF(H474=0,1,0))</f>
        <v>0</v>
      </c>
      <c r="U474" s="0" t="n">
        <f aca="false">IF(RESET=1,0,U474+H474)</f>
        <v>0</v>
      </c>
      <c r="V474" s="19" t="n">
        <f aca="false">R474/(T474+0.00001)</f>
        <v>0</v>
      </c>
      <c r="W474" s="19" t="n">
        <f aca="false">S474/(U474+0.0001)</f>
        <v>0</v>
      </c>
      <c r="X474" s="47" t="e">
        <f aca="false">IF(Informed=1,K474,0)</f>
        <v>#N/A</v>
      </c>
      <c r="Y474" s="47" t="n">
        <f aca="false">IF(Informed=0,K474,0)</f>
        <v>0</v>
      </c>
      <c r="Z474" s="47" t="e">
        <f aca="false">IF(Informed=1,N474,0)</f>
        <v>#N/A</v>
      </c>
      <c r="AA474" s="47" t="n">
        <f aca="false">IF(Informed=0,N474,0)</f>
        <v>0</v>
      </c>
      <c r="AB474" s="51" t="e">
        <f aca="false">IF(Arterial=0,IF(Informed=1,1,0),0)</f>
        <v>#N/A</v>
      </c>
      <c r="AC474" s="51" t="e">
        <f aca="false">IF(Arterial=0,IF(Informed=0,1,0),0)</f>
        <v>#N/A</v>
      </c>
      <c r="AD474" s="51" t="e">
        <f aca="false">IF(Arterial=1,IF(Informed=1,1,0),0)</f>
        <v>#N/A</v>
      </c>
      <c r="AE474" s="51" t="e">
        <f aca="false">IF(Arterial=1,IF(Informed=0,1,0),0)</f>
        <v>#N/A</v>
      </c>
      <c r="AF474" s="44" t="e">
        <f aca="false">IF(AB474=1,(X474-G$1030)^2,0)</f>
        <v>#N/A</v>
      </c>
      <c r="AG474" s="44" t="e">
        <f aca="false">IF(AC474=1,(Y474-H$1030)^2,0)</f>
        <v>#N/A</v>
      </c>
      <c r="AH474" s="44" t="e">
        <f aca="false">IF(AD474=1,(Z474-I$1030)^2,0)</f>
        <v>#N/A</v>
      </c>
      <c r="AI474" s="44" t="e">
        <f aca="false">IF(AE474=1,(AA474-J$1030)^2,0)</f>
        <v>#N/A</v>
      </c>
    </row>
    <row r="475" customFormat="false" ht="12" hidden="false" customHeight="false" outlineLevel="0" collapsed="false">
      <c r="A475" s="29" t="n">
        <v>458</v>
      </c>
      <c r="B475" s="45" t="n">
        <f aca="true">IF(RAND()&lt;$D$8,1,0)</f>
        <v>1</v>
      </c>
      <c r="C475" s="34" t="n">
        <f aca="true">-LN(RAND())/$D$2</f>
        <v>0.724703807807282</v>
      </c>
      <c r="D475" s="46" t="n">
        <f aca="false">D474+C475</f>
        <v>718.422219324919</v>
      </c>
      <c r="E475" s="47" t="e">
        <f aca="false">MAX($D$3,(1+P474-VLOOKUP(VALUE(D475),$J$18:$Q474,7,TRUE()))*$D$3)</f>
        <v>#N/A</v>
      </c>
      <c r="F475" s="47" t="e">
        <f aca="false">MAX($D$4,(1+Q474-VLOOKUP(VALUE(D475),$M$18:$Q474,5,TRUE()))*$D$4)</f>
        <v>#N/A</v>
      </c>
      <c r="G475" s="48" t="n">
        <v>0.5</v>
      </c>
      <c r="H475" s="46" t="e">
        <f aca="true">IF((B475=1),(IF((F475&lt;E475),1,(IF((F475=E475),(IF(RAND()&lt;G475,1,0)),0)))),(IF((RAND()&lt;G475),1,0)))</f>
        <v>#N/A</v>
      </c>
      <c r="I475" s="46" t="e">
        <f aca="true">IF((H475=1),0,$D$3+$D$5*(RAND()-0.5))</f>
        <v>#N/A</v>
      </c>
      <c r="J475" s="46" t="e">
        <f aca="false">I475+MAX(D475,J474)</f>
        <v>#N/A</v>
      </c>
      <c r="K475" s="46" t="e">
        <f aca="false">IF((H475=0),J475-D475,0)</f>
        <v>#N/A</v>
      </c>
      <c r="L475" s="46" t="e">
        <f aca="true">IF(($H475=0),0,$D$4+$D$5*(RAND()-0.5))</f>
        <v>#N/A</v>
      </c>
      <c r="M475" s="46" t="e">
        <f aca="false">L475+MAX(D475,M474)</f>
        <v>#N/A</v>
      </c>
      <c r="N475" s="46" t="e">
        <f aca="false">IF((H475=1),M475-D475,0)</f>
        <v>#N/A</v>
      </c>
      <c r="O475" s="29" t="n">
        <v>458</v>
      </c>
      <c r="P475" s="49" t="e">
        <f aca="false">IF((Arterial=0),P474+1,P474)</f>
        <v>#N/A</v>
      </c>
      <c r="Q475" s="49" t="e">
        <f aca="false">IF((Arterial=1),Q474+1,Q474)</f>
        <v>#N/A</v>
      </c>
      <c r="R475" s="50" t="n">
        <f aca="false">IF((RESET=1),0,R475+K475)</f>
        <v>0</v>
      </c>
      <c r="S475" s="19" t="n">
        <f aca="false">IF(RESET=1,0,S475+N475)</f>
        <v>0</v>
      </c>
      <c r="T475" s="0" t="n">
        <f aca="false">IF(RESET=1,0,T475+IF(H475=0,1,0))</f>
        <v>0</v>
      </c>
      <c r="U475" s="0" t="n">
        <f aca="false">IF(RESET=1,0,U475+H475)</f>
        <v>0</v>
      </c>
      <c r="V475" s="19" t="n">
        <f aca="false">R475/(T475+0.00001)</f>
        <v>0</v>
      </c>
      <c r="W475" s="19" t="n">
        <f aca="false">S475/(U475+0.0001)</f>
        <v>0</v>
      </c>
      <c r="X475" s="47" t="e">
        <f aca="false">IF(Informed=1,K475,0)</f>
        <v>#N/A</v>
      </c>
      <c r="Y475" s="47" t="n">
        <f aca="false">IF(Informed=0,K475,0)</f>
        <v>0</v>
      </c>
      <c r="Z475" s="47" t="e">
        <f aca="false">IF(Informed=1,N475,0)</f>
        <v>#N/A</v>
      </c>
      <c r="AA475" s="47" t="n">
        <f aca="false">IF(Informed=0,N475,0)</f>
        <v>0</v>
      </c>
      <c r="AB475" s="51" t="e">
        <f aca="false">IF(Arterial=0,IF(Informed=1,1,0),0)</f>
        <v>#N/A</v>
      </c>
      <c r="AC475" s="51" t="e">
        <f aca="false">IF(Arterial=0,IF(Informed=0,1,0),0)</f>
        <v>#N/A</v>
      </c>
      <c r="AD475" s="51" t="e">
        <f aca="false">IF(Arterial=1,IF(Informed=1,1,0),0)</f>
        <v>#N/A</v>
      </c>
      <c r="AE475" s="51" t="e">
        <f aca="false">IF(Arterial=1,IF(Informed=0,1,0),0)</f>
        <v>#N/A</v>
      </c>
      <c r="AF475" s="44" t="e">
        <f aca="false">IF(AB475=1,(X475-G$1030)^2,0)</f>
        <v>#N/A</v>
      </c>
      <c r="AG475" s="44" t="e">
        <f aca="false">IF(AC475=1,(Y475-H$1030)^2,0)</f>
        <v>#N/A</v>
      </c>
      <c r="AH475" s="44" t="e">
        <f aca="false">IF(AD475=1,(Z475-I$1030)^2,0)</f>
        <v>#N/A</v>
      </c>
      <c r="AI475" s="44" t="e">
        <f aca="false">IF(AE475=1,(AA475-J$1030)^2,0)</f>
        <v>#N/A</v>
      </c>
    </row>
    <row r="476" customFormat="false" ht="12" hidden="false" customHeight="false" outlineLevel="0" collapsed="false">
      <c r="A476" s="29" t="n">
        <v>459</v>
      </c>
      <c r="B476" s="45" t="n">
        <f aca="true">IF(RAND()&lt;$D$8,1,0)</f>
        <v>1</v>
      </c>
      <c r="C476" s="34" t="n">
        <f aca="true">-LN(RAND())/$D$2</f>
        <v>0.490559149523244</v>
      </c>
      <c r="D476" s="46" t="n">
        <f aca="false">D475+C476</f>
        <v>718.912778474442</v>
      </c>
      <c r="E476" s="47" t="e">
        <f aca="false">MAX($D$3,(1+P475-VLOOKUP(VALUE(D476),$J$18:$Q475,7,TRUE()))*$D$3)</f>
        <v>#N/A</v>
      </c>
      <c r="F476" s="47" t="e">
        <f aca="false">MAX($D$4,(1+Q475-VLOOKUP(VALUE(D476),$M$18:$Q475,5,TRUE()))*$D$4)</f>
        <v>#N/A</v>
      </c>
      <c r="G476" s="48" t="n">
        <v>0.5</v>
      </c>
      <c r="H476" s="46" t="e">
        <f aca="true">IF((B476=1),(IF((F476&lt;E476),1,(IF((F476=E476),(IF(RAND()&lt;G476,1,0)),0)))),(IF((RAND()&lt;G476),1,0)))</f>
        <v>#N/A</v>
      </c>
      <c r="I476" s="46" t="e">
        <f aca="true">IF((H476=1),0,$D$3+$D$5*(RAND()-0.5))</f>
        <v>#N/A</v>
      </c>
      <c r="J476" s="46" t="e">
        <f aca="false">I476+MAX(D476,J475)</f>
        <v>#N/A</v>
      </c>
      <c r="K476" s="46" t="e">
        <f aca="false">IF((H476=0),J476-D476,0)</f>
        <v>#N/A</v>
      </c>
      <c r="L476" s="46" t="e">
        <f aca="true">IF(($H476=0),0,$D$4+$D$5*(RAND()-0.5))</f>
        <v>#N/A</v>
      </c>
      <c r="M476" s="46" t="e">
        <f aca="false">L476+MAX(D476,M475)</f>
        <v>#N/A</v>
      </c>
      <c r="N476" s="46" t="e">
        <f aca="false">IF((H476=1),M476-D476,0)</f>
        <v>#N/A</v>
      </c>
      <c r="O476" s="29" t="n">
        <v>459</v>
      </c>
      <c r="P476" s="49" t="e">
        <f aca="false">IF((Arterial=0),P475+1,P475)</f>
        <v>#N/A</v>
      </c>
      <c r="Q476" s="49" t="e">
        <f aca="false">IF((Arterial=1),Q475+1,Q475)</f>
        <v>#N/A</v>
      </c>
      <c r="R476" s="50" t="n">
        <f aca="false">IF((RESET=1),0,R476+K476)</f>
        <v>0</v>
      </c>
      <c r="S476" s="19" t="n">
        <f aca="false">IF(RESET=1,0,S476+N476)</f>
        <v>0</v>
      </c>
      <c r="T476" s="0" t="n">
        <f aca="false">IF(RESET=1,0,T476+IF(H476=0,1,0))</f>
        <v>0</v>
      </c>
      <c r="U476" s="0" t="n">
        <f aca="false">IF(RESET=1,0,U476+H476)</f>
        <v>0</v>
      </c>
      <c r="V476" s="19" t="n">
        <f aca="false">R476/(T476+0.00001)</f>
        <v>0</v>
      </c>
      <c r="W476" s="19" t="n">
        <f aca="false">S476/(U476+0.0001)</f>
        <v>0</v>
      </c>
      <c r="X476" s="47" t="e">
        <f aca="false">IF(Informed=1,K476,0)</f>
        <v>#N/A</v>
      </c>
      <c r="Y476" s="47" t="n">
        <f aca="false">IF(Informed=0,K476,0)</f>
        <v>0</v>
      </c>
      <c r="Z476" s="47" t="e">
        <f aca="false">IF(Informed=1,N476,0)</f>
        <v>#N/A</v>
      </c>
      <c r="AA476" s="47" t="n">
        <f aca="false">IF(Informed=0,N476,0)</f>
        <v>0</v>
      </c>
      <c r="AB476" s="51" t="e">
        <f aca="false">IF(Arterial=0,IF(Informed=1,1,0),0)</f>
        <v>#N/A</v>
      </c>
      <c r="AC476" s="51" t="e">
        <f aca="false">IF(Arterial=0,IF(Informed=0,1,0),0)</f>
        <v>#N/A</v>
      </c>
      <c r="AD476" s="51" t="e">
        <f aca="false">IF(Arterial=1,IF(Informed=1,1,0),0)</f>
        <v>#N/A</v>
      </c>
      <c r="AE476" s="51" t="e">
        <f aca="false">IF(Arterial=1,IF(Informed=0,1,0),0)</f>
        <v>#N/A</v>
      </c>
      <c r="AF476" s="44" t="e">
        <f aca="false">IF(AB476=1,(X476-G$1030)^2,0)</f>
        <v>#N/A</v>
      </c>
      <c r="AG476" s="44" t="e">
        <f aca="false">IF(AC476=1,(Y476-H$1030)^2,0)</f>
        <v>#N/A</v>
      </c>
      <c r="AH476" s="44" t="e">
        <f aca="false">IF(AD476=1,(Z476-I$1030)^2,0)</f>
        <v>#N/A</v>
      </c>
      <c r="AI476" s="44" t="e">
        <f aca="false">IF(AE476=1,(AA476-J$1030)^2,0)</f>
        <v>#N/A</v>
      </c>
    </row>
    <row r="477" customFormat="false" ht="12" hidden="false" customHeight="false" outlineLevel="0" collapsed="false">
      <c r="A477" s="29" t="n">
        <v>460</v>
      </c>
      <c r="B477" s="45" t="n">
        <f aca="true">IF(RAND()&lt;$D$8,1,0)</f>
        <v>1</v>
      </c>
      <c r="C477" s="34" t="n">
        <f aca="true">-LN(RAND())/$D$2</f>
        <v>1.59580730867898</v>
      </c>
      <c r="D477" s="46" t="n">
        <f aca="false">D476+C477</f>
        <v>720.508585783121</v>
      </c>
      <c r="E477" s="47" t="e">
        <f aca="false">MAX($D$3,(1+P476-VLOOKUP(VALUE(D477),$J$18:$Q476,7,TRUE()))*$D$3)</f>
        <v>#N/A</v>
      </c>
      <c r="F477" s="47" t="e">
        <f aca="false">MAX($D$4,(1+Q476-VLOOKUP(VALUE(D477),$M$18:$Q476,5,TRUE()))*$D$4)</f>
        <v>#N/A</v>
      </c>
      <c r="G477" s="48" t="n">
        <v>0.5</v>
      </c>
      <c r="H477" s="46" t="e">
        <f aca="true">IF((B477=1),(IF((F477&lt;E477),1,(IF((F477=E477),(IF(RAND()&lt;G477,1,0)),0)))),(IF((RAND()&lt;G477),1,0)))</f>
        <v>#N/A</v>
      </c>
      <c r="I477" s="46" t="e">
        <f aca="true">IF((H477=1),0,$D$3+$D$5*(RAND()-0.5))</f>
        <v>#N/A</v>
      </c>
      <c r="J477" s="46" t="e">
        <f aca="false">I477+MAX(D477,J476)</f>
        <v>#N/A</v>
      </c>
      <c r="K477" s="46" t="e">
        <f aca="false">IF((H477=0),J477-D477,0)</f>
        <v>#N/A</v>
      </c>
      <c r="L477" s="46" t="e">
        <f aca="true">IF(($H477=0),0,$D$4+$D$5*(RAND()-0.5))</f>
        <v>#N/A</v>
      </c>
      <c r="M477" s="46" t="e">
        <f aca="false">L477+MAX(D477,M476)</f>
        <v>#N/A</v>
      </c>
      <c r="N477" s="46" t="e">
        <f aca="false">IF((H477=1),M477-D477,0)</f>
        <v>#N/A</v>
      </c>
      <c r="O477" s="29" t="n">
        <v>460</v>
      </c>
      <c r="P477" s="49" t="e">
        <f aca="false">IF((Arterial=0),P476+1,P476)</f>
        <v>#N/A</v>
      </c>
      <c r="Q477" s="49" t="e">
        <f aca="false">IF((Arterial=1),Q476+1,Q476)</f>
        <v>#N/A</v>
      </c>
      <c r="R477" s="50" t="n">
        <f aca="false">IF((RESET=1),0,R477+K477)</f>
        <v>0</v>
      </c>
      <c r="S477" s="19" t="n">
        <f aca="false">IF(RESET=1,0,S477+N477)</f>
        <v>0</v>
      </c>
      <c r="T477" s="0" t="n">
        <f aca="false">IF(RESET=1,0,T477+IF(H477=0,1,0))</f>
        <v>0</v>
      </c>
      <c r="U477" s="0" t="n">
        <f aca="false">IF(RESET=1,0,U477+H477)</f>
        <v>0</v>
      </c>
      <c r="V477" s="19" t="n">
        <f aca="false">R477/(T477+0.00001)</f>
        <v>0</v>
      </c>
      <c r="W477" s="19" t="n">
        <f aca="false">S477/(U477+0.0001)</f>
        <v>0</v>
      </c>
      <c r="X477" s="47" t="e">
        <f aca="false">IF(Informed=1,K477,0)</f>
        <v>#N/A</v>
      </c>
      <c r="Y477" s="47" t="n">
        <f aca="false">IF(Informed=0,K477,0)</f>
        <v>0</v>
      </c>
      <c r="Z477" s="47" t="e">
        <f aca="false">IF(Informed=1,N477,0)</f>
        <v>#N/A</v>
      </c>
      <c r="AA477" s="47" t="n">
        <f aca="false">IF(Informed=0,N477,0)</f>
        <v>0</v>
      </c>
      <c r="AB477" s="51" t="e">
        <f aca="false">IF(Arterial=0,IF(Informed=1,1,0),0)</f>
        <v>#N/A</v>
      </c>
      <c r="AC477" s="51" t="e">
        <f aca="false">IF(Arterial=0,IF(Informed=0,1,0),0)</f>
        <v>#N/A</v>
      </c>
      <c r="AD477" s="51" t="e">
        <f aca="false">IF(Arterial=1,IF(Informed=1,1,0),0)</f>
        <v>#N/A</v>
      </c>
      <c r="AE477" s="51" t="e">
        <f aca="false">IF(Arterial=1,IF(Informed=0,1,0),0)</f>
        <v>#N/A</v>
      </c>
      <c r="AF477" s="44" t="e">
        <f aca="false">IF(AB477=1,(X477-G$1030)^2,0)</f>
        <v>#N/A</v>
      </c>
      <c r="AG477" s="44" t="e">
        <f aca="false">IF(AC477=1,(Y477-H$1030)^2,0)</f>
        <v>#N/A</v>
      </c>
      <c r="AH477" s="44" t="e">
        <f aca="false">IF(AD477=1,(Z477-I$1030)^2,0)</f>
        <v>#N/A</v>
      </c>
      <c r="AI477" s="44" t="e">
        <f aca="false">IF(AE477=1,(AA477-J$1030)^2,0)</f>
        <v>#N/A</v>
      </c>
    </row>
    <row r="478" customFormat="false" ht="12" hidden="false" customHeight="false" outlineLevel="0" collapsed="false">
      <c r="A478" s="29" t="n">
        <v>461</v>
      </c>
      <c r="B478" s="45" t="n">
        <f aca="true">IF(RAND()&lt;$D$8,1,0)</f>
        <v>1</v>
      </c>
      <c r="C478" s="34" t="n">
        <f aca="true">-LN(RAND())/$D$2</f>
        <v>5.32165909747714</v>
      </c>
      <c r="D478" s="46" t="n">
        <f aca="false">D477+C478</f>
        <v>725.830244880598</v>
      </c>
      <c r="E478" s="47" t="e">
        <f aca="false">MAX($D$3,(1+P477-VLOOKUP(VALUE(D478),$J$18:$Q477,7,TRUE()))*$D$3)</f>
        <v>#N/A</v>
      </c>
      <c r="F478" s="47" t="e">
        <f aca="false">MAX($D$4,(1+Q477-VLOOKUP(VALUE(D478),$M$18:$Q477,5,TRUE()))*$D$4)</f>
        <v>#N/A</v>
      </c>
      <c r="G478" s="48" t="n">
        <v>0.5</v>
      </c>
      <c r="H478" s="46" t="e">
        <f aca="true">IF((B478=1),(IF((F478&lt;E478),1,(IF((F478=E478),(IF(RAND()&lt;G478,1,0)),0)))),(IF((RAND()&lt;G478),1,0)))</f>
        <v>#N/A</v>
      </c>
      <c r="I478" s="46" t="e">
        <f aca="true">IF((H478=1),0,$D$3+$D$5*(RAND()-0.5))</f>
        <v>#N/A</v>
      </c>
      <c r="J478" s="46" t="e">
        <f aca="false">I478+MAX(D478,J477)</f>
        <v>#N/A</v>
      </c>
      <c r="K478" s="46" t="e">
        <f aca="false">IF((H478=0),J478-D478,0)</f>
        <v>#N/A</v>
      </c>
      <c r="L478" s="46" t="e">
        <f aca="true">IF(($H478=0),0,$D$4+$D$5*(RAND()-0.5))</f>
        <v>#N/A</v>
      </c>
      <c r="M478" s="46" t="e">
        <f aca="false">L478+MAX(D478,M477)</f>
        <v>#N/A</v>
      </c>
      <c r="N478" s="46" t="e">
        <f aca="false">IF((H478=1),M478-D478,0)</f>
        <v>#N/A</v>
      </c>
      <c r="O478" s="29" t="n">
        <v>461</v>
      </c>
      <c r="P478" s="49" t="e">
        <f aca="false">IF((Arterial=0),P477+1,P477)</f>
        <v>#N/A</v>
      </c>
      <c r="Q478" s="49" t="e">
        <f aca="false">IF((Arterial=1),Q477+1,Q477)</f>
        <v>#N/A</v>
      </c>
      <c r="R478" s="50" t="n">
        <f aca="false">IF((RESET=1),0,R478+K478)</f>
        <v>0</v>
      </c>
      <c r="S478" s="19" t="n">
        <f aca="false">IF(RESET=1,0,S478+N478)</f>
        <v>0</v>
      </c>
      <c r="T478" s="0" t="n">
        <f aca="false">IF(RESET=1,0,T478+IF(H478=0,1,0))</f>
        <v>0</v>
      </c>
      <c r="U478" s="0" t="n">
        <f aca="false">IF(RESET=1,0,U478+H478)</f>
        <v>0</v>
      </c>
      <c r="V478" s="19" t="n">
        <f aca="false">R478/(T478+0.00001)</f>
        <v>0</v>
      </c>
      <c r="W478" s="19" t="n">
        <f aca="false">S478/(U478+0.0001)</f>
        <v>0</v>
      </c>
      <c r="X478" s="47" t="e">
        <f aca="false">IF(Informed=1,K478,0)</f>
        <v>#N/A</v>
      </c>
      <c r="Y478" s="47" t="n">
        <f aca="false">IF(Informed=0,K478,0)</f>
        <v>0</v>
      </c>
      <c r="Z478" s="47" t="e">
        <f aca="false">IF(Informed=1,N478,0)</f>
        <v>#N/A</v>
      </c>
      <c r="AA478" s="47" t="n">
        <f aca="false">IF(Informed=0,N478,0)</f>
        <v>0</v>
      </c>
      <c r="AB478" s="51" t="e">
        <f aca="false">IF(Arterial=0,IF(Informed=1,1,0),0)</f>
        <v>#N/A</v>
      </c>
      <c r="AC478" s="51" t="e">
        <f aca="false">IF(Arterial=0,IF(Informed=0,1,0),0)</f>
        <v>#N/A</v>
      </c>
      <c r="AD478" s="51" t="e">
        <f aca="false">IF(Arterial=1,IF(Informed=1,1,0),0)</f>
        <v>#N/A</v>
      </c>
      <c r="AE478" s="51" t="e">
        <f aca="false">IF(Arterial=1,IF(Informed=0,1,0),0)</f>
        <v>#N/A</v>
      </c>
      <c r="AF478" s="44" t="e">
        <f aca="false">IF(AB478=1,(X478-G$1030)^2,0)</f>
        <v>#N/A</v>
      </c>
      <c r="AG478" s="44" t="e">
        <f aca="false">IF(AC478=1,(Y478-H$1030)^2,0)</f>
        <v>#N/A</v>
      </c>
      <c r="AH478" s="44" t="e">
        <f aca="false">IF(AD478=1,(Z478-I$1030)^2,0)</f>
        <v>#N/A</v>
      </c>
      <c r="AI478" s="44" t="e">
        <f aca="false">IF(AE478=1,(AA478-J$1030)^2,0)</f>
        <v>#N/A</v>
      </c>
    </row>
    <row r="479" customFormat="false" ht="12" hidden="false" customHeight="false" outlineLevel="0" collapsed="false">
      <c r="A479" s="29" t="n">
        <v>462</v>
      </c>
      <c r="B479" s="45" t="n">
        <f aca="true">IF(RAND()&lt;$D$8,1,0)</f>
        <v>1</v>
      </c>
      <c r="C479" s="34" t="n">
        <f aca="true">-LN(RAND())/$D$2</f>
        <v>2.91470881774986</v>
      </c>
      <c r="D479" s="46" t="n">
        <f aca="false">D478+C479</f>
        <v>728.744953698348</v>
      </c>
      <c r="E479" s="47" t="e">
        <f aca="false">MAX($D$3,(1+P478-VLOOKUP(VALUE(D479),$J$18:$Q478,7,TRUE()))*$D$3)</f>
        <v>#N/A</v>
      </c>
      <c r="F479" s="47" t="e">
        <f aca="false">MAX($D$4,(1+Q478-VLOOKUP(VALUE(D479),$M$18:$Q478,5,TRUE()))*$D$4)</f>
        <v>#N/A</v>
      </c>
      <c r="G479" s="48" t="n">
        <v>0.5</v>
      </c>
      <c r="H479" s="46" t="e">
        <f aca="true">IF((B479=1),(IF((F479&lt;E479),1,(IF((F479=E479),(IF(RAND()&lt;G479,1,0)),0)))),(IF((RAND()&lt;G479),1,0)))</f>
        <v>#N/A</v>
      </c>
      <c r="I479" s="46" t="e">
        <f aca="true">IF((H479=1),0,$D$3+$D$5*(RAND()-0.5))</f>
        <v>#N/A</v>
      </c>
      <c r="J479" s="46" t="e">
        <f aca="false">I479+MAX(D479,J478)</f>
        <v>#N/A</v>
      </c>
      <c r="K479" s="46" t="e">
        <f aca="false">IF((H479=0),J479-D479,0)</f>
        <v>#N/A</v>
      </c>
      <c r="L479" s="46" t="e">
        <f aca="true">IF(($H479=0),0,$D$4+$D$5*(RAND()-0.5))</f>
        <v>#N/A</v>
      </c>
      <c r="M479" s="46" t="e">
        <f aca="false">L479+MAX(D479,M478)</f>
        <v>#N/A</v>
      </c>
      <c r="N479" s="46" t="e">
        <f aca="false">IF((H479=1),M479-D479,0)</f>
        <v>#N/A</v>
      </c>
      <c r="O479" s="29" t="n">
        <v>462</v>
      </c>
      <c r="P479" s="49" t="e">
        <f aca="false">IF((Arterial=0),P478+1,P478)</f>
        <v>#N/A</v>
      </c>
      <c r="Q479" s="49" t="e">
        <f aca="false">IF((Arterial=1),Q478+1,Q478)</f>
        <v>#N/A</v>
      </c>
      <c r="R479" s="50" t="n">
        <f aca="false">IF((RESET=1),0,R479+K479)</f>
        <v>0</v>
      </c>
      <c r="S479" s="19" t="n">
        <f aca="false">IF(RESET=1,0,S479+N479)</f>
        <v>0</v>
      </c>
      <c r="T479" s="0" t="n">
        <f aca="false">IF(RESET=1,0,T479+IF(H479=0,1,0))</f>
        <v>0</v>
      </c>
      <c r="U479" s="0" t="n">
        <f aca="false">IF(RESET=1,0,U479+H479)</f>
        <v>0</v>
      </c>
      <c r="V479" s="19" t="n">
        <f aca="false">R479/(T479+0.00001)</f>
        <v>0</v>
      </c>
      <c r="W479" s="19" t="n">
        <f aca="false">S479/(U479+0.0001)</f>
        <v>0</v>
      </c>
      <c r="X479" s="47" t="e">
        <f aca="false">IF(Informed=1,K479,0)</f>
        <v>#N/A</v>
      </c>
      <c r="Y479" s="47" t="n">
        <f aca="false">IF(Informed=0,K479,0)</f>
        <v>0</v>
      </c>
      <c r="Z479" s="47" t="e">
        <f aca="false">IF(Informed=1,N479,0)</f>
        <v>#N/A</v>
      </c>
      <c r="AA479" s="47" t="n">
        <f aca="false">IF(Informed=0,N479,0)</f>
        <v>0</v>
      </c>
      <c r="AB479" s="51" t="e">
        <f aca="false">IF(Arterial=0,IF(Informed=1,1,0),0)</f>
        <v>#N/A</v>
      </c>
      <c r="AC479" s="51" t="e">
        <f aca="false">IF(Arterial=0,IF(Informed=0,1,0),0)</f>
        <v>#N/A</v>
      </c>
      <c r="AD479" s="51" t="e">
        <f aca="false">IF(Arterial=1,IF(Informed=1,1,0),0)</f>
        <v>#N/A</v>
      </c>
      <c r="AE479" s="51" t="e">
        <f aca="false">IF(Arterial=1,IF(Informed=0,1,0),0)</f>
        <v>#N/A</v>
      </c>
      <c r="AF479" s="44" t="e">
        <f aca="false">IF(AB479=1,(X479-G$1030)^2,0)</f>
        <v>#N/A</v>
      </c>
      <c r="AG479" s="44" t="e">
        <f aca="false">IF(AC479=1,(Y479-H$1030)^2,0)</f>
        <v>#N/A</v>
      </c>
      <c r="AH479" s="44" t="e">
        <f aca="false">IF(AD479=1,(Z479-I$1030)^2,0)</f>
        <v>#N/A</v>
      </c>
      <c r="AI479" s="44" t="e">
        <f aca="false">IF(AE479=1,(AA479-J$1030)^2,0)</f>
        <v>#N/A</v>
      </c>
    </row>
    <row r="480" customFormat="false" ht="12" hidden="false" customHeight="false" outlineLevel="0" collapsed="false">
      <c r="A480" s="29" t="n">
        <v>463</v>
      </c>
      <c r="B480" s="45" t="n">
        <f aca="true">IF(RAND()&lt;$D$8,1,0)</f>
        <v>1</v>
      </c>
      <c r="C480" s="34" t="n">
        <f aca="true">-LN(RAND())/$D$2</f>
        <v>0.820137048384982</v>
      </c>
      <c r="D480" s="46" t="n">
        <f aca="false">D479+C480</f>
        <v>729.565090746733</v>
      </c>
      <c r="E480" s="47" t="e">
        <f aca="false">MAX($D$3,(1+P479-VLOOKUP(VALUE(D480),$J$18:$Q479,7,TRUE()))*$D$3)</f>
        <v>#N/A</v>
      </c>
      <c r="F480" s="47" t="e">
        <f aca="false">MAX($D$4,(1+Q479-VLOOKUP(VALUE(D480),$M$18:$Q479,5,TRUE()))*$D$4)</f>
        <v>#N/A</v>
      </c>
      <c r="G480" s="48" t="n">
        <v>0.5</v>
      </c>
      <c r="H480" s="46" t="e">
        <f aca="true">IF((B480=1),(IF((F480&lt;E480),1,(IF((F480=E480),(IF(RAND()&lt;G480,1,0)),0)))),(IF((RAND()&lt;G480),1,0)))</f>
        <v>#N/A</v>
      </c>
      <c r="I480" s="46" t="e">
        <f aca="true">IF((H480=1),0,$D$3+$D$5*(RAND()-0.5))</f>
        <v>#N/A</v>
      </c>
      <c r="J480" s="46" t="e">
        <f aca="false">I480+MAX(D480,J479)</f>
        <v>#N/A</v>
      </c>
      <c r="K480" s="46" t="e">
        <f aca="false">IF((H480=0),J480-D480,0)</f>
        <v>#N/A</v>
      </c>
      <c r="L480" s="46" t="e">
        <f aca="true">IF(($H480=0),0,$D$4+$D$5*(RAND()-0.5))</f>
        <v>#N/A</v>
      </c>
      <c r="M480" s="46" t="e">
        <f aca="false">L480+MAX(D480,M479)</f>
        <v>#N/A</v>
      </c>
      <c r="N480" s="46" t="e">
        <f aca="false">IF((H480=1),M480-D480,0)</f>
        <v>#N/A</v>
      </c>
      <c r="O480" s="29" t="n">
        <v>463</v>
      </c>
      <c r="P480" s="49" t="e">
        <f aca="false">IF((Arterial=0),P479+1,P479)</f>
        <v>#N/A</v>
      </c>
      <c r="Q480" s="49" t="e">
        <f aca="false">IF((Arterial=1),Q479+1,Q479)</f>
        <v>#N/A</v>
      </c>
      <c r="R480" s="50" t="n">
        <f aca="false">IF((RESET=1),0,R480+K480)</f>
        <v>0</v>
      </c>
      <c r="S480" s="19" t="n">
        <f aca="false">IF(RESET=1,0,S480+N480)</f>
        <v>0</v>
      </c>
      <c r="T480" s="0" t="n">
        <f aca="false">IF(RESET=1,0,T480+IF(H480=0,1,0))</f>
        <v>0</v>
      </c>
      <c r="U480" s="0" t="n">
        <f aca="false">IF(RESET=1,0,U480+H480)</f>
        <v>0</v>
      </c>
      <c r="V480" s="19" t="n">
        <f aca="false">R480/(T480+0.00001)</f>
        <v>0</v>
      </c>
      <c r="W480" s="19" t="n">
        <f aca="false">S480/(U480+0.0001)</f>
        <v>0</v>
      </c>
      <c r="X480" s="47" t="e">
        <f aca="false">IF(Informed=1,K480,0)</f>
        <v>#N/A</v>
      </c>
      <c r="Y480" s="47" t="n">
        <f aca="false">IF(Informed=0,K480,0)</f>
        <v>0</v>
      </c>
      <c r="Z480" s="47" t="e">
        <f aca="false">IF(Informed=1,N480,0)</f>
        <v>#N/A</v>
      </c>
      <c r="AA480" s="47" t="n">
        <f aca="false">IF(Informed=0,N480,0)</f>
        <v>0</v>
      </c>
      <c r="AB480" s="51" t="e">
        <f aca="false">IF(Arterial=0,IF(Informed=1,1,0),0)</f>
        <v>#N/A</v>
      </c>
      <c r="AC480" s="51" t="e">
        <f aca="false">IF(Arterial=0,IF(Informed=0,1,0),0)</f>
        <v>#N/A</v>
      </c>
      <c r="AD480" s="51" t="e">
        <f aca="false">IF(Arterial=1,IF(Informed=1,1,0),0)</f>
        <v>#N/A</v>
      </c>
      <c r="AE480" s="51" t="e">
        <f aca="false">IF(Arterial=1,IF(Informed=0,1,0),0)</f>
        <v>#N/A</v>
      </c>
      <c r="AF480" s="44" t="e">
        <f aca="false">IF(AB480=1,(X480-G$1030)^2,0)</f>
        <v>#N/A</v>
      </c>
      <c r="AG480" s="44" t="e">
        <f aca="false">IF(AC480=1,(Y480-H$1030)^2,0)</f>
        <v>#N/A</v>
      </c>
      <c r="AH480" s="44" t="e">
        <f aca="false">IF(AD480=1,(Z480-I$1030)^2,0)</f>
        <v>#N/A</v>
      </c>
      <c r="AI480" s="44" t="e">
        <f aca="false">IF(AE480=1,(AA480-J$1030)^2,0)</f>
        <v>#N/A</v>
      </c>
    </row>
    <row r="481" customFormat="false" ht="12" hidden="false" customHeight="false" outlineLevel="0" collapsed="false">
      <c r="A481" s="29" t="n">
        <v>464</v>
      </c>
      <c r="B481" s="45" t="n">
        <f aca="true">IF(RAND()&lt;$D$8,1,0)</f>
        <v>1</v>
      </c>
      <c r="C481" s="34" t="n">
        <f aca="true">-LN(RAND())/$D$2</f>
        <v>1.06208410901377</v>
      </c>
      <c r="D481" s="46" t="n">
        <f aca="false">D480+C481</f>
        <v>730.627174855747</v>
      </c>
      <c r="E481" s="47" t="e">
        <f aca="false">MAX($D$3,(1+P480-VLOOKUP(VALUE(D481),$J$18:$Q480,7,TRUE()))*$D$3)</f>
        <v>#N/A</v>
      </c>
      <c r="F481" s="47" t="e">
        <f aca="false">MAX($D$4,(1+Q480-VLOOKUP(VALUE(D481),$M$18:$Q480,5,TRUE()))*$D$4)</f>
        <v>#N/A</v>
      </c>
      <c r="G481" s="48" t="n">
        <v>0.5</v>
      </c>
      <c r="H481" s="46" t="e">
        <f aca="true">IF((B481=1),(IF((F481&lt;E481),1,(IF((F481=E481),(IF(RAND()&lt;G481,1,0)),0)))),(IF((RAND()&lt;G481),1,0)))</f>
        <v>#N/A</v>
      </c>
      <c r="I481" s="46" t="e">
        <f aca="true">IF((H481=1),0,$D$3+$D$5*(RAND()-0.5))</f>
        <v>#N/A</v>
      </c>
      <c r="J481" s="46" t="e">
        <f aca="false">I481+MAX(D481,J480)</f>
        <v>#N/A</v>
      </c>
      <c r="K481" s="46" t="e">
        <f aca="false">IF((H481=0),J481-D481,0)</f>
        <v>#N/A</v>
      </c>
      <c r="L481" s="46" t="e">
        <f aca="true">IF(($H481=0),0,$D$4+$D$5*(RAND()-0.5))</f>
        <v>#N/A</v>
      </c>
      <c r="M481" s="46" t="e">
        <f aca="false">L481+MAX(D481,M480)</f>
        <v>#N/A</v>
      </c>
      <c r="N481" s="46" t="e">
        <f aca="false">IF((H481=1),M481-D481,0)</f>
        <v>#N/A</v>
      </c>
      <c r="O481" s="29" t="n">
        <v>464</v>
      </c>
      <c r="P481" s="49" t="e">
        <f aca="false">IF((Arterial=0),P480+1,P480)</f>
        <v>#N/A</v>
      </c>
      <c r="Q481" s="49" t="e">
        <f aca="false">IF((Arterial=1),Q480+1,Q480)</f>
        <v>#N/A</v>
      </c>
      <c r="R481" s="50" t="n">
        <f aca="false">IF((RESET=1),0,R481+K481)</f>
        <v>0</v>
      </c>
      <c r="S481" s="19" t="n">
        <f aca="false">IF(RESET=1,0,S481+N481)</f>
        <v>0</v>
      </c>
      <c r="T481" s="0" t="n">
        <f aca="false">IF(RESET=1,0,T481+IF(H481=0,1,0))</f>
        <v>0</v>
      </c>
      <c r="U481" s="0" t="n">
        <f aca="false">IF(RESET=1,0,U481+H481)</f>
        <v>0</v>
      </c>
      <c r="V481" s="19" t="n">
        <f aca="false">R481/(T481+0.00001)</f>
        <v>0</v>
      </c>
      <c r="W481" s="19" t="n">
        <f aca="false">S481/(U481+0.0001)</f>
        <v>0</v>
      </c>
      <c r="X481" s="47" t="e">
        <f aca="false">IF(Informed=1,K481,0)</f>
        <v>#N/A</v>
      </c>
      <c r="Y481" s="47" t="n">
        <f aca="false">IF(Informed=0,K481,0)</f>
        <v>0</v>
      </c>
      <c r="Z481" s="47" t="e">
        <f aca="false">IF(Informed=1,N481,0)</f>
        <v>#N/A</v>
      </c>
      <c r="AA481" s="47" t="n">
        <f aca="false">IF(Informed=0,N481,0)</f>
        <v>0</v>
      </c>
      <c r="AB481" s="51" t="e">
        <f aca="false">IF(Arterial=0,IF(Informed=1,1,0),0)</f>
        <v>#N/A</v>
      </c>
      <c r="AC481" s="51" t="e">
        <f aca="false">IF(Arterial=0,IF(Informed=0,1,0),0)</f>
        <v>#N/A</v>
      </c>
      <c r="AD481" s="51" t="e">
        <f aca="false">IF(Arterial=1,IF(Informed=1,1,0),0)</f>
        <v>#N/A</v>
      </c>
      <c r="AE481" s="51" t="e">
        <f aca="false">IF(Arterial=1,IF(Informed=0,1,0),0)</f>
        <v>#N/A</v>
      </c>
      <c r="AF481" s="44" t="e">
        <f aca="false">IF(AB481=1,(X481-G$1030)^2,0)</f>
        <v>#N/A</v>
      </c>
      <c r="AG481" s="44" t="e">
        <f aca="false">IF(AC481=1,(Y481-H$1030)^2,0)</f>
        <v>#N/A</v>
      </c>
      <c r="AH481" s="44" t="e">
        <f aca="false">IF(AD481=1,(Z481-I$1030)^2,0)</f>
        <v>#N/A</v>
      </c>
      <c r="AI481" s="44" t="e">
        <f aca="false">IF(AE481=1,(AA481-J$1030)^2,0)</f>
        <v>#N/A</v>
      </c>
    </row>
    <row r="482" customFormat="false" ht="12" hidden="false" customHeight="false" outlineLevel="0" collapsed="false">
      <c r="A482" s="29" t="n">
        <v>465</v>
      </c>
      <c r="B482" s="45" t="n">
        <f aca="true">IF(RAND()&lt;$D$8,1,0)</f>
        <v>1</v>
      </c>
      <c r="C482" s="34" t="n">
        <f aca="true">-LN(RAND())/$D$2</f>
        <v>1.36087605997425</v>
      </c>
      <c r="D482" s="46" t="n">
        <f aca="false">D481+C482</f>
        <v>731.988050915721</v>
      </c>
      <c r="E482" s="47" t="e">
        <f aca="false">MAX($D$3,(1+P481-VLOOKUP(VALUE(D482),$J$18:$Q481,7,TRUE()))*$D$3)</f>
        <v>#N/A</v>
      </c>
      <c r="F482" s="47" t="e">
        <f aca="false">MAX($D$4,(1+Q481-VLOOKUP(VALUE(D482),$M$18:$Q481,5,TRUE()))*$D$4)</f>
        <v>#N/A</v>
      </c>
      <c r="G482" s="48" t="n">
        <v>0.5</v>
      </c>
      <c r="H482" s="46" t="e">
        <f aca="true">IF((B482=1),(IF((F482&lt;E482),1,(IF((F482=E482),(IF(RAND()&lt;G482,1,0)),0)))),(IF((RAND()&lt;G482),1,0)))</f>
        <v>#N/A</v>
      </c>
      <c r="I482" s="46" t="e">
        <f aca="true">IF((H482=1),0,$D$3+$D$5*(RAND()-0.5))</f>
        <v>#N/A</v>
      </c>
      <c r="J482" s="46" t="e">
        <f aca="false">I482+MAX(D482,J481)</f>
        <v>#N/A</v>
      </c>
      <c r="K482" s="46" t="e">
        <f aca="false">IF((H482=0),J482-D482,0)</f>
        <v>#N/A</v>
      </c>
      <c r="L482" s="46" t="e">
        <f aca="true">IF(($H482=0),0,$D$4+$D$5*(RAND()-0.5))</f>
        <v>#N/A</v>
      </c>
      <c r="M482" s="46" t="e">
        <f aca="false">L482+MAX(D482,M481)</f>
        <v>#N/A</v>
      </c>
      <c r="N482" s="46" t="e">
        <f aca="false">IF((H482=1),M482-D482,0)</f>
        <v>#N/A</v>
      </c>
      <c r="O482" s="29" t="n">
        <v>465</v>
      </c>
      <c r="P482" s="49" t="e">
        <f aca="false">IF((Arterial=0),P481+1,P481)</f>
        <v>#N/A</v>
      </c>
      <c r="Q482" s="49" t="e">
        <f aca="false">IF((Arterial=1),Q481+1,Q481)</f>
        <v>#N/A</v>
      </c>
      <c r="R482" s="50" t="n">
        <f aca="false">IF((RESET=1),0,R482+K482)</f>
        <v>0</v>
      </c>
      <c r="S482" s="19" t="n">
        <f aca="false">IF(RESET=1,0,S482+N482)</f>
        <v>0</v>
      </c>
      <c r="T482" s="0" t="n">
        <f aca="false">IF(RESET=1,0,T482+IF(H482=0,1,0))</f>
        <v>0</v>
      </c>
      <c r="U482" s="0" t="n">
        <f aca="false">IF(RESET=1,0,U482+H482)</f>
        <v>0</v>
      </c>
      <c r="V482" s="19" t="n">
        <f aca="false">R482/(T482+0.00001)</f>
        <v>0</v>
      </c>
      <c r="W482" s="19" t="n">
        <f aca="false">S482/(U482+0.0001)</f>
        <v>0</v>
      </c>
      <c r="X482" s="47" t="e">
        <f aca="false">IF(Informed=1,K482,0)</f>
        <v>#N/A</v>
      </c>
      <c r="Y482" s="47" t="n">
        <f aca="false">IF(Informed=0,K482,0)</f>
        <v>0</v>
      </c>
      <c r="Z482" s="47" t="e">
        <f aca="false">IF(Informed=1,N482,0)</f>
        <v>#N/A</v>
      </c>
      <c r="AA482" s="47" t="n">
        <f aca="false">IF(Informed=0,N482,0)</f>
        <v>0</v>
      </c>
      <c r="AB482" s="51" t="e">
        <f aca="false">IF(Arterial=0,IF(Informed=1,1,0),0)</f>
        <v>#N/A</v>
      </c>
      <c r="AC482" s="51" t="e">
        <f aca="false">IF(Arterial=0,IF(Informed=0,1,0),0)</f>
        <v>#N/A</v>
      </c>
      <c r="AD482" s="51" t="e">
        <f aca="false">IF(Arterial=1,IF(Informed=1,1,0),0)</f>
        <v>#N/A</v>
      </c>
      <c r="AE482" s="51" t="e">
        <f aca="false">IF(Arterial=1,IF(Informed=0,1,0),0)</f>
        <v>#N/A</v>
      </c>
      <c r="AF482" s="44" t="e">
        <f aca="false">IF(AB482=1,(X482-G$1030)^2,0)</f>
        <v>#N/A</v>
      </c>
      <c r="AG482" s="44" t="e">
        <f aca="false">IF(AC482=1,(Y482-H$1030)^2,0)</f>
        <v>#N/A</v>
      </c>
      <c r="AH482" s="44" t="e">
        <f aca="false">IF(AD482=1,(Z482-I$1030)^2,0)</f>
        <v>#N/A</v>
      </c>
      <c r="AI482" s="44" t="e">
        <f aca="false">IF(AE482=1,(AA482-J$1030)^2,0)</f>
        <v>#N/A</v>
      </c>
    </row>
    <row r="483" customFormat="false" ht="12" hidden="false" customHeight="false" outlineLevel="0" collapsed="false">
      <c r="A483" s="29" t="n">
        <v>466</v>
      </c>
      <c r="B483" s="45" t="n">
        <f aca="true">IF(RAND()&lt;$D$8,1,0)</f>
        <v>1</v>
      </c>
      <c r="C483" s="34" t="n">
        <f aca="true">-LN(RAND())/$D$2</f>
        <v>2.31291230742001</v>
      </c>
      <c r="D483" s="46" t="n">
        <f aca="false">D482+C483</f>
        <v>734.300963223141</v>
      </c>
      <c r="E483" s="47" t="e">
        <f aca="false">MAX($D$3,(1+P482-VLOOKUP(VALUE(D483),$J$18:$Q482,7,TRUE()))*$D$3)</f>
        <v>#N/A</v>
      </c>
      <c r="F483" s="47" t="e">
        <f aca="false">MAX($D$4,(1+Q482-VLOOKUP(VALUE(D483),$M$18:$Q482,5,TRUE()))*$D$4)</f>
        <v>#N/A</v>
      </c>
      <c r="G483" s="48" t="n">
        <v>0.5</v>
      </c>
      <c r="H483" s="46" t="e">
        <f aca="true">IF((B483=1),(IF((F483&lt;E483),1,(IF((F483=E483),(IF(RAND()&lt;G483,1,0)),0)))),(IF((RAND()&lt;G483),1,0)))</f>
        <v>#N/A</v>
      </c>
      <c r="I483" s="46" t="e">
        <f aca="true">IF((H483=1),0,$D$3+$D$5*(RAND()-0.5))</f>
        <v>#N/A</v>
      </c>
      <c r="J483" s="46" t="e">
        <f aca="false">I483+MAX(D483,J482)</f>
        <v>#N/A</v>
      </c>
      <c r="K483" s="46" t="e">
        <f aca="false">IF((H483=0),J483-D483,0)</f>
        <v>#N/A</v>
      </c>
      <c r="L483" s="46" t="e">
        <f aca="true">IF(($H483=0),0,$D$4+$D$5*(RAND()-0.5))</f>
        <v>#N/A</v>
      </c>
      <c r="M483" s="46" t="e">
        <f aca="false">L483+MAX(D483,M482)</f>
        <v>#N/A</v>
      </c>
      <c r="N483" s="46" t="e">
        <f aca="false">IF((H483=1),M483-D483,0)</f>
        <v>#N/A</v>
      </c>
      <c r="O483" s="29" t="n">
        <v>466</v>
      </c>
      <c r="P483" s="49" t="e">
        <f aca="false">IF((Arterial=0),P482+1,P482)</f>
        <v>#N/A</v>
      </c>
      <c r="Q483" s="49" t="e">
        <f aca="false">IF((Arterial=1),Q482+1,Q482)</f>
        <v>#N/A</v>
      </c>
      <c r="R483" s="50" t="n">
        <f aca="false">IF((RESET=1),0,R483+K483)</f>
        <v>0</v>
      </c>
      <c r="S483" s="19" t="n">
        <f aca="false">IF(RESET=1,0,S483+N483)</f>
        <v>0</v>
      </c>
      <c r="T483" s="0" t="n">
        <f aca="false">IF(RESET=1,0,T483+IF(H483=0,1,0))</f>
        <v>0</v>
      </c>
      <c r="U483" s="0" t="n">
        <f aca="false">IF(RESET=1,0,U483+H483)</f>
        <v>0</v>
      </c>
      <c r="V483" s="19" t="n">
        <f aca="false">R483/(T483+0.00001)</f>
        <v>0</v>
      </c>
      <c r="W483" s="19" t="n">
        <f aca="false">S483/(U483+0.0001)</f>
        <v>0</v>
      </c>
      <c r="X483" s="47" t="e">
        <f aca="false">IF(Informed=1,K483,0)</f>
        <v>#N/A</v>
      </c>
      <c r="Y483" s="47" t="n">
        <f aca="false">IF(Informed=0,K483,0)</f>
        <v>0</v>
      </c>
      <c r="Z483" s="47" t="e">
        <f aca="false">IF(Informed=1,N483,0)</f>
        <v>#N/A</v>
      </c>
      <c r="AA483" s="47" t="n">
        <f aca="false">IF(Informed=0,N483,0)</f>
        <v>0</v>
      </c>
      <c r="AB483" s="51" t="e">
        <f aca="false">IF(Arterial=0,IF(Informed=1,1,0),0)</f>
        <v>#N/A</v>
      </c>
      <c r="AC483" s="51" t="e">
        <f aca="false">IF(Arterial=0,IF(Informed=0,1,0),0)</f>
        <v>#N/A</v>
      </c>
      <c r="AD483" s="51" t="e">
        <f aca="false">IF(Arterial=1,IF(Informed=1,1,0),0)</f>
        <v>#N/A</v>
      </c>
      <c r="AE483" s="51" t="e">
        <f aca="false">IF(Arterial=1,IF(Informed=0,1,0),0)</f>
        <v>#N/A</v>
      </c>
      <c r="AF483" s="44" t="e">
        <f aca="false">IF(AB483=1,(X483-G$1030)^2,0)</f>
        <v>#N/A</v>
      </c>
      <c r="AG483" s="44" t="e">
        <f aca="false">IF(AC483=1,(Y483-H$1030)^2,0)</f>
        <v>#N/A</v>
      </c>
      <c r="AH483" s="44" t="e">
        <f aca="false">IF(AD483=1,(Z483-I$1030)^2,0)</f>
        <v>#N/A</v>
      </c>
      <c r="AI483" s="44" t="e">
        <f aca="false">IF(AE483=1,(AA483-J$1030)^2,0)</f>
        <v>#N/A</v>
      </c>
    </row>
    <row r="484" customFormat="false" ht="12" hidden="false" customHeight="false" outlineLevel="0" collapsed="false">
      <c r="A484" s="29" t="n">
        <v>467</v>
      </c>
      <c r="B484" s="45" t="n">
        <f aca="true">IF(RAND()&lt;$D$8,1,0)</f>
        <v>1</v>
      </c>
      <c r="C484" s="34" t="n">
        <f aca="true">-LN(RAND())/$D$2</f>
        <v>7.00747376473337</v>
      </c>
      <c r="D484" s="46" t="n">
        <f aca="false">D483+C484</f>
        <v>741.308436987874</v>
      </c>
      <c r="E484" s="47" t="e">
        <f aca="false">MAX($D$3,(1+P483-VLOOKUP(VALUE(D484),$J$18:$Q483,7,TRUE()))*$D$3)</f>
        <v>#N/A</v>
      </c>
      <c r="F484" s="47" t="e">
        <f aca="false">MAX($D$4,(1+Q483-VLOOKUP(VALUE(D484),$M$18:$Q483,5,TRUE()))*$D$4)</f>
        <v>#N/A</v>
      </c>
      <c r="G484" s="48" t="n">
        <v>0.5</v>
      </c>
      <c r="H484" s="46" t="e">
        <f aca="true">IF((B484=1),(IF((F484&lt;E484),1,(IF((F484=E484),(IF(RAND()&lt;G484,1,0)),0)))),(IF((RAND()&lt;G484),1,0)))</f>
        <v>#N/A</v>
      </c>
      <c r="I484" s="46" t="e">
        <f aca="true">IF((H484=1),0,$D$3+$D$5*(RAND()-0.5))</f>
        <v>#N/A</v>
      </c>
      <c r="J484" s="46" t="e">
        <f aca="false">I484+MAX(D484,J483)</f>
        <v>#N/A</v>
      </c>
      <c r="K484" s="46" t="e">
        <f aca="false">IF((H484=0),J484-D484,0)</f>
        <v>#N/A</v>
      </c>
      <c r="L484" s="46" t="e">
        <f aca="true">IF(($H484=0),0,$D$4+$D$5*(RAND()-0.5))</f>
        <v>#N/A</v>
      </c>
      <c r="M484" s="46" t="e">
        <f aca="false">L484+MAX(D484,M483)</f>
        <v>#N/A</v>
      </c>
      <c r="N484" s="46" t="e">
        <f aca="false">IF((H484=1),M484-D484,0)</f>
        <v>#N/A</v>
      </c>
      <c r="O484" s="29" t="n">
        <v>467</v>
      </c>
      <c r="P484" s="49" t="e">
        <f aca="false">IF((Arterial=0),P483+1,P483)</f>
        <v>#N/A</v>
      </c>
      <c r="Q484" s="49" t="e">
        <f aca="false">IF((Arterial=1),Q483+1,Q483)</f>
        <v>#N/A</v>
      </c>
      <c r="R484" s="50" t="n">
        <f aca="false">IF((RESET=1),0,R484+K484)</f>
        <v>0</v>
      </c>
      <c r="S484" s="19" t="n">
        <f aca="false">IF(RESET=1,0,S484+N484)</f>
        <v>0</v>
      </c>
      <c r="T484" s="0" t="n">
        <f aca="false">IF(RESET=1,0,T484+IF(H484=0,1,0))</f>
        <v>0</v>
      </c>
      <c r="U484" s="0" t="n">
        <f aca="false">IF(RESET=1,0,U484+H484)</f>
        <v>0</v>
      </c>
      <c r="V484" s="19" t="n">
        <f aca="false">R484/(T484+0.00001)</f>
        <v>0</v>
      </c>
      <c r="W484" s="19" t="n">
        <f aca="false">S484/(U484+0.0001)</f>
        <v>0</v>
      </c>
      <c r="X484" s="47" t="e">
        <f aca="false">IF(Informed=1,K484,0)</f>
        <v>#N/A</v>
      </c>
      <c r="Y484" s="47" t="n">
        <f aca="false">IF(Informed=0,K484,0)</f>
        <v>0</v>
      </c>
      <c r="Z484" s="47" t="e">
        <f aca="false">IF(Informed=1,N484,0)</f>
        <v>#N/A</v>
      </c>
      <c r="AA484" s="47" t="n">
        <f aca="false">IF(Informed=0,N484,0)</f>
        <v>0</v>
      </c>
      <c r="AB484" s="51" t="e">
        <f aca="false">IF(Arterial=0,IF(Informed=1,1,0),0)</f>
        <v>#N/A</v>
      </c>
      <c r="AC484" s="51" t="e">
        <f aca="false">IF(Arterial=0,IF(Informed=0,1,0),0)</f>
        <v>#N/A</v>
      </c>
      <c r="AD484" s="51" t="e">
        <f aca="false">IF(Arterial=1,IF(Informed=1,1,0),0)</f>
        <v>#N/A</v>
      </c>
      <c r="AE484" s="51" t="e">
        <f aca="false">IF(Arterial=1,IF(Informed=0,1,0),0)</f>
        <v>#N/A</v>
      </c>
      <c r="AF484" s="44" t="e">
        <f aca="false">IF(AB484=1,(X484-G$1030)^2,0)</f>
        <v>#N/A</v>
      </c>
      <c r="AG484" s="44" t="e">
        <f aca="false">IF(AC484=1,(Y484-H$1030)^2,0)</f>
        <v>#N/A</v>
      </c>
      <c r="AH484" s="44" t="e">
        <f aca="false">IF(AD484=1,(Z484-I$1030)^2,0)</f>
        <v>#N/A</v>
      </c>
      <c r="AI484" s="44" t="e">
        <f aca="false">IF(AE484=1,(AA484-J$1030)^2,0)</f>
        <v>#N/A</v>
      </c>
    </row>
    <row r="485" customFormat="false" ht="12" hidden="false" customHeight="false" outlineLevel="0" collapsed="false">
      <c r="A485" s="29" t="n">
        <v>468</v>
      </c>
      <c r="B485" s="45" t="n">
        <f aca="true">IF(RAND()&lt;$D$8,1,0)</f>
        <v>1</v>
      </c>
      <c r="C485" s="34" t="n">
        <f aca="true">-LN(RAND())/$D$2</f>
        <v>4.76172445357452</v>
      </c>
      <c r="D485" s="46" t="n">
        <f aca="false">D484+C485</f>
        <v>746.070161441449</v>
      </c>
      <c r="E485" s="47" t="e">
        <f aca="false">MAX($D$3,(1+P484-VLOOKUP(VALUE(D485),$J$18:$Q484,7,TRUE()))*$D$3)</f>
        <v>#N/A</v>
      </c>
      <c r="F485" s="47" t="e">
        <f aca="false">MAX($D$4,(1+Q484-VLOOKUP(VALUE(D485),$M$18:$Q484,5,TRUE()))*$D$4)</f>
        <v>#N/A</v>
      </c>
      <c r="G485" s="48" t="n">
        <v>0.5</v>
      </c>
      <c r="H485" s="46" t="e">
        <f aca="true">IF((B485=1),(IF((F485&lt;E485),1,(IF((F485=E485),(IF(RAND()&lt;G485,1,0)),0)))),(IF((RAND()&lt;G485),1,0)))</f>
        <v>#N/A</v>
      </c>
      <c r="I485" s="46" t="e">
        <f aca="true">IF((H485=1),0,$D$3+$D$5*(RAND()-0.5))</f>
        <v>#N/A</v>
      </c>
      <c r="J485" s="46" t="e">
        <f aca="false">I485+MAX(D485,J484)</f>
        <v>#N/A</v>
      </c>
      <c r="K485" s="46" t="e">
        <f aca="false">IF((H485=0),J485-D485,0)</f>
        <v>#N/A</v>
      </c>
      <c r="L485" s="46" t="e">
        <f aca="true">IF(($H485=0),0,$D$4+$D$5*(RAND()-0.5))</f>
        <v>#N/A</v>
      </c>
      <c r="M485" s="46" t="e">
        <f aca="false">L485+MAX(D485,M484)</f>
        <v>#N/A</v>
      </c>
      <c r="N485" s="46" t="e">
        <f aca="false">IF((H485=1),M485-D485,0)</f>
        <v>#N/A</v>
      </c>
      <c r="O485" s="29" t="n">
        <v>468</v>
      </c>
      <c r="P485" s="49" t="e">
        <f aca="false">IF((Arterial=0),P484+1,P484)</f>
        <v>#N/A</v>
      </c>
      <c r="Q485" s="49" t="e">
        <f aca="false">IF((Arterial=1),Q484+1,Q484)</f>
        <v>#N/A</v>
      </c>
      <c r="R485" s="50" t="n">
        <f aca="false">IF((RESET=1),0,R485+K485)</f>
        <v>0</v>
      </c>
      <c r="S485" s="19" t="n">
        <f aca="false">IF(RESET=1,0,S485+N485)</f>
        <v>0</v>
      </c>
      <c r="T485" s="0" t="n">
        <f aca="false">IF(RESET=1,0,T485+IF(H485=0,1,0))</f>
        <v>0</v>
      </c>
      <c r="U485" s="0" t="n">
        <f aca="false">IF(RESET=1,0,U485+H485)</f>
        <v>0</v>
      </c>
      <c r="V485" s="19" t="n">
        <f aca="false">R485/(T485+0.00001)</f>
        <v>0</v>
      </c>
      <c r="W485" s="19" t="n">
        <f aca="false">S485/(U485+0.0001)</f>
        <v>0</v>
      </c>
      <c r="X485" s="47" t="e">
        <f aca="false">IF(Informed=1,K485,0)</f>
        <v>#N/A</v>
      </c>
      <c r="Y485" s="47" t="n">
        <f aca="false">IF(Informed=0,K485,0)</f>
        <v>0</v>
      </c>
      <c r="Z485" s="47" t="e">
        <f aca="false">IF(Informed=1,N485,0)</f>
        <v>#N/A</v>
      </c>
      <c r="AA485" s="47" t="n">
        <f aca="false">IF(Informed=0,N485,0)</f>
        <v>0</v>
      </c>
      <c r="AB485" s="51" t="e">
        <f aca="false">IF(Arterial=0,IF(Informed=1,1,0),0)</f>
        <v>#N/A</v>
      </c>
      <c r="AC485" s="51" t="e">
        <f aca="false">IF(Arterial=0,IF(Informed=0,1,0),0)</f>
        <v>#N/A</v>
      </c>
      <c r="AD485" s="51" t="e">
        <f aca="false">IF(Arterial=1,IF(Informed=1,1,0),0)</f>
        <v>#N/A</v>
      </c>
      <c r="AE485" s="51" t="e">
        <f aca="false">IF(Arterial=1,IF(Informed=0,1,0),0)</f>
        <v>#N/A</v>
      </c>
      <c r="AF485" s="44" t="e">
        <f aca="false">IF(AB485=1,(X485-G$1030)^2,0)</f>
        <v>#N/A</v>
      </c>
      <c r="AG485" s="44" t="e">
        <f aca="false">IF(AC485=1,(Y485-H$1030)^2,0)</f>
        <v>#N/A</v>
      </c>
      <c r="AH485" s="44" t="e">
        <f aca="false">IF(AD485=1,(Z485-I$1030)^2,0)</f>
        <v>#N/A</v>
      </c>
      <c r="AI485" s="44" t="e">
        <f aca="false">IF(AE485=1,(AA485-J$1030)^2,0)</f>
        <v>#N/A</v>
      </c>
    </row>
    <row r="486" customFormat="false" ht="12" hidden="false" customHeight="false" outlineLevel="0" collapsed="false">
      <c r="A486" s="29" t="n">
        <v>469</v>
      </c>
      <c r="B486" s="45" t="n">
        <f aca="true">IF(RAND()&lt;$D$8,1,0)</f>
        <v>1</v>
      </c>
      <c r="C486" s="34" t="n">
        <f aca="true">-LN(RAND())/$D$2</f>
        <v>0.525394828166285</v>
      </c>
      <c r="D486" s="46" t="n">
        <f aca="false">D485+C486</f>
        <v>746.595556269615</v>
      </c>
      <c r="E486" s="47" t="e">
        <f aca="false">MAX($D$3,(1+P485-VLOOKUP(VALUE(D486),$J$18:$Q485,7,TRUE()))*$D$3)</f>
        <v>#N/A</v>
      </c>
      <c r="F486" s="47" t="e">
        <f aca="false">MAX($D$4,(1+Q485-VLOOKUP(VALUE(D486),$M$18:$Q485,5,TRUE()))*$D$4)</f>
        <v>#N/A</v>
      </c>
      <c r="G486" s="48" t="n">
        <v>0.5</v>
      </c>
      <c r="H486" s="46" t="e">
        <f aca="true">IF((B486=1),(IF((F486&lt;E486),1,(IF((F486=E486),(IF(RAND()&lt;G486,1,0)),0)))),(IF((RAND()&lt;G486),1,0)))</f>
        <v>#N/A</v>
      </c>
      <c r="I486" s="46" t="e">
        <f aca="true">IF((H486=1),0,$D$3+$D$5*(RAND()-0.5))</f>
        <v>#N/A</v>
      </c>
      <c r="J486" s="46" t="e">
        <f aca="false">I486+MAX(D486,J485)</f>
        <v>#N/A</v>
      </c>
      <c r="K486" s="46" t="e">
        <f aca="false">IF((H486=0),J486-D486,0)</f>
        <v>#N/A</v>
      </c>
      <c r="L486" s="46" t="e">
        <f aca="true">IF(($H486=0),0,$D$4+$D$5*(RAND()-0.5))</f>
        <v>#N/A</v>
      </c>
      <c r="M486" s="46" t="e">
        <f aca="false">L486+MAX(D486,M485)</f>
        <v>#N/A</v>
      </c>
      <c r="N486" s="46" t="e">
        <f aca="false">IF((H486=1),M486-D486,0)</f>
        <v>#N/A</v>
      </c>
      <c r="O486" s="29" t="n">
        <v>469</v>
      </c>
      <c r="P486" s="49" t="e">
        <f aca="false">IF((Arterial=0),P485+1,P485)</f>
        <v>#N/A</v>
      </c>
      <c r="Q486" s="49" t="e">
        <f aca="false">IF((Arterial=1),Q485+1,Q485)</f>
        <v>#N/A</v>
      </c>
      <c r="R486" s="50" t="n">
        <f aca="false">IF((RESET=1),0,R486+K486)</f>
        <v>0</v>
      </c>
      <c r="S486" s="19" t="n">
        <f aca="false">IF(RESET=1,0,S486+N486)</f>
        <v>0</v>
      </c>
      <c r="T486" s="0" t="n">
        <f aca="false">IF(RESET=1,0,T486+IF(H486=0,1,0))</f>
        <v>0</v>
      </c>
      <c r="U486" s="0" t="n">
        <f aca="false">IF(RESET=1,0,U486+H486)</f>
        <v>0</v>
      </c>
      <c r="V486" s="19" t="n">
        <f aca="false">R486/(T486+0.00001)</f>
        <v>0</v>
      </c>
      <c r="W486" s="19" t="n">
        <f aca="false">S486/(U486+0.0001)</f>
        <v>0</v>
      </c>
      <c r="X486" s="47" t="e">
        <f aca="false">IF(Informed=1,K486,0)</f>
        <v>#N/A</v>
      </c>
      <c r="Y486" s="47" t="n">
        <f aca="false">IF(Informed=0,K486,0)</f>
        <v>0</v>
      </c>
      <c r="Z486" s="47" t="e">
        <f aca="false">IF(Informed=1,N486,0)</f>
        <v>#N/A</v>
      </c>
      <c r="AA486" s="47" t="n">
        <f aca="false">IF(Informed=0,N486,0)</f>
        <v>0</v>
      </c>
      <c r="AB486" s="51" t="e">
        <f aca="false">IF(Arterial=0,IF(Informed=1,1,0),0)</f>
        <v>#N/A</v>
      </c>
      <c r="AC486" s="51" t="e">
        <f aca="false">IF(Arterial=0,IF(Informed=0,1,0),0)</f>
        <v>#N/A</v>
      </c>
      <c r="AD486" s="51" t="e">
        <f aca="false">IF(Arterial=1,IF(Informed=1,1,0),0)</f>
        <v>#N/A</v>
      </c>
      <c r="AE486" s="51" t="e">
        <f aca="false">IF(Arterial=1,IF(Informed=0,1,0),0)</f>
        <v>#N/A</v>
      </c>
      <c r="AF486" s="44" t="e">
        <f aca="false">IF(AB486=1,(X486-G$1030)^2,0)</f>
        <v>#N/A</v>
      </c>
      <c r="AG486" s="44" t="e">
        <f aca="false">IF(AC486=1,(Y486-H$1030)^2,0)</f>
        <v>#N/A</v>
      </c>
      <c r="AH486" s="44" t="e">
        <f aca="false">IF(AD486=1,(Z486-I$1030)^2,0)</f>
        <v>#N/A</v>
      </c>
      <c r="AI486" s="44" t="e">
        <f aca="false">IF(AE486=1,(AA486-J$1030)^2,0)</f>
        <v>#N/A</v>
      </c>
    </row>
    <row r="487" customFormat="false" ht="12" hidden="false" customHeight="false" outlineLevel="0" collapsed="false">
      <c r="A487" s="29" t="n">
        <v>470</v>
      </c>
      <c r="B487" s="45" t="n">
        <f aca="true">IF(RAND()&lt;$D$8,1,0)</f>
        <v>1</v>
      </c>
      <c r="C487" s="34" t="n">
        <f aca="true">-LN(RAND())/$D$2</f>
        <v>0.903867471722018</v>
      </c>
      <c r="D487" s="46" t="n">
        <f aca="false">D486+C487</f>
        <v>747.499423741337</v>
      </c>
      <c r="E487" s="47" t="e">
        <f aca="false">MAX($D$3,(1+P486-VLOOKUP(VALUE(D487),$J$18:$Q486,7,TRUE()))*$D$3)</f>
        <v>#N/A</v>
      </c>
      <c r="F487" s="47" t="e">
        <f aca="false">MAX($D$4,(1+Q486-VLOOKUP(VALUE(D487),$M$18:$Q486,5,TRUE()))*$D$4)</f>
        <v>#N/A</v>
      </c>
      <c r="G487" s="48" t="n">
        <v>0.5</v>
      </c>
      <c r="H487" s="46" t="e">
        <f aca="true">IF((B487=1),(IF((F487&lt;E487),1,(IF((F487=E487),(IF(RAND()&lt;G487,1,0)),0)))),(IF((RAND()&lt;G487),1,0)))</f>
        <v>#N/A</v>
      </c>
      <c r="I487" s="46" t="e">
        <f aca="true">IF((H487=1),0,$D$3+$D$5*(RAND()-0.5))</f>
        <v>#N/A</v>
      </c>
      <c r="J487" s="46" t="e">
        <f aca="false">I487+MAX(D487,J486)</f>
        <v>#N/A</v>
      </c>
      <c r="K487" s="46" t="e">
        <f aca="false">IF((H487=0),J487-D487,0)</f>
        <v>#N/A</v>
      </c>
      <c r="L487" s="46" t="e">
        <f aca="true">IF(($H487=0),0,$D$4+$D$5*(RAND()-0.5))</f>
        <v>#N/A</v>
      </c>
      <c r="M487" s="46" t="e">
        <f aca="false">L487+MAX(D487,M486)</f>
        <v>#N/A</v>
      </c>
      <c r="N487" s="46" t="e">
        <f aca="false">IF((H487=1),M487-D487,0)</f>
        <v>#N/A</v>
      </c>
      <c r="O487" s="29" t="n">
        <v>470</v>
      </c>
      <c r="P487" s="49" t="e">
        <f aca="false">IF((Arterial=0),P486+1,P486)</f>
        <v>#N/A</v>
      </c>
      <c r="Q487" s="49" t="e">
        <f aca="false">IF((Arterial=1),Q486+1,Q486)</f>
        <v>#N/A</v>
      </c>
      <c r="R487" s="50" t="n">
        <f aca="false">IF((RESET=1),0,R487+K487)</f>
        <v>0</v>
      </c>
      <c r="S487" s="19" t="n">
        <f aca="false">IF(RESET=1,0,S487+N487)</f>
        <v>0</v>
      </c>
      <c r="T487" s="0" t="n">
        <f aca="false">IF(RESET=1,0,T487+IF(H487=0,1,0))</f>
        <v>0</v>
      </c>
      <c r="U487" s="0" t="n">
        <f aca="false">IF(RESET=1,0,U487+H487)</f>
        <v>0</v>
      </c>
      <c r="V487" s="19" t="n">
        <f aca="false">R487/(T487+0.00001)</f>
        <v>0</v>
      </c>
      <c r="W487" s="19" t="n">
        <f aca="false">S487/(U487+0.0001)</f>
        <v>0</v>
      </c>
      <c r="X487" s="47" t="e">
        <f aca="false">IF(Informed=1,K487,0)</f>
        <v>#N/A</v>
      </c>
      <c r="Y487" s="47" t="n">
        <f aca="false">IF(Informed=0,K487,0)</f>
        <v>0</v>
      </c>
      <c r="Z487" s="47" t="e">
        <f aca="false">IF(Informed=1,N487,0)</f>
        <v>#N/A</v>
      </c>
      <c r="AA487" s="47" t="n">
        <f aca="false">IF(Informed=0,N487,0)</f>
        <v>0</v>
      </c>
      <c r="AB487" s="51" t="e">
        <f aca="false">IF(Arterial=0,IF(Informed=1,1,0),0)</f>
        <v>#N/A</v>
      </c>
      <c r="AC487" s="51" t="e">
        <f aca="false">IF(Arterial=0,IF(Informed=0,1,0),0)</f>
        <v>#N/A</v>
      </c>
      <c r="AD487" s="51" t="e">
        <f aca="false">IF(Arterial=1,IF(Informed=1,1,0),0)</f>
        <v>#N/A</v>
      </c>
      <c r="AE487" s="51" t="e">
        <f aca="false">IF(Arterial=1,IF(Informed=0,1,0),0)</f>
        <v>#N/A</v>
      </c>
      <c r="AF487" s="44" t="e">
        <f aca="false">IF(AB487=1,(X487-G$1030)^2,0)</f>
        <v>#N/A</v>
      </c>
      <c r="AG487" s="44" t="e">
        <f aca="false">IF(AC487=1,(Y487-H$1030)^2,0)</f>
        <v>#N/A</v>
      </c>
      <c r="AH487" s="44" t="e">
        <f aca="false">IF(AD487=1,(Z487-I$1030)^2,0)</f>
        <v>#N/A</v>
      </c>
      <c r="AI487" s="44" t="e">
        <f aca="false">IF(AE487=1,(AA487-J$1030)^2,0)</f>
        <v>#N/A</v>
      </c>
    </row>
    <row r="488" customFormat="false" ht="12" hidden="false" customHeight="false" outlineLevel="0" collapsed="false">
      <c r="A488" s="29" t="n">
        <v>471</v>
      </c>
      <c r="B488" s="45" t="n">
        <f aca="true">IF(RAND()&lt;$D$8,1,0)</f>
        <v>1</v>
      </c>
      <c r="C488" s="34" t="n">
        <f aca="true">-LN(RAND())/$D$2</f>
        <v>0.693967661474783</v>
      </c>
      <c r="D488" s="46" t="n">
        <f aca="false">D487+C488</f>
        <v>748.193391402812</v>
      </c>
      <c r="E488" s="47" t="e">
        <f aca="false">MAX($D$3,(1+P487-VLOOKUP(VALUE(D488),$J$18:$Q487,7,TRUE()))*$D$3)</f>
        <v>#N/A</v>
      </c>
      <c r="F488" s="47" t="e">
        <f aca="false">MAX($D$4,(1+Q487-VLOOKUP(VALUE(D488),$M$18:$Q487,5,TRUE()))*$D$4)</f>
        <v>#N/A</v>
      </c>
      <c r="G488" s="48" t="n">
        <v>0.5</v>
      </c>
      <c r="H488" s="46" t="e">
        <f aca="true">IF((B488=1),(IF((F488&lt;E488),1,(IF((F488=E488),(IF(RAND()&lt;G488,1,0)),0)))),(IF((RAND()&lt;G488),1,0)))</f>
        <v>#N/A</v>
      </c>
      <c r="I488" s="46" t="e">
        <f aca="true">IF((H488=1),0,$D$3+$D$5*(RAND()-0.5))</f>
        <v>#N/A</v>
      </c>
      <c r="J488" s="46" t="e">
        <f aca="false">I488+MAX(D488,J487)</f>
        <v>#N/A</v>
      </c>
      <c r="K488" s="46" t="e">
        <f aca="false">IF((H488=0),J488-D488,0)</f>
        <v>#N/A</v>
      </c>
      <c r="L488" s="46" t="e">
        <f aca="true">IF(($H488=0),0,$D$4+$D$5*(RAND()-0.5))</f>
        <v>#N/A</v>
      </c>
      <c r="M488" s="46" t="e">
        <f aca="false">L488+MAX(D488,M487)</f>
        <v>#N/A</v>
      </c>
      <c r="N488" s="46" t="e">
        <f aca="false">IF((H488=1),M488-D488,0)</f>
        <v>#N/A</v>
      </c>
      <c r="O488" s="29" t="n">
        <v>471</v>
      </c>
      <c r="P488" s="49" t="e">
        <f aca="false">IF((Arterial=0),P487+1,P487)</f>
        <v>#N/A</v>
      </c>
      <c r="Q488" s="49" t="e">
        <f aca="false">IF((Arterial=1),Q487+1,Q487)</f>
        <v>#N/A</v>
      </c>
      <c r="R488" s="50" t="n">
        <f aca="false">IF((RESET=1),0,R488+K488)</f>
        <v>0</v>
      </c>
      <c r="S488" s="19" t="n">
        <f aca="false">IF(RESET=1,0,S488+N488)</f>
        <v>0</v>
      </c>
      <c r="T488" s="0" t="n">
        <f aca="false">IF(RESET=1,0,T488+IF(H488=0,1,0))</f>
        <v>0</v>
      </c>
      <c r="U488" s="0" t="n">
        <f aca="false">IF(RESET=1,0,U488+H488)</f>
        <v>0</v>
      </c>
      <c r="V488" s="19" t="n">
        <f aca="false">R488/(T488+0.00001)</f>
        <v>0</v>
      </c>
      <c r="W488" s="19" t="n">
        <f aca="false">S488/(U488+0.0001)</f>
        <v>0</v>
      </c>
      <c r="X488" s="47" t="e">
        <f aca="false">IF(Informed=1,K488,0)</f>
        <v>#N/A</v>
      </c>
      <c r="Y488" s="47" t="n">
        <f aca="false">IF(Informed=0,K488,0)</f>
        <v>0</v>
      </c>
      <c r="Z488" s="47" t="e">
        <f aca="false">IF(Informed=1,N488,0)</f>
        <v>#N/A</v>
      </c>
      <c r="AA488" s="47" t="n">
        <f aca="false">IF(Informed=0,N488,0)</f>
        <v>0</v>
      </c>
      <c r="AB488" s="51" t="e">
        <f aca="false">IF(Arterial=0,IF(Informed=1,1,0),0)</f>
        <v>#N/A</v>
      </c>
      <c r="AC488" s="51" t="e">
        <f aca="false">IF(Arterial=0,IF(Informed=0,1,0),0)</f>
        <v>#N/A</v>
      </c>
      <c r="AD488" s="51" t="e">
        <f aca="false">IF(Arterial=1,IF(Informed=1,1,0),0)</f>
        <v>#N/A</v>
      </c>
      <c r="AE488" s="51" t="e">
        <f aca="false">IF(Arterial=1,IF(Informed=0,1,0),0)</f>
        <v>#N/A</v>
      </c>
      <c r="AF488" s="44" t="e">
        <f aca="false">IF(AB488=1,(X488-G$1030)^2,0)</f>
        <v>#N/A</v>
      </c>
      <c r="AG488" s="44" t="e">
        <f aca="false">IF(AC488=1,(Y488-H$1030)^2,0)</f>
        <v>#N/A</v>
      </c>
      <c r="AH488" s="44" t="e">
        <f aca="false">IF(AD488=1,(Z488-I$1030)^2,0)</f>
        <v>#N/A</v>
      </c>
      <c r="AI488" s="44" t="e">
        <f aca="false">IF(AE488=1,(AA488-J$1030)^2,0)</f>
        <v>#N/A</v>
      </c>
    </row>
    <row r="489" customFormat="false" ht="12" hidden="false" customHeight="false" outlineLevel="0" collapsed="false">
      <c r="A489" s="29" t="n">
        <v>472</v>
      </c>
      <c r="B489" s="45" t="n">
        <f aca="true">IF(RAND()&lt;$D$8,1,0)</f>
        <v>1</v>
      </c>
      <c r="C489" s="34" t="n">
        <f aca="true">-LN(RAND())/$D$2</f>
        <v>0.507273265585592</v>
      </c>
      <c r="D489" s="46" t="n">
        <f aca="false">D488+C489</f>
        <v>748.700664668397</v>
      </c>
      <c r="E489" s="47" t="e">
        <f aca="false">MAX($D$3,(1+P488-VLOOKUP(VALUE(D489),$J$18:$Q488,7,TRUE()))*$D$3)</f>
        <v>#N/A</v>
      </c>
      <c r="F489" s="47" t="e">
        <f aca="false">MAX($D$4,(1+Q488-VLOOKUP(VALUE(D489),$M$18:$Q488,5,TRUE()))*$D$4)</f>
        <v>#N/A</v>
      </c>
      <c r="G489" s="48" t="n">
        <v>0.5</v>
      </c>
      <c r="H489" s="46" t="e">
        <f aca="true">IF((B489=1),(IF((F489&lt;E489),1,(IF((F489=E489),(IF(RAND()&lt;G489,1,0)),0)))),(IF((RAND()&lt;G489),1,0)))</f>
        <v>#N/A</v>
      </c>
      <c r="I489" s="46" t="e">
        <f aca="true">IF((H489=1),0,$D$3+$D$5*(RAND()-0.5))</f>
        <v>#N/A</v>
      </c>
      <c r="J489" s="46" t="e">
        <f aca="false">I489+MAX(D489,J488)</f>
        <v>#N/A</v>
      </c>
      <c r="K489" s="46" t="e">
        <f aca="false">IF((H489=0),J489-D489,0)</f>
        <v>#N/A</v>
      </c>
      <c r="L489" s="46" t="e">
        <f aca="true">IF(($H489=0),0,$D$4+$D$5*(RAND()-0.5))</f>
        <v>#N/A</v>
      </c>
      <c r="M489" s="46" t="e">
        <f aca="false">L489+MAX(D489,M488)</f>
        <v>#N/A</v>
      </c>
      <c r="N489" s="46" t="e">
        <f aca="false">IF((H489=1),M489-D489,0)</f>
        <v>#N/A</v>
      </c>
      <c r="O489" s="29" t="n">
        <v>472</v>
      </c>
      <c r="P489" s="49" t="e">
        <f aca="false">IF((Arterial=0),P488+1,P488)</f>
        <v>#N/A</v>
      </c>
      <c r="Q489" s="49" t="e">
        <f aca="false">IF((Arterial=1),Q488+1,Q488)</f>
        <v>#N/A</v>
      </c>
      <c r="R489" s="50" t="n">
        <f aca="false">IF((RESET=1),0,R489+K489)</f>
        <v>0</v>
      </c>
      <c r="S489" s="19" t="n">
        <f aca="false">IF(RESET=1,0,S489+N489)</f>
        <v>0</v>
      </c>
      <c r="T489" s="0" t="n">
        <f aca="false">IF(RESET=1,0,T489+IF(H489=0,1,0))</f>
        <v>0</v>
      </c>
      <c r="U489" s="0" t="n">
        <f aca="false">IF(RESET=1,0,U489+H489)</f>
        <v>0</v>
      </c>
      <c r="V489" s="19" t="n">
        <f aca="false">R489/(T489+0.00001)</f>
        <v>0</v>
      </c>
      <c r="W489" s="19" t="n">
        <f aca="false">S489/(U489+0.0001)</f>
        <v>0</v>
      </c>
      <c r="X489" s="47" t="e">
        <f aca="false">IF(Informed=1,K489,0)</f>
        <v>#N/A</v>
      </c>
      <c r="Y489" s="47" t="n">
        <f aca="false">IF(Informed=0,K489,0)</f>
        <v>0</v>
      </c>
      <c r="Z489" s="47" t="e">
        <f aca="false">IF(Informed=1,N489,0)</f>
        <v>#N/A</v>
      </c>
      <c r="AA489" s="47" t="n">
        <f aca="false">IF(Informed=0,N489,0)</f>
        <v>0</v>
      </c>
      <c r="AB489" s="51" t="e">
        <f aca="false">IF(Arterial=0,IF(Informed=1,1,0),0)</f>
        <v>#N/A</v>
      </c>
      <c r="AC489" s="51" t="e">
        <f aca="false">IF(Arterial=0,IF(Informed=0,1,0),0)</f>
        <v>#N/A</v>
      </c>
      <c r="AD489" s="51" t="e">
        <f aca="false">IF(Arterial=1,IF(Informed=1,1,0),0)</f>
        <v>#N/A</v>
      </c>
      <c r="AE489" s="51" t="e">
        <f aca="false">IF(Arterial=1,IF(Informed=0,1,0),0)</f>
        <v>#N/A</v>
      </c>
      <c r="AF489" s="44" t="e">
        <f aca="false">IF(AB489=1,(X489-G$1030)^2,0)</f>
        <v>#N/A</v>
      </c>
      <c r="AG489" s="44" t="e">
        <f aca="false">IF(AC489=1,(Y489-H$1030)^2,0)</f>
        <v>#N/A</v>
      </c>
      <c r="AH489" s="44" t="e">
        <f aca="false">IF(AD489=1,(Z489-I$1030)^2,0)</f>
        <v>#N/A</v>
      </c>
      <c r="AI489" s="44" t="e">
        <f aca="false">IF(AE489=1,(AA489-J$1030)^2,0)</f>
        <v>#N/A</v>
      </c>
    </row>
    <row r="490" customFormat="false" ht="12" hidden="false" customHeight="false" outlineLevel="0" collapsed="false">
      <c r="A490" s="29" t="n">
        <v>473</v>
      </c>
      <c r="B490" s="45" t="n">
        <f aca="true">IF(RAND()&lt;$D$8,1,0)</f>
        <v>1</v>
      </c>
      <c r="C490" s="34" t="n">
        <f aca="true">-LN(RAND())/$D$2</f>
        <v>0.482986272327795</v>
      </c>
      <c r="D490" s="46" t="n">
        <f aca="false">D489+C490</f>
        <v>749.183650940725</v>
      </c>
      <c r="E490" s="47" t="e">
        <f aca="false">MAX($D$3,(1+P489-VLOOKUP(VALUE(D490),$J$18:$Q489,7,TRUE()))*$D$3)</f>
        <v>#N/A</v>
      </c>
      <c r="F490" s="47" t="e">
        <f aca="false">MAX($D$4,(1+Q489-VLOOKUP(VALUE(D490),$M$18:$Q489,5,TRUE()))*$D$4)</f>
        <v>#N/A</v>
      </c>
      <c r="G490" s="48" t="n">
        <v>0.5</v>
      </c>
      <c r="H490" s="46" t="e">
        <f aca="true">IF((B490=1),(IF((F490&lt;E490),1,(IF((F490=E490),(IF(RAND()&lt;G490,1,0)),0)))),(IF((RAND()&lt;G490),1,0)))</f>
        <v>#N/A</v>
      </c>
      <c r="I490" s="46" t="e">
        <f aca="true">IF((H490=1),0,$D$3+$D$5*(RAND()-0.5))</f>
        <v>#N/A</v>
      </c>
      <c r="J490" s="46" t="e">
        <f aca="false">I490+MAX(D490,J489)</f>
        <v>#N/A</v>
      </c>
      <c r="K490" s="46" t="e">
        <f aca="false">IF((H490=0),J490-D490,0)</f>
        <v>#N/A</v>
      </c>
      <c r="L490" s="46" t="e">
        <f aca="true">IF(($H490=0),0,$D$4+$D$5*(RAND()-0.5))</f>
        <v>#N/A</v>
      </c>
      <c r="M490" s="46" t="e">
        <f aca="false">L490+MAX(D490,M489)</f>
        <v>#N/A</v>
      </c>
      <c r="N490" s="46" t="e">
        <f aca="false">IF((H490=1),M490-D490,0)</f>
        <v>#N/A</v>
      </c>
      <c r="O490" s="29" t="n">
        <v>473</v>
      </c>
      <c r="P490" s="49" t="e">
        <f aca="false">IF((Arterial=0),P489+1,P489)</f>
        <v>#N/A</v>
      </c>
      <c r="Q490" s="49" t="e">
        <f aca="false">IF((Arterial=1),Q489+1,Q489)</f>
        <v>#N/A</v>
      </c>
      <c r="R490" s="50" t="n">
        <f aca="false">IF((RESET=1),0,R490+K490)</f>
        <v>0</v>
      </c>
      <c r="S490" s="19" t="n">
        <f aca="false">IF(RESET=1,0,S490+N490)</f>
        <v>0</v>
      </c>
      <c r="T490" s="0" t="n">
        <f aca="false">IF(RESET=1,0,T490+IF(H490=0,1,0))</f>
        <v>0</v>
      </c>
      <c r="U490" s="0" t="n">
        <f aca="false">IF(RESET=1,0,U490+H490)</f>
        <v>0</v>
      </c>
      <c r="V490" s="19" t="n">
        <f aca="false">R490/(T490+0.00001)</f>
        <v>0</v>
      </c>
      <c r="W490" s="19" t="n">
        <f aca="false">S490/(U490+0.0001)</f>
        <v>0</v>
      </c>
      <c r="X490" s="47" t="e">
        <f aca="false">IF(Informed=1,K490,0)</f>
        <v>#N/A</v>
      </c>
      <c r="Y490" s="47" t="n">
        <f aca="false">IF(Informed=0,K490,0)</f>
        <v>0</v>
      </c>
      <c r="Z490" s="47" t="e">
        <f aca="false">IF(Informed=1,N490,0)</f>
        <v>#N/A</v>
      </c>
      <c r="AA490" s="47" t="n">
        <f aca="false">IF(Informed=0,N490,0)</f>
        <v>0</v>
      </c>
      <c r="AB490" s="51" t="e">
        <f aca="false">IF(Arterial=0,IF(Informed=1,1,0),0)</f>
        <v>#N/A</v>
      </c>
      <c r="AC490" s="51" t="e">
        <f aca="false">IF(Arterial=0,IF(Informed=0,1,0),0)</f>
        <v>#N/A</v>
      </c>
      <c r="AD490" s="51" t="e">
        <f aca="false">IF(Arterial=1,IF(Informed=1,1,0),0)</f>
        <v>#N/A</v>
      </c>
      <c r="AE490" s="51" t="e">
        <f aca="false">IF(Arterial=1,IF(Informed=0,1,0),0)</f>
        <v>#N/A</v>
      </c>
      <c r="AF490" s="44" t="e">
        <f aca="false">IF(AB490=1,(X490-G$1030)^2,0)</f>
        <v>#N/A</v>
      </c>
      <c r="AG490" s="44" t="e">
        <f aca="false">IF(AC490=1,(Y490-H$1030)^2,0)</f>
        <v>#N/A</v>
      </c>
      <c r="AH490" s="44" t="e">
        <f aca="false">IF(AD490=1,(Z490-I$1030)^2,0)</f>
        <v>#N/A</v>
      </c>
      <c r="AI490" s="44" t="e">
        <f aca="false">IF(AE490=1,(AA490-J$1030)^2,0)</f>
        <v>#N/A</v>
      </c>
    </row>
    <row r="491" customFormat="false" ht="12" hidden="false" customHeight="false" outlineLevel="0" collapsed="false">
      <c r="A491" s="29" t="n">
        <v>474</v>
      </c>
      <c r="B491" s="45" t="n">
        <f aca="true">IF(RAND()&lt;$D$8,1,0)</f>
        <v>1</v>
      </c>
      <c r="C491" s="34" t="n">
        <f aca="true">-LN(RAND())/$D$2</f>
        <v>0.0381549743682137</v>
      </c>
      <c r="D491" s="46" t="n">
        <f aca="false">D490+C491</f>
        <v>749.221805915094</v>
      </c>
      <c r="E491" s="47" t="e">
        <f aca="false">MAX($D$3,(1+P490-VLOOKUP(VALUE(D491),$J$18:$Q490,7,TRUE()))*$D$3)</f>
        <v>#N/A</v>
      </c>
      <c r="F491" s="47" t="e">
        <f aca="false">MAX($D$4,(1+Q490-VLOOKUP(VALUE(D491),$M$18:$Q490,5,TRUE()))*$D$4)</f>
        <v>#N/A</v>
      </c>
      <c r="G491" s="48" t="n">
        <v>0.5</v>
      </c>
      <c r="H491" s="46" t="e">
        <f aca="true">IF((B491=1),(IF((F491&lt;E491),1,(IF((F491=E491),(IF(RAND()&lt;G491,1,0)),0)))),(IF((RAND()&lt;G491),1,0)))</f>
        <v>#N/A</v>
      </c>
      <c r="I491" s="46" t="e">
        <f aca="true">IF((H491=1),0,$D$3+$D$5*(RAND()-0.5))</f>
        <v>#N/A</v>
      </c>
      <c r="J491" s="46" t="e">
        <f aca="false">I491+MAX(D491,J490)</f>
        <v>#N/A</v>
      </c>
      <c r="K491" s="46" t="e">
        <f aca="false">IF((H491=0),J491-D491,0)</f>
        <v>#N/A</v>
      </c>
      <c r="L491" s="46" t="e">
        <f aca="true">IF(($H491=0),0,$D$4+$D$5*(RAND()-0.5))</f>
        <v>#N/A</v>
      </c>
      <c r="M491" s="46" t="e">
        <f aca="false">L491+MAX(D491,M490)</f>
        <v>#N/A</v>
      </c>
      <c r="N491" s="46" t="e">
        <f aca="false">IF((H491=1),M491-D491,0)</f>
        <v>#N/A</v>
      </c>
      <c r="O491" s="29" t="n">
        <v>474</v>
      </c>
      <c r="P491" s="49" t="e">
        <f aca="false">IF((Arterial=0),P490+1,P490)</f>
        <v>#N/A</v>
      </c>
      <c r="Q491" s="49" t="e">
        <f aca="false">IF((Arterial=1),Q490+1,Q490)</f>
        <v>#N/A</v>
      </c>
      <c r="R491" s="50" t="n">
        <f aca="false">IF((RESET=1),0,R491+K491)</f>
        <v>0</v>
      </c>
      <c r="S491" s="19" t="n">
        <f aca="false">IF(RESET=1,0,S491+N491)</f>
        <v>0</v>
      </c>
      <c r="T491" s="0" t="n">
        <f aca="false">IF(RESET=1,0,T491+IF(H491=0,1,0))</f>
        <v>0</v>
      </c>
      <c r="U491" s="0" t="n">
        <f aca="false">IF(RESET=1,0,U491+H491)</f>
        <v>0</v>
      </c>
      <c r="V491" s="19" t="n">
        <f aca="false">R491/(T491+0.00001)</f>
        <v>0</v>
      </c>
      <c r="W491" s="19" t="n">
        <f aca="false">S491/(U491+0.0001)</f>
        <v>0</v>
      </c>
      <c r="X491" s="47" t="e">
        <f aca="false">IF(Informed=1,K491,0)</f>
        <v>#N/A</v>
      </c>
      <c r="Y491" s="47" t="n">
        <f aca="false">IF(Informed=0,K491,0)</f>
        <v>0</v>
      </c>
      <c r="Z491" s="47" t="e">
        <f aca="false">IF(Informed=1,N491,0)</f>
        <v>#N/A</v>
      </c>
      <c r="AA491" s="47" t="n">
        <f aca="false">IF(Informed=0,N491,0)</f>
        <v>0</v>
      </c>
      <c r="AB491" s="51" t="e">
        <f aca="false">IF(Arterial=0,IF(Informed=1,1,0),0)</f>
        <v>#N/A</v>
      </c>
      <c r="AC491" s="51" t="e">
        <f aca="false">IF(Arterial=0,IF(Informed=0,1,0),0)</f>
        <v>#N/A</v>
      </c>
      <c r="AD491" s="51" t="e">
        <f aca="false">IF(Arterial=1,IF(Informed=1,1,0),0)</f>
        <v>#N/A</v>
      </c>
      <c r="AE491" s="51" t="e">
        <f aca="false">IF(Arterial=1,IF(Informed=0,1,0),0)</f>
        <v>#N/A</v>
      </c>
      <c r="AF491" s="44" t="e">
        <f aca="false">IF(AB491=1,(X491-G$1030)^2,0)</f>
        <v>#N/A</v>
      </c>
      <c r="AG491" s="44" t="e">
        <f aca="false">IF(AC491=1,(Y491-H$1030)^2,0)</f>
        <v>#N/A</v>
      </c>
      <c r="AH491" s="44" t="e">
        <f aca="false">IF(AD491=1,(Z491-I$1030)^2,0)</f>
        <v>#N/A</v>
      </c>
      <c r="AI491" s="44" t="e">
        <f aca="false">IF(AE491=1,(AA491-J$1030)^2,0)</f>
        <v>#N/A</v>
      </c>
    </row>
    <row r="492" customFormat="false" ht="12" hidden="false" customHeight="false" outlineLevel="0" collapsed="false">
      <c r="A492" s="29" t="n">
        <v>475</v>
      </c>
      <c r="B492" s="45" t="n">
        <f aca="true">IF(RAND()&lt;$D$8,1,0)</f>
        <v>1</v>
      </c>
      <c r="C492" s="34" t="n">
        <f aca="true">-LN(RAND())/$D$2</f>
        <v>1.31408435495948</v>
      </c>
      <c r="D492" s="46" t="n">
        <f aca="false">D491+C492</f>
        <v>750.535890270053</v>
      </c>
      <c r="E492" s="47" t="e">
        <f aca="false">MAX($D$3,(1+P491-VLOOKUP(VALUE(D492),$J$18:$Q491,7,TRUE()))*$D$3)</f>
        <v>#N/A</v>
      </c>
      <c r="F492" s="47" t="e">
        <f aca="false">MAX($D$4,(1+Q491-VLOOKUP(VALUE(D492),$M$18:$Q491,5,TRUE()))*$D$4)</f>
        <v>#N/A</v>
      </c>
      <c r="G492" s="48" t="n">
        <v>0.5</v>
      </c>
      <c r="H492" s="46" t="e">
        <f aca="true">IF((B492=1),(IF((F492&lt;E492),1,(IF((F492=E492),(IF(RAND()&lt;G492,1,0)),0)))),(IF((RAND()&lt;G492),1,0)))</f>
        <v>#N/A</v>
      </c>
      <c r="I492" s="46" t="e">
        <f aca="true">IF((H492=1),0,$D$3+$D$5*(RAND()-0.5))</f>
        <v>#N/A</v>
      </c>
      <c r="J492" s="46" t="e">
        <f aca="false">I492+MAX(D492,J491)</f>
        <v>#N/A</v>
      </c>
      <c r="K492" s="46" t="e">
        <f aca="false">IF((H492=0),J492-D492,0)</f>
        <v>#N/A</v>
      </c>
      <c r="L492" s="46" t="e">
        <f aca="true">IF(($H492=0),0,$D$4+$D$5*(RAND()-0.5))</f>
        <v>#N/A</v>
      </c>
      <c r="M492" s="46" t="e">
        <f aca="false">L492+MAX(D492,M491)</f>
        <v>#N/A</v>
      </c>
      <c r="N492" s="46" t="e">
        <f aca="false">IF((H492=1),M492-D492,0)</f>
        <v>#N/A</v>
      </c>
      <c r="O492" s="29" t="n">
        <v>475</v>
      </c>
      <c r="P492" s="49" t="e">
        <f aca="false">IF((Arterial=0),P491+1,P491)</f>
        <v>#N/A</v>
      </c>
      <c r="Q492" s="49" t="e">
        <f aca="false">IF((Arterial=1),Q491+1,Q491)</f>
        <v>#N/A</v>
      </c>
      <c r="R492" s="50" t="n">
        <f aca="false">IF((RESET=1),0,R492+K492)</f>
        <v>0</v>
      </c>
      <c r="S492" s="19" t="n">
        <f aca="false">IF(RESET=1,0,S492+N492)</f>
        <v>0</v>
      </c>
      <c r="T492" s="0" t="n">
        <f aca="false">IF(RESET=1,0,T492+IF(H492=0,1,0))</f>
        <v>0</v>
      </c>
      <c r="U492" s="0" t="n">
        <f aca="false">IF(RESET=1,0,U492+H492)</f>
        <v>0</v>
      </c>
      <c r="V492" s="19" t="n">
        <f aca="false">R492/(T492+0.00001)</f>
        <v>0</v>
      </c>
      <c r="W492" s="19" t="n">
        <f aca="false">S492/(U492+0.0001)</f>
        <v>0</v>
      </c>
      <c r="X492" s="47" t="e">
        <f aca="false">IF(Informed=1,K492,0)</f>
        <v>#N/A</v>
      </c>
      <c r="Y492" s="47" t="n">
        <f aca="false">IF(Informed=0,K492,0)</f>
        <v>0</v>
      </c>
      <c r="Z492" s="47" t="e">
        <f aca="false">IF(Informed=1,N492,0)</f>
        <v>#N/A</v>
      </c>
      <c r="AA492" s="47" t="n">
        <f aca="false">IF(Informed=0,N492,0)</f>
        <v>0</v>
      </c>
      <c r="AB492" s="51" t="e">
        <f aca="false">IF(Arterial=0,IF(Informed=1,1,0),0)</f>
        <v>#N/A</v>
      </c>
      <c r="AC492" s="51" t="e">
        <f aca="false">IF(Arterial=0,IF(Informed=0,1,0),0)</f>
        <v>#N/A</v>
      </c>
      <c r="AD492" s="51" t="e">
        <f aca="false">IF(Arterial=1,IF(Informed=1,1,0),0)</f>
        <v>#N/A</v>
      </c>
      <c r="AE492" s="51" t="e">
        <f aca="false">IF(Arterial=1,IF(Informed=0,1,0),0)</f>
        <v>#N/A</v>
      </c>
      <c r="AF492" s="44" t="e">
        <f aca="false">IF(AB492=1,(X492-G$1030)^2,0)</f>
        <v>#N/A</v>
      </c>
      <c r="AG492" s="44" t="e">
        <f aca="false">IF(AC492=1,(Y492-H$1030)^2,0)</f>
        <v>#N/A</v>
      </c>
      <c r="AH492" s="44" t="e">
        <f aca="false">IF(AD492=1,(Z492-I$1030)^2,0)</f>
        <v>#N/A</v>
      </c>
      <c r="AI492" s="44" t="e">
        <f aca="false">IF(AE492=1,(AA492-J$1030)^2,0)</f>
        <v>#N/A</v>
      </c>
    </row>
    <row r="493" customFormat="false" ht="12" hidden="false" customHeight="false" outlineLevel="0" collapsed="false">
      <c r="A493" s="29" t="n">
        <v>476</v>
      </c>
      <c r="B493" s="45" t="n">
        <f aca="true">IF(RAND()&lt;$D$8,1,0)</f>
        <v>1</v>
      </c>
      <c r="C493" s="34" t="n">
        <f aca="true">-LN(RAND())/$D$2</f>
        <v>0.99899098164057</v>
      </c>
      <c r="D493" s="46" t="n">
        <f aca="false">D492+C493</f>
        <v>751.534881251694</v>
      </c>
      <c r="E493" s="47" t="e">
        <f aca="false">MAX($D$3,(1+P492-VLOOKUP(VALUE(D493),$J$18:$Q492,7,TRUE()))*$D$3)</f>
        <v>#N/A</v>
      </c>
      <c r="F493" s="47" t="e">
        <f aca="false">MAX($D$4,(1+Q492-VLOOKUP(VALUE(D493),$M$18:$Q492,5,TRUE()))*$D$4)</f>
        <v>#N/A</v>
      </c>
      <c r="G493" s="48" t="n">
        <v>0.5</v>
      </c>
      <c r="H493" s="46" t="e">
        <f aca="true">IF((B493=1),(IF((F493&lt;E493),1,(IF((F493=E493),(IF(RAND()&lt;G493,1,0)),0)))),(IF((RAND()&lt;G493),1,0)))</f>
        <v>#N/A</v>
      </c>
      <c r="I493" s="46" t="e">
        <f aca="true">IF((H493=1),0,$D$3+$D$5*(RAND()-0.5))</f>
        <v>#N/A</v>
      </c>
      <c r="J493" s="46" t="e">
        <f aca="false">I493+MAX(D493,J492)</f>
        <v>#N/A</v>
      </c>
      <c r="K493" s="46" t="e">
        <f aca="false">IF((H493=0),J493-D493,0)</f>
        <v>#N/A</v>
      </c>
      <c r="L493" s="46" t="e">
        <f aca="true">IF(($H493=0),0,$D$4+$D$5*(RAND()-0.5))</f>
        <v>#N/A</v>
      </c>
      <c r="M493" s="46" t="e">
        <f aca="false">L493+MAX(D493,M492)</f>
        <v>#N/A</v>
      </c>
      <c r="N493" s="46" t="e">
        <f aca="false">IF((H493=1),M493-D493,0)</f>
        <v>#N/A</v>
      </c>
      <c r="O493" s="29" t="n">
        <v>476</v>
      </c>
      <c r="P493" s="49" t="e">
        <f aca="false">IF((Arterial=0),P492+1,P492)</f>
        <v>#N/A</v>
      </c>
      <c r="Q493" s="49" t="e">
        <f aca="false">IF((Arterial=1),Q492+1,Q492)</f>
        <v>#N/A</v>
      </c>
      <c r="R493" s="50" t="n">
        <f aca="false">IF((RESET=1),0,R493+K493)</f>
        <v>0</v>
      </c>
      <c r="S493" s="19" t="n">
        <f aca="false">IF(RESET=1,0,S493+N493)</f>
        <v>0</v>
      </c>
      <c r="T493" s="0" t="n">
        <f aca="false">IF(RESET=1,0,T493+IF(H493=0,1,0))</f>
        <v>0</v>
      </c>
      <c r="U493" s="0" t="n">
        <f aca="false">IF(RESET=1,0,U493+H493)</f>
        <v>0</v>
      </c>
      <c r="V493" s="19" t="n">
        <f aca="false">R493/(T493+0.00001)</f>
        <v>0</v>
      </c>
      <c r="W493" s="19" t="n">
        <f aca="false">S493/(U493+0.0001)</f>
        <v>0</v>
      </c>
      <c r="X493" s="47" t="e">
        <f aca="false">IF(Informed=1,K493,0)</f>
        <v>#N/A</v>
      </c>
      <c r="Y493" s="47" t="n">
        <f aca="false">IF(Informed=0,K493,0)</f>
        <v>0</v>
      </c>
      <c r="Z493" s="47" t="e">
        <f aca="false">IF(Informed=1,N493,0)</f>
        <v>#N/A</v>
      </c>
      <c r="AA493" s="47" t="n">
        <f aca="false">IF(Informed=0,N493,0)</f>
        <v>0</v>
      </c>
      <c r="AB493" s="51" t="e">
        <f aca="false">IF(Arterial=0,IF(Informed=1,1,0),0)</f>
        <v>#N/A</v>
      </c>
      <c r="AC493" s="51" t="e">
        <f aca="false">IF(Arterial=0,IF(Informed=0,1,0),0)</f>
        <v>#N/A</v>
      </c>
      <c r="AD493" s="51" t="e">
        <f aca="false">IF(Arterial=1,IF(Informed=1,1,0),0)</f>
        <v>#N/A</v>
      </c>
      <c r="AE493" s="51" t="e">
        <f aca="false">IF(Arterial=1,IF(Informed=0,1,0),0)</f>
        <v>#N/A</v>
      </c>
      <c r="AF493" s="44" t="e">
        <f aca="false">IF(AB493=1,(X493-G$1030)^2,0)</f>
        <v>#N/A</v>
      </c>
      <c r="AG493" s="44" t="e">
        <f aca="false">IF(AC493=1,(Y493-H$1030)^2,0)</f>
        <v>#N/A</v>
      </c>
      <c r="AH493" s="44" t="e">
        <f aca="false">IF(AD493=1,(Z493-I$1030)^2,0)</f>
        <v>#N/A</v>
      </c>
      <c r="AI493" s="44" t="e">
        <f aca="false">IF(AE493=1,(AA493-J$1030)^2,0)</f>
        <v>#N/A</v>
      </c>
    </row>
    <row r="494" customFormat="false" ht="12" hidden="false" customHeight="false" outlineLevel="0" collapsed="false">
      <c r="A494" s="29" t="n">
        <v>477</v>
      </c>
      <c r="B494" s="45" t="n">
        <f aca="true">IF(RAND()&lt;$D$8,1,0)</f>
        <v>1</v>
      </c>
      <c r="C494" s="34" t="n">
        <f aca="true">-LN(RAND())/$D$2</f>
        <v>0.517868578294048</v>
      </c>
      <c r="D494" s="46" t="n">
        <f aca="false">D493+C494</f>
        <v>752.052749829988</v>
      </c>
      <c r="E494" s="47" t="e">
        <f aca="false">MAX($D$3,(1+P493-VLOOKUP(VALUE(D494),$J$18:$Q493,7,TRUE()))*$D$3)</f>
        <v>#N/A</v>
      </c>
      <c r="F494" s="47" t="e">
        <f aca="false">MAX($D$4,(1+Q493-VLOOKUP(VALUE(D494),$M$18:$Q493,5,TRUE()))*$D$4)</f>
        <v>#N/A</v>
      </c>
      <c r="G494" s="48" t="n">
        <v>0.5</v>
      </c>
      <c r="H494" s="46" t="e">
        <f aca="true">IF((B494=1),(IF((F494&lt;E494),1,(IF((F494=E494),(IF(RAND()&lt;G494,1,0)),0)))),(IF((RAND()&lt;G494),1,0)))</f>
        <v>#N/A</v>
      </c>
      <c r="I494" s="46" t="e">
        <f aca="true">IF((H494=1),0,$D$3+$D$5*(RAND()-0.5))</f>
        <v>#N/A</v>
      </c>
      <c r="J494" s="46" t="e">
        <f aca="false">I494+MAX(D494,J493)</f>
        <v>#N/A</v>
      </c>
      <c r="K494" s="46" t="e">
        <f aca="false">IF((H494=0),J494-D494,0)</f>
        <v>#N/A</v>
      </c>
      <c r="L494" s="46" t="e">
        <f aca="true">IF(($H494=0),0,$D$4+$D$5*(RAND()-0.5))</f>
        <v>#N/A</v>
      </c>
      <c r="M494" s="46" t="e">
        <f aca="false">L494+MAX(D494,M493)</f>
        <v>#N/A</v>
      </c>
      <c r="N494" s="46" t="e">
        <f aca="false">IF((H494=1),M494-D494,0)</f>
        <v>#N/A</v>
      </c>
      <c r="O494" s="29" t="n">
        <v>477</v>
      </c>
      <c r="P494" s="49" t="e">
        <f aca="false">IF((Arterial=0),P493+1,P493)</f>
        <v>#N/A</v>
      </c>
      <c r="Q494" s="49" t="e">
        <f aca="false">IF((Arterial=1),Q493+1,Q493)</f>
        <v>#N/A</v>
      </c>
      <c r="R494" s="50" t="n">
        <f aca="false">IF((RESET=1),0,R494+K494)</f>
        <v>0</v>
      </c>
      <c r="S494" s="19" t="n">
        <f aca="false">IF(RESET=1,0,S494+N494)</f>
        <v>0</v>
      </c>
      <c r="T494" s="0" t="n">
        <f aca="false">IF(RESET=1,0,T494+IF(H494=0,1,0))</f>
        <v>0</v>
      </c>
      <c r="U494" s="0" t="n">
        <f aca="false">IF(RESET=1,0,U494+H494)</f>
        <v>0</v>
      </c>
      <c r="V494" s="19" t="n">
        <f aca="false">R494/(T494+0.00001)</f>
        <v>0</v>
      </c>
      <c r="W494" s="19" t="n">
        <f aca="false">S494/(U494+0.0001)</f>
        <v>0</v>
      </c>
      <c r="X494" s="47" t="e">
        <f aca="false">IF(Informed=1,K494,0)</f>
        <v>#N/A</v>
      </c>
      <c r="Y494" s="47" t="n">
        <f aca="false">IF(Informed=0,K494,0)</f>
        <v>0</v>
      </c>
      <c r="Z494" s="47" t="e">
        <f aca="false">IF(Informed=1,N494,0)</f>
        <v>#N/A</v>
      </c>
      <c r="AA494" s="47" t="n">
        <f aca="false">IF(Informed=0,N494,0)</f>
        <v>0</v>
      </c>
      <c r="AB494" s="51" t="e">
        <f aca="false">IF(Arterial=0,IF(Informed=1,1,0),0)</f>
        <v>#N/A</v>
      </c>
      <c r="AC494" s="51" t="e">
        <f aca="false">IF(Arterial=0,IF(Informed=0,1,0),0)</f>
        <v>#N/A</v>
      </c>
      <c r="AD494" s="51" t="e">
        <f aca="false">IF(Arterial=1,IF(Informed=1,1,0),0)</f>
        <v>#N/A</v>
      </c>
      <c r="AE494" s="51" t="e">
        <f aca="false">IF(Arterial=1,IF(Informed=0,1,0),0)</f>
        <v>#N/A</v>
      </c>
      <c r="AF494" s="44" t="e">
        <f aca="false">IF(AB494=1,(X494-G$1030)^2,0)</f>
        <v>#N/A</v>
      </c>
      <c r="AG494" s="44" t="e">
        <f aca="false">IF(AC494=1,(Y494-H$1030)^2,0)</f>
        <v>#N/A</v>
      </c>
      <c r="AH494" s="44" t="e">
        <f aca="false">IF(AD494=1,(Z494-I$1030)^2,0)</f>
        <v>#N/A</v>
      </c>
      <c r="AI494" s="44" t="e">
        <f aca="false">IF(AE494=1,(AA494-J$1030)^2,0)</f>
        <v>#N/A</v>
      </c>
    </row>
    <row r="495" customFormat="false" ht="12" hidden="false" customHeight="false" outlineLevel="0" collapsed="false">
      <c r="A495" s="29" t="n">
        <v>478</v>
      </c>
      <c r="B495" s="45" t="n">
        <f aca="true">IF(RAND()&lt;$D$8,1,0)</f>
        <v>1</v>
      </c>
      <c r="C495" s="34" t="n">
        <f aca="true">-LN(RAND())/$D$2</f>
        <v>0.553676642082852</v>
      </c>
      <c r="D495" s="46" t="n">
        <f aca="false">D494+C495</f>
        <v>752.60642647207</v>
      </c>
      <c r="E495" s="47" t="e">
        <f aca="false">MAX($D$3,(1+P494-VLOOKUP(VALUE(D495),$J$18:$Q494,7,TRUE()))*$D$3)</f>
        <v>#N/A</v>
      </c>
      <c r="F495" s="47" t="e">
        <f aca="false">MAX($D$4,(1+Q494-VLOOKUP(VALUE(D495),$M$18:$Q494,5,TRUE()))*$D$4)</f>
        <v>#N/A</v>
      </c>
      <c r="G495" s="48" t="n">
        <v>0.5</v>
      </c>
      <c r="H495" s="46" t="e">
        <f aca="true">IF((B495=1),(IF((F495&lt;E495),1,(IF((F495=E495),(IF(RAND()&lt;G495,1,0)),0)))),(IF((RAND()&lt;G495),1,0)))</f>
        <v>#N/A</v>
      </c>
      <c r="I495" s="46" t="e">
        <f aca="true">IF((H495=1),0,$D$3+$D$5*(RAND()-0.5))</f>
        <v>#N/A</v>
      </c>
      <c r="J495" s="46" t="e">
        <f aca="false">I495+MAX(D495,J494)</f>
        <v>#N/A</v>
      </c>
      <c r="K495" s="46" t="e">
        <f aca="false">IF((H495=0),J495-D495,0)</f>
        <v>#N/A</v>
      </c>
      <c r="L495" s="46" t="e">
        <f aca="true">IF(($H495=0),0,$D$4+$D$5*(RAND()-0.5))</f>
        <v>#N/A</v>
      </c>
      <c r="M495" s="46" t="e">
        <f aca="false">L495+MAX(D495,M494)</f>
        <v>#N/A</v>
      </c>
      <c r="N495" s="46" t="e">
        <f aca="false">IF((H495=1),M495-D495,0)</f>
        <v>#N/A</v>
      </c>
      <c r="O495" s="29" t="n">
        <v>478</v>
      </c>
      <c r="P495" s="49" t="e">
        <f aca="false">IF((Arterial=0),P494+1,P494)</f>
        <v>#N/A</v>
      </c>
      <c r="Q495" s="49" t="e">
        <f aca="false">IF((Arterial=1),Q494+1,Q494)</f>
        <v>#N/A</v>
      </c>
      <c r="R495" s="50" t="n">
        <f aca="false">IF((RESET=1),0,R495+K495)</f>
        <v>0</v>
      </c>
      <c r="S495" s="19" t="n">
        <f aca="false">IF(RESET=1,0,S495+N495)</f>
        <v>0</v>
      </c>
      <c r="T495" s="0" t="n">
        <f aca="false">IF(RESET=1,0,T495+IF(H495=0,1,0))</f>
        <v>0</v>
      </c>
      <c r="U495" s="0" t="n">
        <f aca="false">IF(RESET=1,0,U495+H495)</f>
        <v>0</v>
      </c>
      <c r="V495" s="19" t="n">
        <f aca="false">R495/(T495+0.00001)</f>
        <v>0</v>
      </c>
      <c r="W495" s="19" t="n">
        <f aca="false">S495/(U495+0.0001)</f>
        <v>0</v>
      </c>
      <c r="X495" s="47" t="e">
        <f aca="false">IF(Informed=1,K495,0)</f>
        <v>#N/A</v>
      </c>
      <c r="Y495" s="47" t="n">
        <f aca="false">IF(Informed=0,K495,0)</f>
        <v>0</v>
      </c>
      <c r="Z495" s="47" t="e">
        <f aca="false">IF(Informed=1,N495,0)</f>
        <v>#N/A</v>
      </c>
      <c r="AA495" s="47" t="n">
        <f aca="false">IF(Informed=0,N495,0)</f>
        <v>0</v>
      </c>
      <c r="AB495" s="51" t="e">
        <f aca="false">IF(Arterial=0,IF(Informed=1,1,0),0)</f>
        <v>#N/A</v>
      </c>
      <c r="AC495" s="51" t="e">
        <f aca="false">IF(Arterial=0,IF(Informed=0,1,0),0)</f>
        <v>#N/A</v>
      </c>
      <c r="AD495" s="51" t="e">
        <f aca="false">IF(Arterial=1,IF(Informed=1,1,0),0)</f>
        <v>#N/A</v>
      </c>
      <c r="AE495" s="51" t="e">
        <f aca="false">IF(Arterial=1,IF(Informed=0,1,0),0)</f>
        <v>#N/A</v>
      </c>
      <c r="AF495" s="44" t="e">
        <f aca="false">IF(AB495=1,(X495-G$1030)^2,0)</f>
        <v>#N/A</v>
      </c>
      <c r="AG495" s="44" t="e">
        <f aca="false">IF(AC495=1,(Y495-H$1030)^2,0)</f>
        <v>#N/A</v>
      </c>
      <c r="AH495" s="44" t="e">
        <f aca="false">IF(AD495=1,(Z495-I$1030)^2,0)</f>
        <v>#N/A</v>
      </c>
      <c r="AI495" s="44" t="e">
        <f aca="false">IF(AE495=1,(AA495-J$1030)^2,0)</f>
        <v>#N/A</v>
      </c>
    </row>
    <row r="496" customFormat="false" ht="12" hidden="false" customHeight="false" outlineLevel="0" collapsed="false">
      <c r="A496" s="29" t="n">
        <v>479</v>
      </c>
      <c r="B496" s="45" t="n">
        <f aca="true">IF(RAND()&lt;$D$8,1,0)</f>
        <v>1</v>
      </c>
      <c r="C496" s="34" t="n">
        <f aca="true">-LN(RAND())/$D$2</f>
        <v>3.24642885865652</v>
      </c>
      <c r="D496" s="46" t="n">
        <f aca="false">D495+C496</f>
        <v>755.852855330727</v>
      </c>
      <c r="E496" s="47" t="e">
        <f aca="false">MAX($D$3,(1+P495-VLOOKUP(VALUE(D496),$J$18:$Q495,7,TRUE()))*$D$3)</f>
        <v>#N/A</v>
      </c>
      <c r="F496" s="47" t="e">
        <f aca="false">MAX($D$4,(1+Q495-VLOOKUP(VALUE(D496),$M$18:$Q495,5,TRUE()))*$D$4)</f>
        <v>#N/A</v>
      </c>
      <c r="G496" s="48" t="n">
        <v>0.5</v>
      </c>
      <c r="H496" s="46" t="e">
        <f aca="true">IF((B496=1),(IF((F496&lt;E496),1,(IF((F496=E496),(IF(RAND()&lt;G496,1,0)),0)))),(IF((RAND()&lt;G496),1,0)))</f>
        <v>#N/A</v>
      </c>
      <c r="I496" s="46" t="e">
        <f aca="true">IF((H496=1),0,$D$3+$D$5*(RAND()-0.5))</f>
        <v>#N/A</v>
      </c>
      <c r="J496" s="46" t="e">
        <f aca="false">I496+MAX(D496,J495)</f>
        <v>#N/A</v>
      </c>
      <c r="K496" s="46" t="e">
        <f aca="false">IF((H496=0),J496-D496,0)</f>
        <v>#N/A</v>
      </c>
      <c r="L496" s="46" t="e">
        <f aca="true">IF(($H496=0),0,$D$4+$D$5*(RAND()-0.5))</f>
        <v>#N/A</v>
      </c>
      <c r="M496" s="46" t="e">
        <f aca="false">L496+MAX(D496,M495)</f>
        <v>#N/A</v>
      </c>
      <c r="N496" s="46" t="e">
        <f aca="false">IF((H496=1),M496-D496,0)</f>
        <v>#N/A</v>
      </c>
      <c r="O496" s="29" t="n">
        <v>479</v>
      </c>
      <c r="P496" s="49" t="e">
        <f aca="false">IF((Arterial=0),P495+1,P495)</f>
        <v>#N/A</v>
      </c>
      <c r="Q496" s="49" t="e">
        <f aca="false">IF((Arterial=1),Q495+1,Q495)</f>
        <v>#N/A</v>
      </c>
      <c r="R496" s="50" t="n">
        <f aca="false">IF((RESET=1),0,R496+K496)</f>
        <v>0</v>
      </c>
      <c r="S496" s="19" t="n">
        <f aca="false">IF(RESET=1,0,S496+N496)</f>
        <v>0</v>
      </c>
      <c r="T496" s="0" t="n">
        <f aca="false">IF(RESET=1,0,T496+IF(H496=0,1,0))</f>
        <v>0</v>
      </c>
      <c r="U496" s="0" t="n">
        <f aca="false">IF(RESET=1,0,U496+H496)</f>
        <v>0</v>
      </c>
      <c r="V496" s="19" t="n">
        <f aca="false">R496/(T496+0.00001)</f>
        <v>0</v>
      </c>
      <c r="W496" s="19" t="n">
        <f aca="false">S496/(U496+0.0001)</f>
        <v>0</v>
      </c>
      <c r="X496" s="47" t="e">
        <f aca="false">IF(Informed=1,K496,0)</f>
        <v>#N/A</v>
      </c>
      <c r="Y496" s="47" t="n">
        <f aca="false">IF(Informed=0,K496,0)</f>
        <v>0</v>
      </c>
      <c r="Z496" s="47" t="e">
        <f aca="false">IF(Informed=1,N496,0)</f>
        <v>#N/A</v>
      </c>
      <c r="AA496" s="47" t="n">
        <f aca="false">IF(Informed=0,N496,0)</f>
        <v>0</v>
      </c>
      <c r="AB496" s="51" t="e">
        <f aca="false">IF(Arterial=0,IF(Informed=1,1,0),0)</f>
        <v>#N/A</v>
      </c>
      <c r="AC496" s="51" t="e">
        <f aca="false">IF(Arterial=0,IF(Informed=0,1,0),0)</f>
        <v>#N/A</v>
      </c>
      <c r="AD496" s="51" t="e">
        <f aca="false">IF(Arterial=1,IF(Informed=1,1,0),0)</f>
        <v>#N/A</v>
      </c>
      <c r="AE496" s="51" t="e">
        <f aca="false">IF(Arterial=1,IF(Informed=0,1,0),0)</f>
        <v>#N/A</v>
      </c>
      <c r="AF496" s="44" t="e">
        <f aca="false">IF(AB496=1,(X496-G$1030)^2,0)</f>
        <v>#N/A</v>
      </c>
      <c r="AG496" s="44" t="e">
        <f aca="false">IF(AC496=1,(Y496-H$1030)^2,0)</f>
        <v>#N/A</v>
      </c>
      <c r="AH496" s="44" t="e">
        <f aca="false">IF(AD496=1,(Z496-I$1030)^2,0)</f>
        <v>#N/A</v>
      </c>
      <c r="AI496" s="44" t="e">
        <f aca="false">IF(AE496=1,(AA496-J$1030)^2,0)</f>
        <v>#N/A</v>
      </c>
    </row>
    <row r="497" customFormat="false" ht="12" hidden="false" customHeight="false" outlineLevel="0" collapsed="false">
      <c r="A497" s="29" t="n">
        <v>480</v>
      </c>
      <c r="B497" s="45" t="n">
        <f aca="true">IF(RAND()&lt;$D$8,1,0)</f>
        <v>1</v>
      </c>
      <c r="C497" s="34" t="n">
        <f aca="true">-LN(RAND())/$D$2</f>
        <v>1.39625463241583</v>
      </c>
      <c r="D497" s="46" t="n">
        <f aca="false">D496+C497</f>
        <v>757.249109963143</v>
      </c>
      <c r="E497" s="47" t="e">
        <f aca="false">MAX($D$3,(1+P496-VLOOKUP(VALUE(D497),$J$18:$Q496,7,TRUE()))*$D$3)</f>
        <v>#N/A</v>
      </c>
      <c r="F497" s="47" t="e">
        <f aca="false">MAX($D$4,(1+Q496-VLOOKUP(VALUE(D497),$M$18:$Q496,5,TRUE()))*$D$4)</f>
        <v>#N/A</v>
      </c>
      <c r="G497" s="48" t="n">
        <v>0.5</v>
      </c>
      <c r="H497" s="46" t="e">
        <f aca="true">IF((B497=1),(IF((F497&lt;E497),1,(IF((F497=E497),(IF(RAND()&lt;G497,1,0)),0)))),(IF((RAND()&lt;G497),1,0)))</f>
        <v>#N/A</v>
      </c>
      <c r="I497" s="46" t="e">
        <f aca="true">IF((H497=1),0,$D$3+$D$5*(RAND()-0.5))</f>
        <v>#N/A</v>
      </c>
      <c r="J497" s="46" t="e">
        <f aca="false">I497+MAX(D497,J496)</f>
        <v>#N/A</v>
      </c>
      <c r="K497" s="46" t="e">
        <f aca="false">IF((H497=0),J497-D497,0)</f>
        <v>#N/A</v>
      </c>
      <c r="L497" s="46" t="e">
        <f aca="true">IF(($H497=0),0,$D$4+$D$5*(RAND()-0.5))</f>
        <v>#N/A</v>
      </c>
      <c r="M497" s="46" t="e">
        <f aca="false">L497+MAX(D497,M496)</f>
        <v>#N/A</v>
      </c>
      <c r="N497" s="46" t="e">
        <f aca="false">IF((H497=1),M497-D497,0)</f>
        <v>#N/A</v>
      </c>
      <c r="O497" s="29" t="n">
        <v>480</v>
      </c>
      <c r="P497" s="49" t="e">
        <f aca="false">IF((Arterial=0),P496+1,P496)</f>
        <v>#N/A</v>
      </c>
      <c r="Q497" s="49" t="e">
        <f aca="false">IF((Arterial=1),Q496+1,Q496)</f>
        <v>#N/A</v>
      </c>
      <c r="R497" s="50" t="n">
        <f aca="false">IF((RESET=1),0,R497+K497)</f>
        <v>0</v>
      </c>
      <c r="S497" s="19" t="n">
        <f aca="false">IF(RESET=1,0,S497+N497)</f>
        <v>0</v>
      </c>
      <c r="T497" s="0" t="n">
        <f aca="false">IF(RESET=1,0,T497+IF(H497=0,1,0))</f>
        <v>0</v>
      </c>
      <c r="U497" s="0" t="n">
        <f aca="false">IF(RESET=1,0,U497+H497)</f>
        <v>0</v>
      </c>
      <c r="V497" s="19" t="n">
        <f aca="false">R497/(T497+0.00001)</f>
        <v>0</v>
      </c>
      <c r="W497" s="19" t="n">
        <f aca="false">S497/(U497+0.0001)</f>
        <v>0</v>
      </c>
      <c r="X497" s="47" t="e">
        <f aca="false">IF(Informed=1,K497,0)</f>
        <v>#N/A</v>
      </c>
      <c r="Y497" s="47" t="n">
        <f aca="false">IF(Informed=0,K497,0)</f>
        <v>0</v>
      </c>
      <c r="Z497" s="47" t="e">
        <f aca="false">IF(Informed=1,N497,0)</f>
        <v>#N/A</v>
      </c>
      <c r="AA497" s="47" t="n">
        <f aca="false">IF(Informed=0,N497,0)</f>
        <v>0</v>
      </c>
      <c r="AB497" s="51" t="e">
        <f aca="false">IF(Arterial=0,IF(Informed=1,1,0),0)</f>
        <v>#N/A</v>
      </c>
      <c r="AC497" s="51" t="e">
        <f aca="false">IF(Arterial=0,IF(Informed=0,1,0),0)</f>
        <v>#N/A</v>
      </c>
      <c r="AD497" s="51" t="e">
        <f aca="false">IF(Arterial=1,IF(Informed=1,1,0),0)</f>
        <v>#N/A</v>
      </c>
      <c r="AE497" s="51" t="e">
        <f aca="false">IF(Arterial=1,IF(Informed=0,1,0),0)</f>
        <v>#N/A</v>
      </c>
      <c r="AF497" s="44" t="e">
        <f aca="false">IF(AB497=1,(X497-G$1030)^2,0)</f>
        <v>#N/A</v>
      </c>
      <c r="AG497" s="44" t="e">
        <f aca="false">IF(AC497=1,(Y497-H$1030)^2,0)</f>
        <v>#N/A</v>
      </c>
      <c r="AH497" s="44" t="e">
        <f aca="false">IF(AD497=1,(Z497-I$1030)^2,0)</f>
        <v>#N/A</v>
      </c>
      <c r="AI497" s="44" t="e">
        <f aca="false">IF(AE497=1,(AA497-J$1030)^2,0)</f>
        <v>#N/A</v>
      </c>
    </row>
    <row r="498" customFormat="false" ht="12" hidden="false" customHeight="false" outlineLevel="0" collapsed="false">
      <c r="A498" s="29" t="n">
        <v>481</v>
      </c>
      <c r="B498" s="45" t="n">
        <f aca="true">IF(RAND()&lt;$D$8,1,0)</f>
        <v>1</v>
      </c>
      <c r="C498" s="34" t="n">
        <f aca="true">-LN(RAND())/$D$2</f>
        <v>0.109311215200842</v>
      </c>
      <c r="D498" s="46" t="n">
        <f aca="false">D497+C498</f>
        <v>757.358421178344</v>
      </c>
      <c r="E498" s="47" t="e">
        <f aca="false">MAX($D$3,(1+P497-VLOOKUP(VALUE(D498),$J$18:$Q497,7,TRUE()))*$D$3)</f>
        <v>#N/A</v>
      </c>
      <c r="F498" s="47" t="e">
        <f aca="false">MAX($D$4,(1+Q497-VLOOKUP(VALUE(D498),$M$18:$Q497,5,TRUE()))*$D$4)</f>
        <v>#N/A</v>
      </c>
      <c r="G498" s="48" t="n">
        <v>0.5</v>
      </c>
      <c r="H498" s="46" t="e">
        <f aca="true">IF((B498=1),(IF((F498&lt;E498),1,(IF((F498=E498),(IF(RAND()&lt;G498,1,0)),0)))),(IF((RAND()&lt;G498),1,0)))</f>
        <v>#N/A</v>
      </c>
      <c r="I498" s="46" t="e">
        <f aca="true">IF((H498=1),0,$D$3+$D$5*(RAND()-0.5))</f>
        <v>#N/A</v>
      </c>
      <c r="J498" s="46" t="e">
        <f aca="false">I498+MAX(D498,J497)</f>
        <v>#N/A</v>
      </c>
      <c r="K498" s="46" t="e">
        <f aca="false">IF((H498=0),J498-D498,0)</f>
        <v>#N/A</v>
      </c>
      <c r="L498" s="46" t="e">
        <f aca="true">IF(($H498=0),0,$D$4+$D$5*(RAND()-0.5))</f>
        <v>#N/A</v>
      </c>
      <c r="M498" s="46" t="e">
        <f aca="false">L498+MAX(D498,M497)</f>
        <v>#N/A</v>
      </c>
      <c r="N498" s="46" t="e">
        <f aca="false">IF((H498=1),M498-D498,0)</f>
        <v>#N/A</v>
      </c>
      <c r="O498" s="29" t="n">
        <v>481</v>
      </c>
      <c r="P498" s="49" t="e">
        <f aca="false">IF((Arterial=0),P497+1,P497)</f>
        <v>#N/A</v>
      </c>
      <c r="Q498" s="49" t="e">
        <f aca="false">IF((Arterial=1),Q497+1,Q497)</f>
        <v>#N/A</v>
      </c>
      <c r="R498" s="50" t="n">
        <f aca="false">IF((RESET=1),0,R498+K498)</f>
        <v>0</v>
      </c>
      <c r="S498" s="19" t="n">
        <f aca="false">IF(RESET=1,0,S498+N498)</f>
        <v>0</v>
      </c>
      <c r="T498" s="0" t="n">
        <f aca="false">IF(RESET=1,0,T498+IF(H498=0,1,0))</f>
        <v>0</v>
      </c>
      <c r="U498" s="0" t="n">
        <f aca="false">IF(RESET=1,0,U498+H498)</f>
        <v>0</v>
      </c>
      <c r="V498" s="19" t="n">
        <f aca="false">R498/(T498+0.00001)</f>
        <v>0</v>
      </c>
      <c r="W498" s="19" t="n">
        <f aca="false">S498/(U498+0.0001)</f>
        <v>0</v>
      </c>
      <c r="X498" s="47" t="e">
        <f aca="false">IF(Informed=1,K498,0)</f>
        <v>#N/A</v>
      </c>
      <c r="Y498" s="47" t="n">
        <f aca="false">IF(Informed=0,K498,0)</f>
        <v>0</v>
      </c>
      <c r="Z498" s="47" t="e">
        <f aca="false">IF(Informed=1,N498,0)</f>
        <v>#N/A</v>
      </c>
      <c r="AA498" s="47" t="n">
        <f aca="false">IF(Informed=0,N498,0)</f>
        <v>0</v>
      </c>
      <c r="AB498" s="51" t="e">
        <f aca="false">IF(Arterial=0,IF(Informed=1,1,0),0)</f>
        <v>#N/A</v>
      </c>
      <c r="AC498" s="51" t="e">
        <f aca="false">IF(Arterial=0,IF(Informed=0,1,0),0)</f>
        <v>#N/A</v>
      </c>
      <c r="AD498" s="51" t="e">
        <f aca="false">IF(Arterial=1,IF(Informed=1,1,0),0)</f>
        <v>#N/A</v>
      </c>
      <c r="AE498" s="51" t="e">
        <f aca="false">IF(Arterial=1,IF(Informed=0,1,0),0)</f>
        <v>#N/A</v>
      </c>
      <c r="AF498" s="44" t="e">
        <f aca="false">IF(AB498=1,(X498-G$1030)^2,0)</f>
        <v>#N/A</v>
      </c>
      <c r="AG498" s="44" t="e">
        <f aca="false">IF(AC498=1,(Y498-H$1030)^2,0)</f>
        <v>#N/A</v>
      </c>
      <c r="AH498" s="44" t="e">
        <f aca="false">IF(AD498=1,(Z498-I$1030)^2,0)</f>
        <v>#N/A</v>
      </c>
      <c r="AI498" s="44" t="e">
        <f aca="false">IF(AE498=1,(AA498-J$1030)^2,0)</f>
        <v>#N/A</v>
      </c>
    </row>
    <row r="499" customFormat="false" ht="12" hidden="false" customHeight="false" outlineLevel="0" collapsed="false">
      <c r="A499" s="29" t="n">
        <v>482</v>
      </c>
      <c r="B499" s="45" t="n">
        <f aca="true">IF(RAND()&lt;$D$8,1,0)</f>
        <v>1</v>
      </c>
      <c r="C499" s="34" t="n">
        <f aca="true">-LN(RAND())/$D$2</f>
        <v>3.19825202975051</v>
      </c>
      <c r="D499" s="46" t="n">
        <f aca="false">D498+C499</f>
        <v>760.556673208094</v>
      </c>
      <c r="E499" s="47" t="e">
        <f aca="false">MAX($D$3,(1+P498-VLOOKUP(VALUE(D499),$J$18:$Q498,7,TRUE()))*$D$3)</f>
        <v>#N/A</v>
      </c>
      <c r="F499" s="47" t="e">
        <f aca="false">MAX($D$4,(1+Q498-VLOOKUP(VALUE(D499),$M$18:$Q498,5,TRUE()))*$D$4)</f>
        <v>#N/A</v>
      </c>
      <c r="G499" s="48" t="n">
        <v>0.5</v>
      </c>
      <c r="H499" s="46" t="e">
        <f aca="true">IF((B499=1),(IF((F499&lt;E499),1,(IF((F499=E499),(IF(RAND()&lt;G499,1,0)),0)))),(IF((RAND()&lt;G499),1,0)))</f>
        <v>#N/A</v>
      </c>
      <c r="I499" s="46" t="e">
        <f aca="true">IF((H499=1),0,$D$3+$D$5*(RAND()-0.5))</f>
        <v>#N/A</v>
      </c>
      <c r="J499" s="46" t="e">
        <f aca="false">I499+MAX(D499,J498)</f>
        <v>#N/A</v>
      </c>
      <c r="K499" s="46" t="e">
        <f aca="false">IF((H499=0),J499-D499,0)</f>
        <v>#N/A</v>
      </c>
      <c r="L499" s="46" t="e">
        <f aca="true">IF(($H499=0),0,$D$4+$D$5*(RAND()-0.5))</f>
        <v>#N/A</v>
      </c>
      <c r="M499" s="46" t="e">
        <f aca="false">L499+MAX(D499,M498)</f>
        <v>#N/A</v>
      </c>
      <c r="N499" s="46" t="e">
        <f aca="false">IF((H499=1),M499-D499,0)</f>
        <v>#N/A</v>
      </c>
      <c r="O499" s="29" t="n">
        <v>482</v>
      </c>
      <c r="P499" s="49" t="e">
        <f aca="false">IF((Arterial=0),P498+1,P498)</f>
        <v>#N/A</v>
      </c>
      <c r="Q499" s="49" t="e">
        <f aca="false">IF((Arterial=1),Q498+1,Q498)</f>
        <v>#N/A</v>
      </c>
      <c r="R499" s="50" t="n">
        <f aca="false">IF((RESET=1),0,R499+K499)</f>
        <v>0</v>
      </c>
      <c r="S499" s="19" t="n">
        <f aca="false">IF(RESET=1,0,S499+N499)</f>
        <v>0</v>
      </c>
      <c r="T499" s="0" t="n">
        <f aca="false">IF(RESET=1,0,T499+IF(H499=0,1,0))</f>
        <v>0</v>
      </c>
      <c r="U499" s="0" t="n">
        <f aca="false">IF(RESET=1,0,U499+H499)</f>
        <v>0</v>
      </c>
      <c r="V499" s="19" t="n">
        <f aca="false">R499/(T499+0.00001)</f>
        <v>0</v>
      </c>
      <c r="W499" s="19" t="n">
        <f aca="false">S499/(U499+0.0001)</f>
        <v>0</v>
      </c>
      <c r="X499" s="47" t="e">
        <f aca="false">IF(Informed=1,K499,0)</f>
        <v>#N/A</v>
      </c>
      <c r="Y499" s="47" t="n">
        <f aca="false">IF(Informed=0,K499,0)</f>
        <v>0</v>
      </c>
      <c r="Z499" s="47" t="e">
        <f aca="false">IF(Informed=1,N499,0)</f>
        <v>#N/A</v>
      </c>
      <c r="AA499" s="47" t="n">
        <f aca="false">IF(Informed=0,N499,0)</f>
        <v>0</v>
      </c>
      <c r="AB499" s="51" t="e">
        <f aca="false">IF(Arterial=0,IF(Informed=1,1,0),0)</f>
        <v>#N/A</v>
      </c>
      <c r="AC499" s="51" t="e">
        <f aca="false">IF(Arterial=0,IF(Informed=0,1,0),0)</f>
        <v>#N/A</v>
      </c>
      <c r="AD499" s="51" t="e">
        <f aca="false">IF(Arterial=1,IF(Informed=1,1,0),0)</f>
        <v>#N/A</v>
      </c>
      <c r="AE499" s="51" t="e">
        <f aca="false">IF(Arterial=1,IF(Informed=0,1,0),0)</f>
        <v>#N/A</v>
      </c>
      <c r="AF499" s="44" t="e">
        <f aca="false">IF(AB499=1,(X499-G$1030)^2,0)</f>
        <v>#N/A</v>
      </c>
      <c r="AG499" s="44" t="e">
        <f aca="false">IF(AC499=1,(Y499-H$1030)^2,0)</f>
        <v>#N/A</v>
      </c>
      <c r="AH499" s="44" t="e">
        <f aca="false">IF(AD499=1,(Z499-I$1030)^2,0)</f>
        <v>#N/A</v>
      </c>
      <c r="AI499" s="44" t="e">
        <f aca="false">IF(AE499=1,(AA499-J$1030)^2,0)</f>
        <v>#N/A</v>
      </c>
    </row>
    <row r="500" customFormat="false" ht="12" hidden="false" customHeight="false" outlineLevel="0" collapsed="false">
      <c r="A500" s="29" t="n">
        <v>483</v>
      </c>
      <c r="B500" s="45" t="n">
        <f aca="true">IF(RAND()&lt;$D$8,1,0)</f>
        <v>1</v>
      </c>
      <c r="C500" s="34" t="n">
        <f aca="true">-LN(RAND())/$D$2</f>
        <v>0.579776488748919</v>
      </c>
      <c r="D500" s="46" t="n">
        <f aca="false">D499+C500</f>
        <v>761.136449696843</v>
      </c>
      <c r="E500" s="47" t="e">
        <f aca="false">MAX($D$3,(1+P499-VLOOKUP(VALUE(D500),$J$18:$Q499,7,TRUE()))*$D$3)</f>
        <v>#N/A</v>
      </c>
      <c r="F500" s="47" t="e">
        <f aca="false">MAX($D$4,(1+Q499-VLOOKUP(VALUE(D500),$M$18:$Q499,5,TRUE()))*$D$4)</f>
        <v>#N/A</v>
      </c>
      <c r="G500" s="48" t="n">
        <v>0.5</v>
      </c>
      <c r="H500" s="46" t="e">
        <f aca="true">IF((B500=1),(IF((F500&lt;E500),1,(IF((F500=E500),(IF(RAND()&lt;G500,1,0)),0)))),(IF((RAND()&lt;G500),1,0)))</f>
        <v>#N/A</v>
      </c>
      <c r="I500" s="46" t="e">
        <f aca="true">IF((H500=1),0,$D$3+$D$5*(RAND()-0.5))</f>
        <v>#N/A</v>
      </c>
      <c r="J500" s="46" t="e">
        <f aca="false">I500+MAX(D500,J499)</f>
        <v>#N/A</v>
      </c>
      <c r="K500" s="46" t="e">
        <f aca="false">IF((H500=0),J500-D500,0)</f>
        <v>#N/A</v>
      </c>
      <c r="L500" s="46" t="e">
        <f aca="true">IF(($H500=0),0,$D$4+$D$5*(RAND()-0.5))</f>
        <v>#N/A</v>
      </c>
      <c r="M500" s="46" t="e">
        <f aca="false">L500+MAX(D500,M499)</f>
        <v>#N/A</v>
      </c>
      <c r="N500" s="46" t="e">
        <f aca="false">IF((H500=1),M500-D500,0)</f>
        <v>#N/A</v>
      </c>
      <c r="O500" s="29" t="n">
        <v>483</v>
      </c>
      <c r="P500" s="49" t="e">
        <f aca="false">IF((Arterial=0),P499+1,P499)</f>
        <v>#N/A</v>
      </c>
      <c r="Q500" s="49" t="e">
        <f aca="false">IF((Arterial=1),Q499+1,Q499)</f>
        <v>#N/A</v>
      </c>
      <c r="R500" s="50" t="n">
        <f aca="false">IF((RESET=1),0,R500+K500)</f>
        <v>0</v>
      </c>
      <c r="S500" s="19" t="n">
        <f aca="false">IF(RESET=1,0,S500+N500)</f>
        <v>0</v>
      </c>
      <c r="T500" s="0" t="n">
        <f aca="false">IF(RESET=1,0,T500+IF(H500=0,1,0))</f>
        <v>0</v>
      </c>
      <c r="U500" s="0" t="n">
        <f aca="false">IF(RESET=1,0,U500+H500)</f>
        <v>0</v>
      </c>
      <c r="V500" s="19" t="n">
        <f aca="false">R500/(T500+0.00001)</f>
        <v>0</v>
      </c>
      <c r="W500" s="19" t="n">
        <f aca="false">S500/(U500+0.0001)</f>
        <v>0</v>
      </c>
      <c r="X500" s="47" t="e">
        <f aca="false">IF(Informed=1,K500,0)</f>
        <v>#N/A</v>
      </c>
      <c r="Y500" s="47" t="n">
        <f aca="false">IF(Informed=0,K500,0)</f>
        <v>0</v>
      </c>
      <c r="Z500" s="47" t="e">
        <f aca="false">IF(Informed=1,N500,0)</f>
        <v>#N/A</v>
      </c>
      <c r="AA500" s="47" t="n">
        <f aca="false">IF(Informed=0,N500,0)</f>
        <v>0</v>
      </c>
      <c r="AB500" s="51" t="e">
        <f aca="false">IF(Arterial=0,IF(Informed=1,1,0),0)</f>
        <v>#N/A</v>
      </c>
      <c r="AC500" s="51" t="e">
        <f aca="false">IF(Arterial=0,IF(Informed=0,1,0),0)</f>
        <v>#N/A</v>
      </c>
      <c r="AD500" s="51" t="e">
        <f aca="false">IF(Arterial=1,IF(Informed=1,1,0),0)</f>
        <v>#N/A</v>
      </c>
      <c r="AE500" s="51" t="e">
        <f aca="false">IF(Arterial=1,IF(Informed=0,1,0),0)</f>
        <v>#N/A</v>
      </c>
      <c r="AF500" s="44" t="e">
        <f aca="false">IF(AB500=1,(X500-G$1030)^2,0)</f>
        <v>#N/A</v>
      </c>
      <c r="AG500" s="44" t="e">
        <f aca="false">IF(AC500=1,(Y500-H$1030)^2,0)</f>
        <v>#N/A</v>
      </c>
      <c r="AH500" s="44" t="e">
        <f aca="false">IF(AD500=1,(Z500-I$1030)^2,0)</f>
        <v>#N/A</v>
      </c>
      <c r="AI500" s="44" t="e">
        <f aca="false">IF(AE500=1,(AA500-J$1030)^2,0)</f>
        <v>#N/A</v>
      </c>
    </row>
    <row r="501" customFormat="false" ht="12" hidden="false" customHeight="false" outlineLevel="0" collapsed="false">
      <c r="A501" s="29" t="n">
        <v>484</v>
      </c>
      <c r="B501" s="45" t="n">
        <f aca="true">IF(RAND()&lt;$D$8,1,0)</f>
        <v>1</v>
      </c>
      <c r="C501" s="34" t="n">
        <f aca="true">-LN(RAND())/$D$2</f>
        <v>3.14850037556921</v>
      </c>
      <c r="D501" s="46" t="n">
        <f aca="false">D500+C501</f>
        <v>764.284950072412</v>
      </c>
      <c r="E501" s="47" t="e">
        <f aca="false">MAX($D$3,(1+P500-VLOOKUP(VALUE(D501),$J$18:$Q500,7,TRUE()))*$D$3)</f>
        <v>#N/A</v>
      </c>
      <c r="F501" s="47" t="e">
        <f aca="false">MAX($D$4,(1+Q500-VLOOKUP(VALUE(D501),$M$18:$Q500,5,TRUE()))*$D$4)</f>
        <v>#N/A</v>
      </c>
      <c r="G501" s="48" t="n">
        <v>0.5</v>
      </c>
      <c r="H501" s="46" t="e">
        <f aca="true">IF((B501=1),(IF((F501&lt;E501),1,(IF((F501=E501),(IF(RAND()&lt;G501,1,0)),0)))),(IF((RAND()&lt;G501),1,0)))</f>
        <v>#N/A</v>
      </c>
      <c r="I501" s="46" t="e">
        <f aca="true">IF((H501=1),0,$D$3+$D$5*(RAND()-0.5))</f>
        <v>#N/A</v>
      </c>
      <c r="J501" s="46" t="e">
        <f aca="false">I501+MAX(D501,J500)</f>
        <v>#N/A</v>
      </c>
      <c r="K501" s="46" t="e">
        <f aca="false">IF((H501=0),J501-D501,0)</f>
        <v>#N/A</v>
      </c>
      <c r="L501" s="46" t="e">
        <f aca="true">IF(($H501=0),0,$D$4+$D$5*(RAND()-0.5))</f>
        <v>#N/A</v>
      </c>
      <c r="M501" s="46" t="e">
        <f aca="false">L501+MAX(D501,M500)</f>
        <v>#N/A</v>
      </c>
      <c r="N501" s="46" t="e">
        <f aca="false">IF((H501=1),M501-D501,0)</f>
        <v>#N/A</v>
      </c>
      <c r="O501" s="29" t="n">
        <v>484</v>
      </c>
      <c r="P501" s="49" t="e">
        <f aca="false">IF((Arterial=0),P500+1,P500)</f>
        <v>#N/A</v>
      </c>
      <c r="Q501" s="49" t="e">
        <f aca="false">IF((Arterial=1),Q500+1,Q500)</f>
        <v>#N/A</v>
      </c>
      <c r="R501" s="50" t="n">
        <f aca="false">IF((RESET=1),0,R501+K501)</f>
        <v>0</v>
      </c>
      <c r="S501" s="19" t="n">
        <f aca="false">IF(RESET=1,0,S501+N501)</f>
        <v>0</v>
      </c>
      <c r="T501" s="0" t="n">
        <f aca="false">IF(RESET=1,0,T501+IF(H501=0,1,0))</f>
        <v>0</v>
      </c>
      <c r="U501" s="0" t="n">
        <f aca="false">IF(RESET=1,0,U501+H501)</f>
        <v>0</v>
      </c>
      <c r="V501" s="19" t="n">
        <f aca="false">R501/(T501+0.00001)</f>
        <v>0</v>
      </c>
      <c r="W501" s="19" t="n">
        <f aca="false">S501/(U501+0.0001)</f>
        <v>0</v>
      </c>
      <c r="X501" s="47" t="e">
        <f aca="false">IF(Informed=1,K501,0)</f>
        <v>#N/A</v>
      </c>
      <c r="Y501" s="47" t="n">
        <f aca="false">IF(Informed=0,K501,0)</f>
        <v>0</v>
      </c>
      <c r="Z501" s="47" t="e">
        <f aca="false">IF(Informed=1,N501,0)</f>
        <v>#N/A</v>
      </c>
      <c r="AA501" s="47" t="n">
        <f aca="false">IF(Informed=0,N501,0)</f>
        <v>0</v>
      </c>
      <c r="AB501" s="51" t="e">
        <f aca="false">IF(Arterial=0,IF(Informed=1,1,0),0)</f>
        <v>#N/A</v>
      </c>
      <c r="AC501" s="51" t="e">
        <f aca="false">IF(Arterial=0,IF(Informed=0,1,0),0)</f>
        <v>#N/A</v>
      </c>
      <c r="AD501" s="51" t="e">
        <f aca="false">IF(Arterial=1,IF(Informed=1,1,0),0)</f>
        <v>#N/A</v>
      </c>
      <c r="AE501" s="51" t="e">
        <f aca="false">IF(Arterial=1,IF(Informed=0,1,0),0)</f>
        <v>#N/A</v>
      </c>
      <c r="AF501" s="44" t="e">
        <f aca="false">IF(AB501=1,(X501-G$1030)^2,0)</f>
        <v>#N/A</v>
      </c>
      <c r="AG501" s="44" t="e">
        <f aca="false">IF(AC501=1,(Y501-H$1030)^2,0)</f>
        <v>#N/A</v>
      </c>
      <c r="AH501" s="44" t="e">
        <f aca="false">IF(AD501=1,(Z501-I$1030)^2,0)</f>
        <v>#N/A</v>
      </c>
      <c r="AI501" s="44" t="e">
        <f aca="false">IF(AE501=1,(AA501-J$1030)^2,0)</f>
        <v>#N/A</v>
      </c>
    </row>
    <row r="502" customFormat="false" ht="12" hidden="false" customHeight="false" outlineLevel="0" collapsed="false">
      <c r="A502" s="29" t="n">
        <v>485</v>
      </c>
      <c r="B502" s="45" t="n">
        <f aca="true">IF(RAND()&lt;$D$8,1,0)</f>
        <v>1</v>
      </c>
      <c r="C502" s="34" t="n">
        <f aca="true">-LN(RAND())/$D$2</f>
        <v>0.540331991174653</v>
      </c>
      <c r="D502" s="46" t="n">
        <f aca="false">D501+C502</f>
        <v>764.825282063587</v>
      </c>
      <c r="E502" s="47" t="e">
        <f aca="false">MAX($D$3,(1+P501-VLOOKUP(VALUE(D502),$J$18:$Q501,7,TRUE()))*$D$3)</f>
        <v>#N/A</v>
      </c>
      <c r="F502" s="47" t="e">
        <f aca="false">MAX($D$4,(1+Q501-VLOOKUP(VALUE(D502),$M$18:$Q501,5,TRUE()))*$D$4)</f>
        <v>#N/A</v>
      </c>
      <c r="G502" s="48" t="n">
        <v>0.5</v>
      </c>
      <c r="H502" s="46" t="e">
        <f aca="true">IF((B502=1),(IF((F502&lt;E502),1,(IF((F502=E502),(IF(RAND()&lt;G502,1,0)),0)))),(IF((RAND()&lt;G502),1,0)))</f>
        <v>#N/A</v>
      </c>
      <c r="I502" s="46" t="e">
        <f aca="true">IF((H502=1),0,$D$3+$D$5*(RAND()-0.5))</f>
        <v>#N/A</v>
      </c>
      <c r="J502" s="46" t="e">
        <f aca="false">I502+MAX(D502,J501)</f>
        <v>#N/A</v>
      </c>
      <c r="K502" s="46" t="e">
        <f aca="false">IF((H502=0),J502-D502,0)</f>
        <v>#N/A</v>
      </c>
      <c r="L502" s="46" t="e">
        <f aca="true">IF(($H502=0),0,$D$4+$D$5*(RAND()-0.5))</f>
        <v>#N/A</v>
      </c>
      <c r="M502" s="46" t="e">
        <f aca="false">L502+MAX(D502,M501)</f>
        <v>#N/A</v>
      </c>
      <c r="N502" s="46" t="e">
        <f aca="false">IF((H502=1),M502-D502,0)</f>
        <v>#N/A</v>
      </c>
      <c r="O502" s="29" t="n">
        <v>485</v>
      </c>
      <c r="P502" s="49" t="e">
        <f aca="false">IF((Arterial=0),P501+1,P501)</f>
        <v>#N/A</v>
      </c>
      <c r="Q502" s="49" t="e">
        <f aca="false">IF((Arterial=1),Q501+1,Q501)</f>
        <v>#N/A</v>
      </c>
      <c r="R502" s="50" t="n">
        <f aca="false">IF((RESET=1),0,R502+K502)</f>
        <v>0</v>
      </c>
      <c r="S502" s="19" t="n">
        <f aca="false">IF(RESET=1,0,S502+N502)</f>
        <v>0</v>
      </c>
      <c r="T502" s="0" t="n">
        <f aca="false">IF(RESET=1,0,T502+IF(H502=0,1,0))</f>
        <v>0</v>
      </c>
      <c r="U502" s="0" t="n">
        <f aca="false">IF(RESET=1,0,U502+H502)</f>
        <v>0</v>
      </c>
      <c r="V502" s="19" t="n">
        <f aca="false">R502/(T502+0.00001)</f>
        <v>0</v>
      </c>
      <c r="W502" s="19" t="n">
        <f aca="false">S502/(U502+0.0001)</f>
        <v>0</v>
      </c>
      <c r="X502" s="47" t="e">
        <f aca="false">IF(Informed=1,K502,0)</f>
        <v>#N/A</v>
      </c>
      <c r="Y502" s="47" t="n">
        <f aca="false">IF(Informed=0,K502,0)</f>
        <v>0</v>
      </c>
      <c r="Z502" s="47" t="e">
        <f aca="false">IF(Informed=1,N502,0)</f>
        <v>#N/A</v>
      </c>
      <c r="AA502" s="47" t="n">
        <f aca="false">IF(Informed=0,N502,0)</f>
        <v>0</v>
      </c>
      <c r="AB502" s="51" t="e">
        <f aca="false">IF(Arterial=0,IF(Informed=1,1,0),0)</f>
        <v>#N/A</v>
      </c>
      <c r="AC502" s="51" t="e">
        <f aca="false">IF(Arterial=0,IF(Informed=0,1,0),0)</f>
        <v>#N/A</v>
      </c>
      <c r="AD502" s="51" t="e">
        <f aca="false">IF(Arterial=1,IF(Informed=1,1,0),0)</f>
        <v>#N/A</v>
      </c>
      <c r="AE502" s="51" t="e">
        <f aca="false">IF(Arterial=1,IF(Informed=0,1,0),0)</f>
        <v>#N/A</v>
      </c>
      <c r="AF502" s="44" t="e">
        <f aca="false">IF(AB502=1,(X502-G$1030)^2,0)</f>
        <v>#N/A</v>
      </c>
      <c r="AG502" s="44" t="e">
        <f aca="false">IF(AC502=1,(Y502-H$1030)^2,0)</f>
        <v>#N/A</v>
      </c>
      <c r="AH502" s="44" t="e">
        <f aca="false">IF(AD502=1,(Z502-I$1030)^2,0)</f>
        <v>#N/A</v>
      </c>
      <c r="AI502" s="44" t="e">
        <f aca="false">IF(AE502=1,(AA502-J$1030)^2,0)</f>
        <v>#N/A</v>
      </c>
    </row>
    <row r="503" customFormat="false" ht="12" hidden="false" customHeight="false" outlineLevel="0" collapsed="false">
      <c r="A503" s="29" t="n">
        <v>486</v>
      </c>
      <c r="B503" s="45" t="n">
        <f aca="true">IF(RAND()&lt;$D$8,1,0)</f>
        <v>1</v>
      </c>
      <c r="C503" s="34" t="n">
        <f aca="true">-LN(RAND())/$D$2</f>
        <v>2.48660205268987</v>
      </c>
      <c r="D503" s="46" t="n">
        <f aca="false">D502+C503</f>
        <v>767.311884116277</v>
      </c>
      <c r="E503" s="47" t="e">
        <f aca="false">MAX($D$3,(1+P502-VLOOKUP(VALUE(D503),$J$18:$Q502,7,TRUE()))*$D$3)</f>
        <v>#N/A</v>
      </c>
      <c r="F503" s="47" t="e">
        <f aca="false">MAX($D$4,(1+Q502-VLOOKUP(VALUE(D503),$M$18:$Q502,5,TRUE()))*$D$4)</f>
        <v>#N/A</v>
      </c>
      <c r="G503" s="48" t="n">
        <v>0.5</v>
      </c>
      <c r="H503" s="46" t="e">
        <f aca="true">IF((B503=1),(IF((F503&lt;E503),1,(IF((F503=E503),(IF(RAND()&lt;G503,1,0)),0)))),(IF((RAND()&lt;G503),1,0)))</f>
        <v>#N/A</v>
      </c>
      <c r="I503" s="46" t="e">
        <f aca="true">IF((H503=1),0,$D$3+$D$5*(RAND()-0.5))</f>
        <v>#N/A</v>
      </c>
      <c r="J503" s="46" t="e">
        <f aca="false">I503+MAX(D503,J502)</f>
        <v>#N/A</v>
      </c>
      <c r="K503" s="46" t="e">
        <f aca="false">IF((H503=0),J503-D503,0)</f>
        <v>#N/A</v>
      </c>
      <c r="L503" s="46" t="e">
        <f aca="true">IF(($H503=0),0,$D$4+$D$5*(RAND()-0.5))</f>
        <v>#N/A</v>
      </c>
      <c r="M503" s="46" t="e">
        <f aca="false">L503+MAX(D503,M502)</f>
        <v>#N/A</v>
      </c>
      <c r="N503" s="46" t="e">
        <f aca="false">IF((H503=1),M503-D503,0)</f>
        <v>#N/A</v>
      </c>
      <c r="O503" s="29" t="n">
        <v>486</v>
      </c>
      <c r="P503" s="49" t="e">
        <f aca="false">IF((Arterial=0),P502+1,P502)</f>
        <v>#N/A</v>
      </c>
      <c r="Q503" s="49" t="e">
        <f aca="false">IF((Arterial=1),Q502+1,Q502)</f>
        <v>#N/A</v>
      </c>
      <c r="R503" s="50" t="n">
        <f aca="false">IF((RESET=1),0,R503+K503)</f>
        <v>0</v>
      </c>
      <c r="S503" s="19" t="n">
        <f aca="false">IF(RESET=1,0,S503+N503)</f>
        <v>0</v>
      </c>
      <c r="T503" s="0" t="n">
        <f aca="false">IF(RESET=1,0,T503+IF(H503=0,1,0))</f>
        <v>0</v>
      </c>
      <c r="U503" s="0" t="n">
        <f aca="false">IF(RESET=1,0,U503+H503)</f>
        <v>0</v>
      </c>
      <c r="V503" s="19" t="n">
        <f aca="false">R503/(T503+0.00001)</f>
        <v>0</v>
      </c>
      <c r="W503" s="19" t="n">
        <f aca="false">S503/(U503+0.0001)</f>
        <v>0</v>
      </c>
      <c r="X503" s="47" t="e">
        <f aca="false">IF(Informed=1,K503,0)</f>
        <v>#N/A</v>
      </c>
      <c r="Y503" s="47" t="n">
        <f aca="false">IF(Informed=0,K503,0)</f>
        <v>0</v>
      </c>
      <c r="Z503" s="47" t="e">
        <f aca="false">IF(Informed=1,N503,0)</f>
        <v>#N/A</v>
      </c>
      <c r="AA503" s="47" t="n">
        <f aca="false">IF(Informed=0,N503,0)</f>
        <v>0</v>
      </c>
      <c r="AB503" s="51" t="e">
        <f aca="false">IF(Arterial=0,IF(Informed=1,1,0),0)</f>
        <v>#N/A</v>
      </c>
      <c r="AC503" s="51" t="e">
        <f aca="false">IF(Arterial=0,IF(Informed=0,1,0),0)</f>
        <v>#N/A</v>
      </c>
      <c r="AD503" s="51" t="e">
        <f aca="false">IF(Arterial=1,IF(Informed=1,1,0),0)</f>
        <v>#N/A</v>
      </c>
      <c r="AE503" s="51" t="e">
        <f aca="false">IF(Arterial=1,IF(Informed=0,1,0),0)</f>
        <v>#N/A</v>
      </c>
      <c r="AF503" s="44" t="e">
        <f aca="false">IF(AB503=1,(X503-G$1030)^2,0)</f>
        <v>#N/A</v>
      </c>
      <c r="AG503" s="44" t="e">
        <f aca="false">IF(AC503=1,(Y503-H$1030)^2,0)</f>
        <v>#N/A</v>
      </c>
      <c r="AH503" s="44" t="e">
        <f aca="false">IF(AD503=1,(Z503-I$1030)^2,0)</f>
        <v>#N/A</v>
      </c>
      <c r="AI503" s="44" t="e">
        <f aca="false">IF(AE503=1,(AA503-J$1030)^2,0)</f>
        <v>#N/A</v>
      </c>
    </row>
    <row r="504" customFormat="false" ht="12" hidden="false" customHeight="false" outlineLevel="0" collapsed="false">
      <c r="A504" s="29" t="n">
        <v>487</v>
      </c>
      <c r="B504" s="45" t="n">
        <f aca="true">IF(RAND()&lt;$D$8,1,0)</f>
        <v>1</v>
      </c>
      <c r="C504" s="34" t="n">
        <f aca="true">-LN(RAND())/$D$2</f>
        <v>0.0243517650782212</v>
      </c>
      <c r="D504" s="46" t="n">
        <f aca="false">D503+C504</f>
        <v>767.336235881355</v>
      </c>
      <c r="E504" s="47" t="e">
        <f aca="false">MAX($D$3,(1+P503-VLOOKUP(VALUE(D504),$J$18:$Q503,7,TRUE()))*$D$3)</f>
        <v>#N/A</v>
      </c>
      <c r="F504" s="47" t="e">
        <f aca="false">MAX($D$4,(1+Q503-VLOOKUP(VALUE(D504),$M$18:$Q503,5,TRUE()))*$D$4)</f>
        <v>#N/A</v>
      </c>
      <c r="G504" s="48" t="n">
        <v>0.5</v>
      </c>
      <c r="H504" s="46" t="e">
        <f aca="true">IF((B504=1),(IF((F504&lt;E504),1,(IF((F504=E504),(IF(RAND()&lt;G504,1,0)),0)))),(IF((RAND()&lt;G504),1,0)))</f>
        <v>#N/A</v>
      </c>
      <c r="I504" s="46" t="e">
        <f aca="true">IF((H504=1),0,$D$3+$D$5*(RAND()-0.5))</f>
        <v>#N/A</v>
      </c>
      <c r="J504" s="46" t="e">
        <f aca="false">I504+MAX(D504,J503)</f>
        <v>#N/A</v>
      </c>
      <c r="K504" s="46" t="e">
        <f aca="false">IF((H504=0),J504-D504,0)</f>
        <v>#N/A</v>
      </c>
      <c r="L504" s="46" t="e">
        <f aca="true">IF(($H504=0),0,$D$4+$D$5*(RAND()-0.5))</f>
        <v>#N/A</v>
      </c>
      <c r="M504" s="46" t="e">
        <f aca="false">L504+MAX(D504,M503)</f>
        <v>#N/A</v>
      </c>
      <c r="N504" s="46" t="e">
        <f aca="false">IF((H504=1),M504-D504,0)</f>
        <v>#N/A</v>
      </c>
      <c r="O504" s="29" t="n">
        <v>487</v>
      </c>
      <c r="P504" s="49" t="e">
        <f aca="false">IF((Arterial=0),P503+1,P503)</f>
        <v>#N/A</v>
      </c>
      <c r="Q504" s="49" t="e">
        <f aca="false">IF((Arterial=1),Q503+1,Q503)</f>
        <v>#N/A</v>
      </c>
      <c r="R504" s="50" t="n">
        <f aca="false">IF((RESET=1),0,R504+K504)</f>
        <v>0</v>
      </c>
      <c r="S504" s="19" t="n">
        <f aca="false">IF(RESET=1,0,S504+N504)</f>
        <v>0</v>
      </c>
      <c r="T504" s="0" t="n">
        <f aca="false">IF(RESET=1,0,T504+IF(H504=0,1,0))</f>
        <v>0</v>
      </c>
      <c r="U504" s="0" t="n">
        <f aca="false">IF(RESET=1,0,U504+H504)</f>
        <v>0</v>
      </c>
      <c r="V504" s="19" t="n">
        <f aca="false">R504/(T504+0.00001)</f>
        <v>0</v>
      </c>
      <c r="W504" s="19" t="n">
        <f aca="false">S504/(U504+0.0001)</f>
        <v>0</v>
      </c>
      <c r="X504" s="47" t="e">
        <f aca="false">IF(Informed=1,K504,0)</f>
        <v>#N/A</v>
      </c>
      <c r="Y504" s="47" t="n">
        <f aca="false">IF(Informed=0,K504,0)</f>
        <v>0</v>
      </c>
      <c r="Z504" s="47" t="e">
        <f aca="false">IF(Informed=1,N504,0)</f>
        <v>#N/A</v>
      </c>
      <c r="AA504" s="47" t="n">
        <f aca="false">IF(Informed=0,N504,0)</f>
        <v>0</v>
      </c>
      <c r="AB504" s="51" t="e">
        <f aca="false">IF(Arterial=0,IF(Informed=1,1,0),0)</f>
        <v>#N/A</v>
      </c>
      <c r="AC504" s="51" t="e">
        <f aca="false">IF(Arterial=0,IF(Informed=0,1,0),0)</f>
        <v>#N/A</v>
      </c>
      <c r="AD504" s="51" t="e">
        <f aca="false">IF(Arterial=1,IF(Informed=1,1,0),0)</f>
        <v>#N/A</v>
      </c>
      <c r="AE504" s="51" t="e">
        <f aca="false">IF(Arterial=1,IF(Informed=0,1,0),0)</f>
        <v>#N/A</v>
      </c>
      <c r="AF504" s="44" t="e">
        <f aca="false">IF(AB504=1,(X504-G$1030)^2,0)</f>
        <v>#N/A</v>
      </c>
      <c r="AG504" s="44" t="e">
        <f aca="false">IF(AC504=1,(Y504-H$1030)^2,0)</f>
        <v>#N/A</v>
      </c>
      <c r="AH504" s="44" t="e">
        <f aca="false">IF(AD504=1,(Z504-I$1030)^2,0)</f>
        <v>#N/A</v>
      </c>
      <c r="AI504" s="44" t="e">
        <f aca="false">IF(AE504=1,(AA504-J$1030)^2,0)</f>
        <v>#N/A</v>
      </c>
    </row>
    <row r="505" customFormat="false" ht="12" hidden="false" customHeight="false" outlineLevel="0" collapsed="false">
      <c r="A505" s="29" t="n">
        <v>488</v>
      </c>
      <c r="B505" s="45" t="n">
        <f aca="true">IF(RAND()&lt;$D$8,1,0)</f>
        <v>1</v>
      </c>
      <c r="C505" s="34" t="n">
        <f aca="true">-LN(RAND())/$D$2</f>
        <v>1.58704932054549</v>
      </c>
      <c r="D505" s="46" t="n">
        <f aca="false">D504+C505</f>
        <v>768.9232852019</v>
      </c>
      <c r="E505" s="47" t="e">
        <f aca="false">MAX($D$3,(1+P504-VLOOKUP(VALUE(D505),$J$18:$Q504,7,TRUE()))*$D$3)</f>
        <v>#N/A</v>
      </c>
      <c r="F505" s="47" t="e">
        <f aca="false">MAX($D$4,(1+Q504-VLOOKUP(VALUE(D505),$M$18:$Q504,5,TRUE()))*$D$4)</f>
        <v>#N/A</v>
      </c>
      <c r="G505" s="48" t="n">
        <v>0.5</v>
      </c>
      <c r="H505" s="46" t="e">
        <f aca="true">IF((B505=1),(IF((F505&lt;E505),1,(IF((F505=E505),(IF(RAND()&lt;G505,1,0)),0)))),(IF((RAND()&lt;G505),1,0)))</f>
        <v>#N/A</v>
      </c>
      <c r="I505" s="46" t="e">
        <f aca="true">IF((H505=1),0,$D$3+$D$5*(RAND()-0.5))</f>
        <v>#N/A</v>
      </c>
      <c r="J505" s="46" t="e">
        <f aca="false">I505+MAX(D505,J504)</f>
        <v>#N/A</v>
      </c>
      <c r="K505" s="46" t="e">
        <f aca="false">IF((H505=0),J505-D505,0)</f>
        <v>#N/A</v>
      </c>
      <c r="L505" s="46" t="e">
        <f aca="true">IF(($H505=0),0,$D$4+$D$5*(RAND()-0.5))</f>
        <v>#N/A</v>
      </c>
      <c r="M505" s="46" t="e">
        <f aca="false">L505+MAX(D505,M504)</f>
        <v>#N/A</v>
      </c>
      <c r="N505" s="46" t="e">
        <f aca="false">IF((H505=1),M505-D505,0)</f>
        <v>#N/A</v>
      </c>
      <c r="O505" s="29" t="n">
        <v>488</v>
      </c>
      <c r="P505" s="49" t="e">
        <f aca="false">IF((Arterial=0),P504+1,P504)</f>
        <v>#N/A</v>
      </c>
      <c r="Q505" s="49" t="e">
        <f aca="false">IF((Arterial=1),Q504+1,Q504)</f>
        <v>#N/A</v>
      </c>
      <c r="R505" s="50" t="n">
        <f aca="false">IF((RESET=1),0,R505+K505)</f>
        <v>0</v>
      </c>
      <c r="S505" s="19" t="n">
        <f aca="false">IF(RESET=1,0,S505+N505)</f>
        <v>0</v>
      </c>
      <c r="T505" s="0" t="n">
        <f aca="false">IF(RESET=1,0,T505+IF(H505=0,1,0))</f>
        <v>0</v>
      </c>
      <c r="U505" s="0" t="n">
        <f aca="false">IF(RESET=1,0,U505+H505)</f>
        <v>0</v>
      </c>
      <c r="V505" s="19" t="n">
        <f aca="false">R505/(T505+0.00001)</f>
        <v>0</v>
      </c>
      <c r="W505" s="19" t="n">
        <f aca="false">S505/(U505+0.0001)</f>
        <v>0</v>
      </c>
      <c r="X505" s="47" t="e">
        <f aca="false">IF(Informed=1,K505,0)</f>
        <v>#N/A</v>
      </c>
      <c r="Y505" s="47" t="n">
        <f aca="false">IF(Informed=0,K505,0)</f>
        <v>0</v>
      </c>
      <c r="Z505" s="47" t="e">
        <f aca="false">IF(Informed=1,N505,0)</f>
        <v>#N/A</v>
      </c>
      <c r="AA505" s="47" t="n">
        <f aca="false">IF(Informed=0,N505,0)</f>
        <v>0</v>
      </c>
      <c r="AB505" s="51" t="e">
        <f aca="false">IF(Arterial=0,IF(Informed=1,1,0),0)</f>
        <v>#N/A</v>
      </c>
      <c r="AC505" s="51" t="e">
        <f aca="false">IF(Arterial=0,IF(Informed=0,1,0),0)</f>
        <v>#N/A</v>
      </c>
      <c r="AD505" s="51" t="e">
        <f aca="false">IF(Arterial=1,IF(Informed=1,1,0),0)</f>
        <v>#N/A</v>
      </c>
      <c r="AE505" s="51" t="e">
        <f aca="false">IF(Arterial=1,IF(Informed=0,1,0),0)</f>
        <v>#N/A</v>
      </c>
      <c r="AF505" s="44" t="e">
        <f aca="false">IF(AB505=1,(X505-G$1030)^2,0)</f>
        <v>#N/A</v>
      </c>
      <c r="AG505" s="44" t="e">
        <f aca="false">IF(AC505=1,(Y505-H$1030)^2,0)</f>
        <v>#N/A</v>
      </c>
      <c r="AH505" s="44" t="e">
        <f aca="false">IF(AD505=1,(Z505-I$1030)^2,0)</f>
        <v>#N/A</v>
      </c>
      <c r="AI505" s="44" t="e">
        <f aca="false">IF(AE505=1,(AA505-J$1030)^2,0)</f>
        <v>#N/A</v>
      </c>
    </row>
    <row r="506" customFormat="false" ht="12" hidden="false" customHeight="false" outlineLevel="0" collapsed="false">
      <c r="A506" s="29" t="n">
        <v>489</v>
      </c>
      <c r="B506" s="45" t="n">
        <f aca="true">IF(RAND()&lt;$D$8,1,0)</f>
        <v>1</v>
      </c>
      <c r="C506" s="34" t="n">
        <f aca="true">-LN(RAND())/$D$2</f>
        <v>1.55706441204901</v>
      </c>
      <c r="D506" s="46" t="n">
        <f aca="false">D505+C506</f>
        <v>770.480349613949</v>
      </c>
      <c r="E506" s="47" t="e">
        <f aca="false">MAX($D$3,(1+P505-VLOOKUP(VALUE(D506),$J$18:$Q505,7,TRUE()))*$D$3)</f>
        <v>#N/A</v>
      </c>
      <c r="F506" s="47" t="e">
        <f aca="false">MAX($D$4,(1+Q505-VLOOKUP(VALUE(D506),$M$18:$Q505,5,TRUE()))*$D$4)</f>
        <v>#N/A</v>
      </c>
      <c r="G506" s="48" t="n">
        <v>0.5</v>
      </c>
      <c r="H506" s="46" t="e">
        <f aca="true">IF((B506=1),(IF((F506&lt;E506),1,(IF((F506=E506),(IF(RAND()&lt;G506,1,0)),0)))),(IF((RAND()&lt;G506),1,0)))</f>
        <v>#N/A</v>
      </c>
      <c r="I506" s="46" t="e">
        <f aca="true">IF((H506=1),0,$D$3+$D$5*(RAND()-0.5))</f>
        <v>#N/A</v>
      </c>
      <c r="J506" s="46" t="e">
        <f aca="false">I506+MAX(D506,J505)</f>
        <v>#N/A</v>
      </c>
      <c r="K506" s="46" t="e">
        <f aca="false">IF((H506=0),J506-D506,0)</f>
        <v>#N/A</v>
      </c>
      <c r="L506" s="46" t="e">
        <f aca="true">IF(($H506=0),0,$D$4+$D$5*(RAND()-0.5))</f>
        <v>#N/A</v>
      </c>
      <c r="M506" s="46" t="e">
        <f aca="false">L506+MAX(D506,M505)</f>
        <v>#N/A</v>
      </c>
      <c r="N506" s="46" t="e">
        <f aca="false">IF((H506=1),M506-D506,0)</f>
        <v>#N/A</v>
      </c>
      <c r="O506" s="29" t="n">
        <v>489</v>
      </c>
      <c r="P506" s="49" t="e">
        <f aca="false">IF((Arterial=0),P505+1,P505)</f>
        <v>#N/A</v>
      </c>
      <c r="Q506" s="49" t="e">
        <f aca="false">IF((Arterial=1),Q505+1,Q505)</f>
        <v>#N/A</v>
      </c>
      <c r="R506" s="50" t="n">
        <f aca="false">IF((RESET=1),0,R506+K506)</f>
        <v>0</v>
      </c>
      <c r="S506" s="19" t="n">
        <f aca="false">IF(RESET=1,0,S506+N506)</f>
        <v>0</v>
      </c>
      <c r="T506" s="0" t="n">
        <f aca="false">IF(RESET=1,0,T506+IF(H506=0,1,0))</f>
        <v>0</v>
      </c>
      <c r="U506" s="0" t="n">
        <f aca="false">IF(RESET=1,0,U506+H506)</f>
        <v>0</v>
      </c>
      <c r="V506" s="19" t="n">
        <f aca="false">R506/(T506+0.00001)</f>
        <v>0</v>
      </c>
      <c r="W506" s="19" t="n">
        <f aca="false">S506/(U506+0.0001)</f>
        <v>0</v>
      </c>
      <c r="X506" s="47" t="e">
        <f aca="false">IF(Informed=1,K506,0)</f>
        <v>#N/A</v>
      </c>
      <c r="Y506" s="47" t="n">
        <f aca="false">IF(Informed=0,K506,0)</f>
        <v>0</v>
      </c>
      <c r="Z506" s="47" t="e">
        <f aca="false">IF(Informed=1,N506,0)</f>
        <v>#N/A</v>
      </c>
      <c r="AA506" s="47" t="n">
        <f aca="false">IF(Informed=0,N506,0)</f>
        <v>0</v>
      </c>
      <c r="AB506" s="51" t="e">
        <f aca="false">IF(Arterial=0,IF(Informed=1,1,0),0)</f>
        <v>#N/A</v>
      </c>
      <c r="AC506" s="51" t="e">
        <f aca="false">IF(Arterial=0,IF(Informed=0,1,0),0)</f>
        <v>#N/A</v>
      </c>
      <c r="AD506" s="51" t="e">
        <f aca="false">IF(Arterial=1,IF(Informed=1,1,0),0)</f>
        <v>#N/A</v>
      </c>
      <c r="AE506" s="51" t="e">
        <f aca="false">IF(Arterial=1,IF(Informed=0,1,0),0)</f>
        <v>#N/A</v>
      </c>
      <c r="AF506" s="44" t="e">
        <f aca="false">IF(AB506=1,(X506-G$1030)^2,0)</f>
        <v>#N/A</v>
      </c>
      <c r="AG506" s="44" t="e">
        <f aca="false">IF(AC506=1,(Y506-H$1030)^2,0)</f>
        <v>#N/A</v>
      </c>
      <c r="AH506" s="44" t="e">
        <f aca="false">IF(AD506=1,(Z506-I$1030)^2,0)</f>
        <v>#N/A</v>
      </c>
      <c r="AI506" s="44" t="e">
        <f aca="false">IF(AE506=1,(AA506-J$1030)^2,0)</f>
        <v>#N/A</v>
      </c>
    </row>
    <row r="507" customFormat="false" ht="12" hidden="false" customHeight="false" outlineLevel="0" collapsed="false">
      <c r="A507" s="29" t="n">
        <v>490</v>
      </c>
      <c r="B507" s="45" t="n">
        <f aca="true">IF(RAND()&lt;$D$8,1,0)</f>
        <v>1</v>
      </c>
      <c r="C507" s="34" t="n">
        <f aca="true">-LN(RAND())/$D$2</f>
        <v>1.47168685871474</v>
      </c>
      <c r="D507" s="46" t="n">
        <f aca="false">D506+C507</f>
        <v>771.952036472664</v>
      </c>
      <c r="E507" s="47" t="e">
        <f aca="false">MAX($D$3,(1+P506-VLOOKUP(VALUE(D507),$J$18:$Q506,7,TRUE()))*$D$3)</f>
        <v>#N/A</v>
      </c>
      <c r="F507" s="47" t="e">
        <f aca="false">MAX($D$4,(1+Q506-VLOOKUP(VALUE(D507),$M$18:$Q506,5,TRUE()))*$D$4)</f>
        <v>#N/A</v>
      </c>
      <c r="G507" s="48" t="n">
        <v>0.5</v>
      </c>
      <c r="H507" s="46" t="e">
        <f aca="true">IF((B507=1),(IF((F507&lt;E507),1,(IF((F507=E507),(IF(RAND()&lt;G507,1,0)),0)))),(IF((RAND()&lt;G507),1,0)))</f>
        <v>#N/A</v>
      </c>
      <c r="I507" s="46" t="e">
        <f aca="true">IF((H507=1),0,$D$3+$D$5*(RAND()-0.5))</f>
        <v>#N/A</v>
      </c>
      <c r="J507" s="46" t="e">
        <f aca="false">I507+MAX(D507,J506)</f>
        <v>#N/A</v>
      </c>
      <c r="K507" s="46" t="e">
        <f aca="false">IF((H507=0),J507-D507,0)</f>
        <v>#N/A</v>
      </c>
      <c r="L507" s="46" t="e">
        <f aca="true">IF(($H507=0),0,$D$4+$D$5*(RAND()-0.5))</f>
        <v>#N/A</v>
      </c>
      <c r="M507" s="46" t="e">
        <f aca="false">L507+MAX(D507,M506)</f>
        <v>#N/A</v>
      </c>
      <c r="N507" s="46" t="e">
        <f aca="false">IF((H507=1),M507-D507,0)</f>
        <v>#N/A</v>
      </c>
      <c r="O507" s="29" t="n">
        <v>490</v>
      </c>
      <c r="P507" s="49" t="e">
        <f aca="false">IF((Arterial=0),P506+1,P506)</f>
        <v>#N/A</v>
      </c>
      <c r="Q507" s="49" t="e">
        <f aca="false">IF((Arterial=1),Q506+1,Q506)</f>
        <v>#N/A</v>
      </c>
      <c r="R507" s="50" t="n">
        <f aca="false">IF((RESET=1),0,R507+K507)</f>
        <v>0</v>
      </c>
      <c r="S507" s="19" t="n">
        <f aca="false">IF(RESET=1,0,S507+N507)</f>
        <v>0</v>
      </c>
      <c r="T507" s="0" t="n">
        <f aca="false">IF(RESET=1,0,T507+IF(H507=0,1,0))</f>
        <v>0</v>
      </c>
      <c r="U507" s="0" t="n">
        <f aca="false">IF(RESET=1,0,U507+H507)</f>
        <v>0</v>
      </c>
      <c r="V507" s="19" t="n">
        <f aca="false">R507/(T507+0.00001)</f>
        <v>0</v>
      </c>
      <c r="W507" s="19" t="n">
        <f aca="false">S507/(U507+0.0001)</f>
        <v>0</v>
      </c>
      <c r="X507" s="47" t="e">
        <f aca="false">IF(Informed=1,K507,0)</f>
        <v>#N/A</v>
      </c>
      <c r="Y507" s="47" t="n">
        <f aca="false">IF(Informed=0,K507,0)</f>
        <v>0</v>
      </c>
      <c r="Z507" s="47" t="e">
        <f aca="false">IF(Informed=1,N507,0)</f>
        <v>#N/A</v>
      </c>
      <c r="AA507" s="47" t="n">
        <f aca="false">IF(Informed=0,N507,0)</f>
        <v>0</v>
      </c>
      <c r="AB507" s="51" t="e">
        <f aca="false">IF(Arterial=0,IF(Informed=1,1,0),0)</f>
        <v>#N/A</v>
      </c>
      <c r="AC507" s="51" t="e">
        <f aca="false">IF(Arterial=0,IF(Informed=0,1,0),0)</f>
        <v>#N/A</v>
      </c>
      <c r="AD507" s="51" t="e">
        <f aca="false">IF(Arterial=1,IF(Informed=1,1,0),0)</f>
        <v>#N/A</v>
      </c>
      <c r="AE507" s="51" t="e">
        <f aca="false">IF(Arterial=1,IF(Informed=0,1,0),0)</f>
        <v>#N/A</v>
      </c>
      <c r="AF507" s="44" t="e">
        <f aca="false">IF(AB507=1,(X507-G$1030)^2,0)</f>
        <v>#N/A</v>
      </c>
      <c r="AG507" s="44" t="e">
        <f aca="false">IF(AC507=1,(Y507-H$1030)^2,0)</f>
        <v>#N/A</v>
      </c>
      <c r="AH507" s="44" t="e">
        <f aca="false">IF(AD507=1,(Z507-I$1030)^2,0)</f>
        <v>#N/A</v>
      </c>
      <c r="AI507" s="44" t="e">
        <f aca="false">IF(AE507=1,(AA507-J$1030)^2,0)</f>
        <v>#N/A</v>
      </c>
    </row>
    <row r="508" customFormat="false" ht="12" hidden="false" customHeight="false" outlineLevel="0" collapsed="false">
      <c r="A508" s="29" t="n">
        <v>491</v>
      </c>
      <c r="B508" s="45" t="n">
        <f aca="true">IF(RAND()&lt;$D$8,1,0)</f>
        <v>1</v>
      </c>
      <c r="C508" s="34" t="n">
        <f aca="true">-LN(RAND())/$D$2</f>
        <v>2.15133677220087</v>
      </c>
      <c r="D508" s="46" t="n">
        <f aca="false">D507+C508</f>
        <v>774.103373244865</v>
      </c>
      <c r="E508" s="47" t="e">
        <f aca="false">MAX($D$3,(1+P507-VLOOKUP(VALUE(D508),$J$18:$Q507,7,TRUE()))*$D$3)</f>
        <v>#N/A</v>
      </c>
      <c r="F508" s="47" t="e">
        <f aca="false">MAX($D$4,(1+Q507-VLOOKUP(VALUE(D508),$M$18:$Q507,5,TRUE()))*$D$4)</f>
        <v>#N/A</v>
      </c>
      <c r="G508" s="48" t="n">
        <v>0.5</v>
      </c>
      <c r="H508" s="46" t="e">
        <f aca="true">IF((B508=1),(IF((F508&lt;E508),1,(IF((F508=E508),(IF(RAND()&lt;G508,1,0)),0)))),(IF((RAND()&lt;G508),1,0)))</f>
        <v>#N/A</v>
      </c>
      <c r="I508" s="46" t="e">
        <f aca="true">IF((H508=1),0,$D$3+$D$5*(RAND()-0.5))</f>
        <v>#N/A</v>
      </c>
      <c r="J508" s="46" t="e">
        <f aca="false">I508+MAX(D508,J507)</f>
        <v>#N/A</v>
      </c>
      <c r="K508" s="46" t="e">
        <f aca="false">IF((H508=0),J508-D508,0)</f>
        <v>#N/A</v>
      </c>
      <c r="L508" s="46" t="e">
        <f aca="true">IF(($H508=0),0,$D$4+$D$5*(RAND()-0.5))</f>
        <v>#N/A</v>
      </c>
      <c r="M508" s="46" t="e">
        <f aca="false">L508+MAX(D508,M507)</f>
        <v>#N/A</v>
      </c>
      <c r="N508" s="46" t="e">
        <f aca="false">IF((H508=1),M508-D508,0)</f>
        <v>#N/A</v>
      </c>
      <c r="O508" s="29" t="n">
        <v>491</v>
      </c>
      <c r="P508" s="49" t="e">
        <f aca="false">IF((Arterial=0),P507+1,P507)</f>
        <v>#N/A</v>
      </c>
      <c r="Q508" s="49" t="e">
        <f aca="false">IF((Arterial=1),Q507+1,Q507)</f>
        <v>#N/A</v>
      </c>
      <c r="R508" s="50" t="n">
        <f aca="false">IF((RESET=1),0,R508+K508)</f>
        <v>0</v>
      </c>
      <c r="S508" s="19" t="n">
        <f aca="false">IF(RESET=1,0,S508+N508)</f>
        <v>0</v>
      </c>
      <c r="T508" s="0" t="n">
        <f aca="false">IF(RESET=1,0,T508+IF(H508=0,1,0))</f>
        <v>0</v>
      </c>
      <c r="U508" s="0" t="n">
        <f aca="false">IF(RESET=1,0,U508+H508)</f>
        <v>0</v>
      </c>
      <c r="V508" s="19" t="n">
        <f aca="false">R508/(T508+0.00001)</f>
        <v>0</v>
      </c>
      <c r="W508" s="19" t="n">
        <f aca="false">S508/(U508+0.0001)</f>
        <v>0</v>
      </c>
      <c r="X508" s="47" t="e">
        <f aca="false">IF(Informed=1,K508,0)</f>
        <v>#N/A</v>
      </c>
      <c r="Y508" s="47" t="n">
        <f aca="false">IF(Informed=0,K508,0)</f>
        <v>0</v>
      </c>
      <c r="Z508" s="47" t="e">
        <f aca="false">IF(Informed=1,N508,0)</f>
        <v>#N/A</v>
      </c>
      <c r="AA508" s="47" t="n">
        <f aca="false">IF(Informed=0,N508,0)</f>
        <v>0</v>
      </c>
      <c r="AB508" s="51" t="e">
        <f aca="false">IF(Arterial=0,IF(Informed=1,1,0),0)</f>
        <v>#N/A</v>
      </c>
      <c r="AC508" s="51" t="e">
        <f aca="false">IF(Arterial=0,IF(Informed=0,1,0),0)</f>
        <v>#N/A</v>
      </c>
      <c r="AD508" s="51" t="e">
        <f aca="false">IF(Arterial=1,IF(Informed=1,1,0),0)</f>
        <v>#N/A</v>
      </c>
      <c r="AE508" s="51" t="e">
        <f aca="false">IF(Arterial=1,IF(Informed=0,1,0),0)</f>
        <v>#N/A</v>
      </c>
      <c r="AF508" s="44" t="e">
        <f aca="false">IF(AB508=1,(X508-G$1030)^2,0)</f>
        <v>#N/A</v>
      </c>
      <c r="AG508" s="44" t="e">
        <f aca="false">IF(AC508=1,(Y508-H$1030)^2,0)</f>
        <v>#N/A</v>
      </c>
      <c r="AH508" s="44" t="e">
        <f aca="false">IF(AD508=1,(Z508-I$1030)^2,0)</f>
        <v>#N/A</v>
      </c>
      <c r="AI508" s="44" t="e">
        <f aca="false">IF(AE508=1,(AA508-J$1030)^2,0)</f>
        <v>#N/A</v>
      </c>
    </row>
    <row r="509" customFormat="false" ht="12" hidden="false" customHeight="false" outlineLevel="0" collapsed="false">
      <c r="A509" s="29" t="n">
        <v>492</v>
      </c>
      <c r="B509" s="45" t="n">
        <f aca="true">IF(RAND()&lt;$D$8,1,0)</f>
        <v>1</v>
      </c>
      <c r="C509" s="34" t="n">
        <f aca="true">-LN(RAND())/$D$2</f>
        <v>0.921892185155127</v>
      </c>
      <c r="D509" s="46" t="n">
        <f aca="false">D508+C509</f>
        <v>775.02526543002</v>
      </c>
      <c r="E509" s="47" t="e">
        <f aca="false">MAX($D$3,(1+P508-VLOOKUP(VALUE(D509),$J$18:$Q508,7,TRUE()))*$D$3)</f>
        <v>#N/A</v>
      </c>
      <c r="F509" s="47" t="e">
        <f aca="false">MAX($D$4,(1+Q508-VLOOKUP(VALUE(D509),$M$18:$Q508,5,TRUE()))*$D$4)</f>
        <v>#N/A</v>
      </c>
      <c r="G509" s="48" t="n">
        <v>0.5</v>
      </c>
      <c r="H509" s="46" t="e">
        <f aca="true">IF((B509=1),(IF((F509&lt;E509),1,(IF((F509=E509),(IF(RAND()&lt;G509,1,0)),0)))),(IF((RAND()&lt;G509),1,0)))</f>
        <v>#N/A</v>
      </c>
      <c r="I509" s="46" t="e">
        <f aca="true">IF((H509=1),0,$D$3+$D$5*(RAND()-0.5))</f>
        <v>#N/A</v>
      </c>
      <c r="J509" s="46" t="e">
        <f aca="false">I509+MAX(D509,J508)</f>
        <v>#N/A</v>
      </c>
      <c r="K509" s="46" t="e">
        <f aca="false">IF((H509=0),J509-D509,0)</f>
        <v>#N/A</v>
      </c>
      <c r="L509" s="46" t="e">
        <f aca="true">IF(($H509=0),0,$D$4+$D$5*(RAND()-0.5))</f>
        <v>#N/A</v>
      </c>
      <c r="M509" s="46" t="e">
        <f aca="false">L509+MAX(D509,M508)</f>
        <v>#N/A</v>
      </c>
      <c r="N509" s="46" t="e">
        <f aca="false">IF((H509=1),M509-D509,0)</f>
        <v>#N/A</v>
      </c>
      <c r="O509" s="29" t="n">
        <v>492</v>
      </c>
      <c r="P509" s="49" t="e">
        <f aca="false">IF((Arterial=0),P508+1,P508)</f>
        <v>#N/A</v>
      </c>
      <c r="Q509" s="49" t="e">
        <f aca="false">IF((Arterial=1),Q508+1,Q508)</f>
        <v>#N/A</v>
      </c>
      <c r="R509" s="50" t="n">
        <f aca="false">IF((RESET=1),0,R509+K509)</f>
        <v>0</v>
      </c>
      <c r="S509" s="19" t="n">
        <f aca="false">IF(RESET=1,0,S509+N509)</f>
        <v>0</v>
      </c>
      <c r="T509" s="0" t="n">
        <f aca="false">IF(RESET=1,0,T509+IF(H509=0,1,0))</f>
        <v>0</v>
      </c>
      <c r="U509" s="0" t="n">
        <f aca="false">IF(RESET=1,0,U509+H509)</f>
        <v>0</v>
      </c>
      <c r="V509" s="19" t="n">
        <f aca="false">R509/(T509+0.00001)</f>
        <v>0</v>
      </c>
      <c r="W509" s="19" t="n">
        <f aca="false">S509/(U509+0.0001)</f>
        <v>0</v>
      </c>
      <c r="X509" s="47" t="e">
        <f aca="false">IF(Informed=1,K509,0)</f>
        <v>#N/A</v>
      </c>
      <c r="Y509" s="47" t="n">
        <f aca="false">IF(Informed=0,K509,0)</f>
        <v>0</v>
      </c>
      <c r="Z509" s="47" t="e">
        <f aca="false">IF(Informed=1,N509,0)</f>
        <v>#N/A</v>
      </c>
      <c r="AA509" s="47" t="n">
        <f aca="false">IF(Informed=0,N509,0)</f>
        <v>0</v>
      </c>
      <c r="AB509" s="51" t="e">
        <f aca="false">IF(Arterial=0,IF(Informed=1,1,0),0)</f>
        <v>#N/A</v>
      </c>
      <c r="AC509" s="51" t="e">
        <f aca="false">IF(Arterial=0,IF(Informed=0,1,0),0)</f>
        <v>#N/A</v>
      </c>
      <c r="AD509" s="51" t="e">
        <f aca="false">IF(Arterial=1,IF(Informed=1,1,0),0)</f>
        <v>#N/A</v>
      </c>
      <c r="AE509" s="51" t="e">
        <f aca="false">IF(Arterial=1,IF(Informed=0,1,0),0)</f>
        <v>#N/A</v>
      </c>
      <c r="AF509" s="44" t="e">
        <f aca="false">IF(AB509=1,(X509-G$1030)^2,0)</f>
        <v>#N/A</v>
      </c>
      <c r="AG509" s="44" t="e">
        <f aca="false">IF(AC509=1,(Y509-H$1030)^2,0)</f>
        <v>#N/A</v>
      </c>
      <c r="AH509" s="44" t="e">
        <f aca="false">IF(AD509=1,(Z509-I$1030)^2,0)</f>
        <v>#N/A</v>
      </c>
      <c r="AI509" s="44" t="e">
        <f aca="false">IF(AE509=1,(AA509-J$1030)^2,0)</f>
        <v>#N/A</v>
      </c>
    </row>
    <row r="510" customFormat="false" ht="12" hidden="false" customHeight="false" outlineLevel="0" collapsed="false">
      <c r="A510" s="29" t="n">
        <v>493</v>
      </c>
      <c r="B510" s="45" t="n">
        <f aca="true">IF(RAND()&lt;$D$8,1,0)</f>
        <v>1</v>
      </c>
      <c r="C510" s="34" t="n">
        <f aca="true">-LN(RAND())/$D$2</f>
        <v>5.21691494116634</v>
      </c>
      <c r="D510" s="46" t="n">
        <f aca="false">D509+C510</f>
        <v>780.242180371187</v>
      </c>
      <c r="E510" s="47" t="e">
        <f aca="false">MAX($D$3,(1+P509-VLOOKUP(VALUE(D510),$J$18:$Q509,7,TRUE()))*$D$3)</f>
        <v>#N/A</v>
      </c>
      <c r="F510" s="47" t="e">
        <f aca="false">MAX($D$4,(1+Q509-VLOOKUP(VALUE(D510),$M$18:$Q509,5,TRUE()))*$D$4)</f>
        <v>#N/A</v>
      </c>
      <c r="G510" s="48" t="n">
        <v>0.5</v>
      </c>
      <c r="H510" s="46" t="e">
        <f aca="true">IF((B510=1),(IF((F510&lt;E510),1,(IF((F510=E510),(IF(RAND()&lt;G510,1,0)),0)))),(IF((RAND()&lt;G510),1,0)))</f>
        <v>#N/A</v>
      </c>
      <c r="I510" s="46" t="e">
        <f aca="true">IF((H510=1),0,$D$3+$D$5*(RAND()-0.5))</f>
        <v>#N/A</v>
      </c>
      <c r="J510" s="46" t="e">
        <f aca="false">I510+MAX(D510,J509)</f>
        <v>#N/A</v>
      </c>
      <c r="K510" s="46" t="e">
        <f aca="false">IF((H510=0),J510-D510,0)</f>
        <v>#N/A</v>
      </c>
      <c r="L510" s="46" t="e">
        <f aca="true">IF(($H510=0),0,$D$4+$D$5*(RAND()-0.5))</f>
        <v>#N/A</v>
      </c>
      <c r="M510" s="46" t="e">
        <f aca="false">L510+MAX(D510,M509)</f>
        <v>#N/A</v>
      </c>
      <c r="N510" s="46" t="e">
        <f aca="false">IF((H510=1),M510-D510,0)</f>
        <v>#N/A</v>
      </c>
      <c r="O510" s="29" t="n">
        <v>493</v>
      </c>
      <c r="P510" s="49" t="e">
        <f aca="false">IF((Arterial=0),P509+1,P509)</f>
        <v>#N/A</v>
      </c>
      <c r="Q510" s="49" t="e">
        <f aca="false">IF((Arterial=1),Q509+1,Q509)</f>
        <v>#N/A</v>
      </c>
      <c r="R510" s="50" t="n">
        <f aca="false">IF((RESET=1),0,R510+K510)</f>
        <v>0</v>
      </c>
      <c r="S510" s="19" t="n">
        <f aca="false">IF(RESET=1,0,S510+N510)</f>
        <v>0</v>
      </c>
      <c r="T510" s="0" t="n">
        <f aca="false">IF(RESET=1,0,T510+IF(H510=0,1,0))</f>
        <v>0</v>
      </c>
      <c r="U510" s="0" t="n">
        <f aca="false">IF(RESET=1,0,U510+H510)</f>
        <v>0</v>
      </c>
      <c r="V510" s="19" t="n">
        <f aca="false">R510/(T510+0.00001)</f>
        <v>0</v>
      </c>
      <c r="W510" s="19" t="n">
        <f aca="false">S510/(U510+0.0001)</f>
        <v>0</v>
      </c>
      <c r="X510" s="47" t="e">
        <f aca="false">IF(Informed=1,K510,0)</f>
        <v>#N/A</v>
      </c>
      <c r="Y510" s="47" t="n">
        <f aca="false">IF(Informed=0,K510,0)</f>
        <v>0</v>
      </c>
      <c r="Z510" s="47" t="e">
        <f aca="false">IF(Informed=1,N510,0)</f>
        <v>#N/A</v>
      </c>
      <c r="AA510" s="47" t="n">
        <f aca="false">IF(Informed=0,N510,0)</f>
        <v>0</v>
      </c>
      <c r="AB510" s="51" t="e">
        <f aca="false">IF(Arterial=0,IF(Informed=1,1,0),0)</f>
        <v>#N/A</v>
      </c>
      <c r="AC510" s="51" t="e">
        <f aca="false">IF(Arterial=0,IF(Informed=0,1,0),0)</f>
        <v>#N/A</v>
      </c>
      <c r="AD510" s="51" t="e">
        <f aca="false">IF(Arterial=1,IF(Informed=1,1,0),0)</f>
        <v>#N/A</v>
      </c>
      <c r="AE510" s="51" t="e">
        <f aca="false">IF(Arterial=1,IF(Informed=0,1,0),0)</f>
        <v>#N/A</v>
      </c>
      <c r="AF510" s="44" t="e">
        <f aca="false">IF(AB510=1,(X510-G$1030)^2,0)</f>
        <v>#N/A</v>
      </c>
      <c r="AG510" s="44" t="e">
        <f aca="false">IF(AC510=1,(Y510-H$1030)^2,0)</f>
        <v>#N/A</v>
      </c>
      <c r="AH510" s="44" t="e">
        <f aca="false">IF(AD510=1,(Z510-I$1030)^2,0)</f>
        <v>#N/A</v>
      </c>
      <c r="AI510" s="44" t="e">
        <f aca="false">IF(AE510=1,(AA510-J$1030)^2,0)</f>
        <v>#N/A</v>
      </c>
    </row>
    <row r="511" customFormat="false" ht="12" hidden="false" customHeight="false" outlineLevel="0" collapsed="false">
      <c r="A511" s="29" t="n">
        <v>494</v>
      </c>
      <c r="B511" s="45" t="n">
        <f aca="true">IF(RAND()&lt;$D$8,1,0)</f>
        <v>1</v>
      </c>
      <c r="C511" s="34" t="n">
        <f aca="true">-LN(RAND())/$D$2</f>
        <v>0.296248819021118</v>
      </c>
      <c r="D511" s="46" t="n">
        <f aca="false">D510+C511</f>
        <v>780.538429190208</v>
      </c>
      <c r="E511" s="47" t="e">
        <f aca="false">MAX($D$3,(1+P510-VLOOKUP(VALUE(D511),$J$18:$Q510,7,TRUE()))*$D$3)</f>
        <v>#N/A</v>
      </c>
      <c r="F511" s="47" t="e">
        <f aca="false">MAX($D$4,(1+Q510-VLOOKUP(VALUE(D511),$M$18:$Q510,5,TRUE()))*$D$4)</f>
        <v>#N/A</v>
      </c>
      <c r="G511" s="48" t="n">
        <v>0.5</v>
      </c>
      <c r="H511" s="46" t="e">
        <f aca="true">IF((B511=1),(IF((F511&lt;E511),1,(IF((F511=E511),(IF(RAND()&lt;G511,1,0)),0)))),(IF((RAND()&lt;G511),1,0)))</f>
        <v>#N/A</v>
      </c>
      <c r="I511" s="46" t="e">
        <f aca="true">IF((H511=1),0,$D$3+$D$5*(RAND()-0.5))</f>
        <v>#N/A</v>
      </c>
      <c r="J511" s="46" t="e">
        <f aca="false">I511+MAX(D511,J510)</f>
        <v>#N/A</v>
      </c>
      <c r="K511" s="46" t="e">
        <f aca="false">IF((H511=0),J511-D511,0)</f>
        <v>#N/A</v>
      </c>
      <c r="L511" s="46" t="e">
        <f aca="true">IF(($H511=0),0,$D$4+$D$5*(RAND()-0.5))</f>
        <v>#N/A</v>
      </c>
      <c r="M511" s="46" t="e">
        <f aca="false">L511+MAX(D511,M510)</f>
        <v>#N/A</v>
      </c>
      <c r="N511" s="46" t="e">
        <f aca="false">IF((H511=1),M511-D511,0)</f>
        <v>#N/A</v>
      </c>
      <c r="O511" s="29" t="n">
        <v>494</v>
      </c>
      <c r="P511" s="49" t="e">
        <f aca="false">IF((Arterial=0),P510+1,P510)</f>
        <v>#N/A</v>
      </c>
      <c r="Q511" s="49" t="e">
        <f aca="false">IF((Arterial=1),Q510+1,Q510)</f>
        <v>#N/A</v>
      </c>
      <c r="R511" s="50" t="n">
        <f aca="false">IF((RESET=1),0,R511+K511)</f>
        <v>0</v>
      </c>
      <c r="S511" s="19" t="n">
        <f aca="false">IF(RESET=1,0,S511+N511)</f>
        <v>0</v>
      </c>
      <c r="T511" s="0" t="n">
        <f aca="false">IF(RESET=1,0,T511+IF(H511=0,1,0))</f>
        <v>0</v>
      </c>
      <c r="U511" s="0" t="n">
        <f aca="false">IF(RESET=1,0,U511+H511)</f>
        <v>0</v>
      </c>
      <c r="V511" s="19" t="n">
        <f aca="false">R511/(T511+0.00001)</f>
        <v>0</v>
      </c>
      <c r="W511" s="19" t="n">
        <f aca="false">S511/(U511+0.0001)</f>
        <v>0</v>
      </c>
      <c r="X511" s="47" t="e">
        <f aca="false">IF(Informed=1,K511,0)</f>
        <v>#N/A</v>
      </c>
      <c r="Y511" s="47" t="n">
        <f aca="false">IF(Informed=0,K511,0)</f>
        <v>0</v>
      </c>
      <c r="Z511" s="47" t="e">
        <f aca="false">IF(Informed=1,N511,0)</f>
        <v>#N/A</v>
      </c>
      <c r="AA511" s="47" t="n">
        <f aca="false">IF(Informed=0,N511,0)</f>
        <v>0</v>
      </c>
      <c r="AB511" s="51" t="e">
        <f aca="false">IF(Arterial=0,IF(Informed=1,1,0),0)</f>
        <v>#N/A</v>
      </c>
      <c r="AC511" s="51" t="e">
        <f aca="false">IF(Arterial=0,IF(Informed=0,1,0),0)</f>
        <v>#N/A</v>
      </c>
      <c r="AD511" s="51" t="e">
        <f aca="false">IF(Arterial=1,IF(Informed=1,1,0),0)</f>
        <v>#N/A</v>
      </c>
      <c r="AE511" s="51" t="e">
        <f aca="false">IF(Arterial=1,IF(Informed=0,1,0),0)</f>
        <v>#N/A</v>
      </c>
      <c r="AF511" s="44" t="e">
        <f aca="false">IF(AB511=1,(X511-G$1030)^2,0)</f>
        <v>#N/A</v>
      </c>
      <c r="AG511" s="44" t="e">
        <f aca="false">IF(AC511=1,(Y511-H$1030)^2,0)</f>
        <v>#N/A</v>
      </c>
      <c r="AH511" s="44" t="e">
        <f aca="false">IF(AD511=1,(Z511-I$1030)^2,0)</f>
        <v>#N/A</v>
      </c>
      <c r="AI511" s="44" t="e">
        <f aca="false">IF(AE511=1,(AA511-J$1030)^2,0)</f>
        <v>#N/A</v>
      </c>
    </row>
    <row r="512" customFormat="false" ht="12" hidden="false" customHeight="false" outlineLevel="0" collapsed="false">
      <c r="A512" s="29" t="n">
        <v>495</v>
      </c>
      <c r="B512" s="45" t="n">
        <f aca="true">IF(RAND()&lt;$D$8,1,0)</f>
        <v>1</v>
      </c>
      <c r="C512" s="34" t="n">
        <f aca="true">-LN(RAND())/$D$2</f>
        <v>0.583724401441236</v>
      </c>
      <c r="D512" s="46" t="n">
        <f aca="false">D511+C512</f>
        <v>781.122153591649</v>
      </c>
      <c r="E512" s="47" t="e">
        <f aca="false">MAX($D$3,(1+P511-VLOOKUP(VALUE(D512),$J$18:$Q511,7,TRUE()))*$D$3)</f>
        <v>#N/A</v>
      </c>
      <c r="F512" s="47" t="e">
        <f aca="false">MAX($D$4,(1+Q511-VLOOKUP(VALUE(D512),$M$18:$Q511,5,TRUE()))*$D$4)</f>
        <v>#N/A</v>
      </c>
      <c r="G512" s="48" t="n">
        <v>0.5</v>
      </c>
      <c r="H512" s="46" t="e">
        <f aca="true">IF((B512=1),(IF((F512&lt;E512),1,(IF((F512=E512),(IF(RAND()&lt;G512,1,0)),0)))),(IF((RAND()&lt;G512),1,0)))</f>
        <v>#N/A</v>
      </c>
      <c r="I512" s="46" t="e">
        <f aca="true">IF((H512=1),0,$D$3+$D$5*(RAND()-0.5))</f>
        <v>#N/A</v>
      </c>
      <c r="J512" s="46" t="e">
        <f aca="false">I512+MAX(D512,J511)</f>
        <v>#N/A</v>
      </c>
      <c r="K512" s="46" t="e">
        <f aca="false">IF((H512=0),J512-D512,0)</f>
        <v>#N/A</v>
      </c>
      <c r="L512" s="46" t="e">
        <f aca="true">IF(($H512=0),0,$D$4+$D$5*(RAND()-0.5))</f>
        <v>#N/A</v>
      </c>
      <c r="M512" s="46" t="e">
        <f aca="false">L512+MAX(D512,M511)</f>
        <v>#N/A</v>
      </c>
      <c r="N512" s="46" t="e">
        <f aca="false">IF((H512=1),M512-D512,0)</f>
        <v>#N/A</v>
      </c>
      <c r="O512" s="29" t="n">
        <v>495</v>
      </c>
      <c r="P512" s="49" t="e">
        <f aca="false">IF((Arterial=0),P511+1,P511)</f>
        <v>#N/A</v>
      </c>
      <c r="Q512" s="49" t="e">
        <f aca="false">IF((Arterial=1),Q511+1,Q511)</f>
        <v>#N/A</v>
      </c>
      <c r="R512" s="50" t="n">
        <f aca="false">IF((RESET=1),0,R512+K512)</f>
        <v>0</v>
      </c>
      <c r="S512" s="19" t="n">
        <f aca="false">IF(RESET=1,0,S512+N512)</f>
        <v>0</v>
      </c>
      <c r="T512" s="0" t="n">
        <f aca="false">IF(RESET=1,0,T512+IF(H512=0,1,0))</f>
        <v>0</v>
      </c>
      <c r="U512" s="0" t="n">
        <f aca="false">IF(RESET=1,0,U512+H512)</f>
        <v>0</v>
      </c>
      <c r="V512" s="19" t="n">
        <f aca="false">R512/(T512+0.00001)</f>
        <v>0</v>
      </c>
      <c r="W512" s="19" t="n">
        <f aca="false">S512/(U512+0.0001)</f>
        <v>0</v>
      </c>
      <c r="X512" s="47" t="e">
        <f aca="false">IF(Informed=1,K512,0)</f>
        <v>#N/A</v>
      </c>
      <c r="Y512" s="47" t="n">
        <f aca="false">IF(Informed=0,K512,0)</f>
        <v>0</v>
      </c>
      <c r="Z512" s="47" t="e">
        <f aca="false">IF(Informed=1,N512,0)</f>
        <v>#N/A</v>
      </c>
      <c r="AA512" s="47" t="n">
        <f aca="false">IF(Informed=0,N512,0)</f>
        <v>0</v>
      </c>
      <c r="AB512" s="51" t="e">
        <f aca="false">IF(Arterial=0,IF(Informed=1,1,0),0)</f>
        <v>#N/A</v>
      </c>
      <c r="AC512" s="51" t="e">
        <f aca="false">IF(Arterial=0,IF(Informed=0,1,0),0)</f>
        <v>#N/A</v>
      </c>
      <c r="AD512" s="51" t="e">
        <f aca="false">IF(Arterial=1,IF(Informed=1,1,0),0)</f>
        <v>#N/A</v>
      </c>
      <c r="AE512" s="51" t="e">
        <f aca="false">IF(Arterial=1,IF(Informed=0,1,0),0)</f>
        <v>#N/A</v>
      </c>
      <c r="AF512" s="44" t="e">
        <f aca="false">IF(AB512=1,(X512-G$1030)^2,0)</f>
        <v>#N/A</v>
      </c>
      <c r="AG512" s="44" t="e">
        <f aca="false">IF(AC512=1,(Y512-H$1030)^2,0)</f>
        <v>#N/A</v>
      </c>
      <c r="AH512" s="44" t="e">
        <f aca="false">IF(AD512=1,(Z512-I$1030)^2,0)</f>
        <v>#N/A</v>
      </c>
      <c r="AI512" s="44" t="e">
        <f aca="false">IF(AE512=1,(AA512-J$1030)^2,0)</f>
        <v>#N/A</v>
      </c>
    </row>
    <row r="513" customFormat="false" ht="12" hidden="false" customHeight="false" outlineLevel="0" collapsed="false">
      <c r="A513" s="29" t="n">
        <v>496</v>
      </c>
      <c r="B513" s="45" t="n">
        <f aca="true">IF(RAND()&lt;$D$8,1,0)</f>
        <v>1</v>
      </c>
      <c r="C513" s="34" t="n">
        <f aca="true">-LN(RAND())/$D$2</f>
        <v>2.57958484307206</v>
      </c>
      <c r="D513" s="46" t="n">
        <f aca="false">D512+C513</f>
        <v>783.701738434721</v>
      </c>
      <c r="E513" s="47" t="e">
        <f aca="false">MAX($D$3,(1+P512-VLOOKUP(VALUE(D513),$J$18:$Q512,7,TRUE()))*$D$3)</f>
        <v>#N/A</v>
      </c>
      <c r="F513" s="47" t="e">
        <f aca="false">MAX($D$4,(1+Q512-VLOOKUP(VALUE(D513),$M$18:$Q512,5,TRUE()))*$D$4)</f>
        <v>#N/A</v>
      </c>
      <c r="G513" s="48" t="n">
        <v>0.5</v>
      </c>
      <c r="H513" s="46" t="e">
        <f aca="true">IF((B513=1),(IF((F513&lt;E513),1,(IF((F513=E513),(IF(RAND()&lt;G513,1,0)),0)))),(IF((RAND()&lt;G513),1,0)))</f>
        <v>#N/A</v>
      </c>
      <c r="I513" s="46" t="e">
        <f aca="true">IF((H513=1),0,$D$3+$D$5*(RAND()-0.5))</f>
        <v>#N/A</v>
      </c>
      <c r="J513" s="46" t="e">
        <f aca="false">I513+MAX(D513,J512)</f>
        <v>#N/A</v>
      </c>
      <c r="K513" s="46" t="e">
        <f aca="false">IF((H513=0),J513-D513,0)</f>
        <v>#N/A</v>
      </c>
      <c r="L513" s="46" t="e">
        <f aca="true">IF(($H513=0),0,$D$4+$D$5*(RAND()-0.5))</f>
        <v>#N/A</v>
      </c>
      <c r="M513" s="46" t="e">
        <f aca="false">L513+MAX(D513,M512)</f>
        <v>#N/A</v>
      </c>
      <c r="N513" s="46" t="e">
        <f aca="false">IF((H513=1),M513-D513,0)</f>
        <v>#N/A</v>
      </c>
      <c r="O513" s="29" t="n">
        <v>496</v>
      </c>
      <c r="P513" s="49" t="e">
        <f aca="false">IF((Arterial=0),P512+1,P512)</f>
        <v>#N/A</v>
      </c>
      <c r="Q513" s="49" t="e">
        <f aca="false">IF((Arterial=1),Q512+1,Q512)</f>
        <v>#N/A</v>
      </c>
      <c r="R513" s="50" t="n">
        <f aca="false">IF((RESET=1),0,R513+K513)</f>
        <v>0</v>
      </c>
      <c r="S513" s="19" t="n">
        <f aca="false">IF(RESET=1,0,S513+N513)</f>
        <v>0</v>
      </c>
      <c r="T513" s="0" t="n">
        <f aca="false">IF(RESET=1,0,T513+IF(H513=0,1,0))</f>
        <v>0</v>
      </c>
      <c r="U513" s="0" t="n">
        <f aca="false">IF(RESET=1,0,U513+H513)</f>
        <v>0</v>
      </c>
      <c r="V513" s="19" t="n">
        <f aca="false">R513/(T513+0.00001)</f>
        <v>0</v>
      </c>
      <c r="W513" s="19" t="n">
        <f aca="false">S513/(U513+0.0001)</f>
        <v>0</v>
      </c>
      <c r="X513" s="47" t="e">
        <f aca="false">IF(Informed=1,K513,0)</f>
        <v>#N/A</v>
      </c>
      <c r="Y513" s="47" t="n">
        <f aca="false">IF(Informed=0,K513,0)</f>
        <v>0</v>
      </c>
      <c r="Z513" s="47" t="e">
        <f aca="false">IF(Informed=1,N513,0)</f>
        <v>#N/A</v>
      </c>
      <c r="AA513" s="47" t="n">
        <f aca="false">IF(Informed=0,N513,0)</f>
        <v>0</v>
      </c>
      <c r="AB513" s="51" t="e">
        <f aca="false">IF(Arterial=0,IF(Informed=1,1,0),0)</f>
        <v>#N/A</v>
      </c>
      <c r="AC513" s="51" t="e">
        <f aca="false">IF(Arterial=0,IF(Informed=0,1,0),0)</f>
        <v>#N/A</v>
      </c>
      <c r="AD513" s="51" t="e">
        <f aca="false">IF(Arterial=1,IF(Informed=1,1,0),0)</f>
        <v>#N/A</v>
      </c>
      <c r="AE513" s="51" t="e">
        <f aca="false">IF(Arterial=1,IF(Informed=0,1,0),0)</f>
        <v>#N/A</v>
      </c>
      <c r="AF513" s="44" t="e">
        <f aca="false">IF(AB513=1,(X513-G$1030)^2,0)</f>
        <v>#N/A</v>
      </c>
      <c r="AG513" s="44" t="e">
        <f aca="false">IF(AC513=1,(Y513-H$1030)^2,0)</f>
        <v>#N/A</v>
      </c>
      <c r="AH513" s="44" t="e">
        <f aca="false">IF(AD513=1,(Z513-I$1030)^2,0)</f>
        <v>#N/A</v>
      </c>
      <c r="AI513" s="44" t="e">
        <f aca="false">IF(AE513=1,(AA513-J$1030)^2,0)</f>
        <v>#N/A</v>
      </c>
    </row>
    <row r="514" customFormat="false" ht="12" hidden="false" customHeight="false" outlineLevel="0" collapsed="false">
      <c r="A514" s="29" t="n">
        <v>497</v>
      </c>
      <c r="B514" s="45" t="n">
        <f aca="true">IF(RAND()&lt;$D$8,1,0)</f>
        <v>1</v>
      </c>
      <c r="C514" s="34" t="n">
        <f aca="true">-LN(RAND())/$D$2</f>
        <v>0.167110095325868</v>
      </c>
      <c r="D514" s="46" t="n">
        <f aca="false">D513+C514</f>
        <v>783.868848530047</v>
      </c>
      <c r="E514" s="47" t="e">
        <f aca="false">MAX($D$3,(1+P513-VLOOKUP(VALUE(D514),$J$18:$Q513,7,TRUE()))*$D$3)</f>
        <v>#N/A</v>
      </c>
      <c r="F514" s="47" t="e">
        <f aca="false">MAX($D$4,(1+Q513-VLOOKUP(VALUE(D514),$M$18:$Q513,5,TRUE()))*$D$4)</f>
        <v>#N/A</v>
      </c>
      <c r="G514" s="48" t="n">
        <v>0.5</v>
      </c>
      <c r="H514" s="46" t="e">
        <f aca="true">IF((B514=1),(IF((F514&lt;E514),1,(IF((F514=E514),(IF(RAND()&lt;G514,1,0)),0)))),(IF((RAND()&lt;G514),1,0)))</f>
        <v>#N/A</v>
      </c>
      <c r="I514" s="46" t="e">
        <f aca="true">IF((H514=1),0,$D$3+$D$5*(RAND()-0.5))</f>
        <v>#N/A</v>
      </c>
      <c r="J514" s="46" t="e">
        <f aca="false">I514+MAX(D514,J513)</f>
        <v>#N/A</v>
      </c>
      <c r="K514" s="46" t="e">
        <f aca="false">IF((H514=0),J514-D514,0)</f>
        <v>#N/A</v>
      </c>
      <c r="L514" s="46" t="e">
        <f aca="true">IF(($H514=0),0,$D$4+$D$5*(RAND()-0.5))</f>
        <v>#N/A</v>
      </c>
      <c r="M514" s="46" t="e">
        <f aca="false">L514+MAX(D514,M513)</f>
        <v>#N/A</v>
      </c>
      <c r="N514" s="46" t="e">
        <f aca="false">IF((H514=1),M514-D514,0)</f>
        <v>#N/A</v>
      </c>
      <c r="O514" s="29" t="n">
        <v>497</v>
      </c>
      <c r="P514" s="49" t="e">
        <f aca="false">IF((Arterial=0),P513+1,P513)</f>
        <v>#N/A</v>
      </c>
      <c r="Q514" s="49" t="e">
        <f aca="false">IF((Arterial=1),Q513+1,Q513)</f>
        <v>#N/A</v>
      </c>
      <c r="R514" s="50" t="n">
        <f aca="false">IF((RESET=1),0,R514+K514)</f>
        <v>0</v>
      </c>
      <c r="S514" s="19" t="n">
        <f aca="false">IF(RESET=1,0,S514+N514)</f>
        <v>0</v>
      </c>
      <c r="T514" s="0" t="n">
        <f aca="false">IF(RESET=1,0,T514+IF(H514=0,1,0))</f>
        <v>0</v>
      </c>
      <c r="U514" s="0" t="n">
        <f aca="false">IF(RESET=1,0,U514+H514)</f>
        <v>0</v>
      </c>
      <c r="V514" s="19" t="n">
        <f aca="false">R514/(T514+0.00001)</f>
        <v>0</v>
      </c>
      <c r="W514" s="19" t="n">
        <f aca="false">S514/(U514+0.0001)</f>
        <v>0</v>
      </c>
      <c r="X514" s="47" t="e">
        <f aca="false">IF(Informed=1,K514,0)</f>
        <v>#N/A</v>
      </c>
      <c r="Y514" s="47" t="n">
        <f aca="false">IF(Informed=0,K514,0)</f>
        <v>0</v>
      </c>
      <c r="Z514" s="47" t="e">
        <f aca="false">IF(Informed=1,N514,0)</f>
        <v>#N/A</v>
      </c>
      <c r="AA514" s="47" t="n">
        <f aca="false">IF(Informed=0,N514,0)</f>
        <v>0</v>
      </c>
      <c r="AB514" s="51" t="e">
        <f aca="false">IF(Arterial=0,IF(Informed=1,1,0),0)</f>
        <v>#N/A</v>
      </c>
      <c r="AC514" s="51" t="e">
        <f aca="false">IF(Arterial=0,IF(Informed=0,1,0),0)</f>
        <v>#N/A</v>
      </c>
      <c r="AD514" s="51" t="e">
        <f aca="false">IF(Arterial=1,IF(Informed=1,1,0),0)</f>
        <v>#N/A</v>
      </c>
      <c r="AE514" s="51" t="e">
        <f aca="false">IF(Arterial=1,IF(Informed=0,1,0),0)</f>
        <v>#N/A</v>
      </c>
      <c r="AF514" s="44" t="e">
        <f aca="false">IF(AB514=1,(X514-G$1030)^2,0)</f>
        <v>#N/A</v>
      </c>
      <c r="AG514" s="44" t="e">
        <f aca="false">IF(AC514=1,(Y514-H$1030)^2,0)</f>
        <v>#N/A</v>
      </c>
      <c r="AH514" s="44" t="e">
        <f aca="false">IF(AD514=1,(Z514-I$1030)^2,0)</f>
        <v>#N/A</v>
      </c>
      <c r="AI514" s="44" t="e">
        <f aca="false">IF(AE514=1,(AA514-J$1030)^2,0)</f>
        <v>#N/A</v>
      </c>
    </row>
    <row r="515" customFormat="false" ht="12" hidden="false" customHeight="false" outlineLevel="0" collapsed="false">
      <c r="A515" s="29" t="n">
        <v>498</v>
      </c>
      <c r="B515" s="45" t="n">
        <f aca="true">IF(RAND()&lt;$D$8,1,0)</f>
        <v>1</v>
      </c>
      <c r="C515" s="34" t="n">
        <f aca="true">-LN(RAND())/$D$2</f>
        <v>0.0945068706937158</v>
      </c>
      <c r="D515" s="46" t="n">
        <f aca="false">D514+C515</f>
        <v>783.963355400741</v>
      </c>
      <c r="E515" s="47" t="e">
        <f aca="false">MAX($D$3,(1+P514-VLOOKUP(VALUE(D515),$J$18:$Q514,7,TRUE()))*$D$3)</f>
        <v>#N/A</v>
      </c>
      <c r="F515" s="47" t="e">
        <f aca="false">MAX($D$4,(1+Q514-VLOOKUP(VALUE(D515),$M$18:$Q514,5,TRUE()))*$D$4)</f>
        <v>#N/A</v>
      </c>
      <c r="G515" s="48" t="n">
        <v>0.5</v>
      </c>
      <c r="H515" s="46" t="e">
        <f aca="true">IF((B515=1),(IF((F515&lt;E515),1,(IF((F515=E515),(IF(RAND()&lt;G515,1,0)),0)))),(IF((RAND()&lt;G515),1,0)))</f>
        <v>#N/A</v>
      </c>
      <c r="I515" s="46" t="e">
        <f aca="true">IF((H515=1),0,$D$3+$D$5*(RAND()-0.5))</f>
        <v>#N/A</v>
      </c>
      <c r="J515" s="46" t="e">
        <f aca="false">I515+MAX(D515,J514)</f>
        <v>#N/A</v>
      </c>
      <c r="K515" s="46" t="e">
        <f aca="false">IF((H515=0),J515-D515,0)</f>
        <v>#N/A</v>
      </c>
      <c r="L515" s="46" t="e">
        <f aca="true">IF(($H515=0),0,$D$4+$D$5*(RAND()-0.5))</f>
        <v>#N/A</v>
      </c>
      <c r="M515" s="46" t="e">
        <f aca="false">L515+MAX(D515,M514)</f>
        <v>#N/A</v>
      </c>
      <c r="N515" s="46" t="e">
        <f aca="false">IF((H515=1),M515-D515,0)</f>
        <v>#N/A</v>
      </c>
      <c r="O515" s="29" t="n">
        <v>498</v>
      </c>
      <c r="P515" s="49" t="e">
        <f aca="false">IF((Arterial=0),P514+1,P514)</f>
        <v>#N/A</v>
      </c>
      <c r="Q515" s="49" t="e">
        <f aca="false">IF((Arterial=1),Q514+1,Q514)</f>
        <v>#N/A</v>
      </c>
      <c r="R515" s="50" t="n">
        <f aca="false">IF((RESET=1),0,R515+K515)</f>
        <v>0</v>
      </c>
      <c r="S515" s="19" t="n">
        <f aca="false">IF(RESET=1,0,S515+N515)</f>
        <v>0</v>
      </c>
      <c r="T515" s="0" t="n">
        <f aca="false">IF(RESET=1,0,T515+IF(H515=0,1,0))</f>
        <v>0</v>
      </c>
      <c r="U515" s="0" t="n">
        <f aca="false">IF(RESET=1,0,U515+H515)</f>
        <v>0</v>
      </c>
      <c r="V515" s="19" t="n">
        <f aca="false">R515/(T515+0.00001)</f>
        <v>0</v>
      </c>
      <c r="W515" s="19" t="n">
        <f aca="false">S515/(U515+0.0001)</f>
        <v>0</v>
      </c>
      <c r="X515" s="47" t="e">
        <f aca="false">IF(Informed=1,K515,0)</f>
        <v>#N/A</v>
      </c>
      <c r="Y515" s="47" t="n">
        <f aca="false">IF(Informed=0,K515,0)</f>
        <v>0</v>
      </c>
      <c r="Z515" s="47" t="e">
        <f aca="false">IF(Informed=1,N515,0)</f>
        <v>#N/A</v>
      </c>
      <c r="AA515" s="47" t="n">
        <f aca="false">IF(Informed=0,N515,0)</f>
        <v>0</v>
      </c>
      <c r="AB515" s="51" t="e">
        <f aca="false">IF(Arterial=0,IF(Informed=1,1,0),0)</f>
        <v>#N/A</v>
      </c>
      <c r="AC515" s="51" t="e">
        <f aca="false">IF(Arterial=0,IF(Informed=0,1,0),0)</f>
        <v>#N/A</v>
      </c>
      <c r="AD515" s="51" t="e">
        <f aca="false">IF(Arterial=1,IF(Informed=1,1,0),0)</f>
        <v>#N/A</v>
      </c>
      <c r="AE515" s="51" t="e">
        <f aca="false">IF(Arterial=1,IF(Informed=0,1,0),0)</f>
        <v>#N/A</v>
      </c>
      <c r="AF515" s="44" t="e">
        <f aca="false">IF(AB515=1,(X515-G$1030)^2,0)</f>
        <v>#N/A</v>
      </c>
      <c r="AG515" s="44" t="e">
        <f aca="false">IF(AC515=1,(Y515-H$1030)^2,0)</f>
        <v>#N/A</v>
      </c>
      <c r="AH515" s="44" t="e">
        <f aca="false">IF(AD515=1,(Z515-I$1030)^2,0)</f>
        <v>#N/A</v>
      </c>
      <c r="AI515" s="44" t="e">
        <f aca="false">IF(AE515=1,(AA515-J$1030)^2,0)</f>
        <v>#N/A</v>
      </c>
    </row>
    <row r="516" customFormat="false" ht="12" hidden="false" customHeight="false" outlineLevel="0" collapsed="false">
      <c r="A516" s="29" t="n">
        <v>499</v>
      </c>
      <c r="B516" s="45" t="n">
        <f aca="true">IF(RAND()&lt;$D$8,1,0)</f>
        <v>1</v>
      </c>
      <c r="C516" s="34" t="n">
        <f aca="true">-LN(RAND())/$D$2</f>
        <v>5.87631619066109</v>
      </c>
      <c r="D516" s="46" t="n">
        <f aca="false">D515+C516</f>
        <v>789.839671591402</v>
      </c>
      <c r="E516" s="47" t="e">
        <f aca="false">MAX($D$3,(1+P515-VLOOKUP(VALUE(D516),$J$18:$Q515,7,TRUE()))*$D$3)</f>
        <v>#N/A</v>
      </c>
      <c r="F516" s="47" t="e">
        <f aca="false">MAX($D$4,(1+Q515-VLOOKUP(VALUE(D516),$M$18:$Q515,5,TRUE()))*$D$4)</f>
        <v>#N/A</v>
      </c>
      <c r="G516" s="48" t="n">
        <v>0.5</v>
      </c>
      <c r="H516" s="46" t="e">
        <f aca="true">IF((B516=1),(IF((F516&lt;E516),1,(IF((F516=E516),(IF(RAND()&lt;G516,1,0)),0)))),(IF((RAND()&lt;G516),1,0)))</f>
        <v>#N/A</v>
      </c>
      <c r="I516" s="46" t="e">
        <f aca="true">IF((H516=1),0,$D$3+$D$5*(RAND()-0.5))</f>
        <v>#N/A</v>
      </c>
      <c r="J516" s="46" t="e">
        <f aca="false">I516+MAX(D516,J515)</f>
        <v>#N/A</v>
      </c>
      <c r="K516" s="46" t="e">
        <f aca="false">IF((H516=0),J516-D516,0)</f>
        <v>#N/A</v>
      </c>
      <c r="L516" s="46" t="e">
        <f aca="true">IF(($H516=0),0,$D$4+$D$5*(RAND()-0.5))</f>
        <v>#N/A</v>
      </c>
      <c r="M516" s="46" t="e">
        <f aca="false">L516+MAX(D516,M515)</f>
        <v>#N/A</v>
      </c>
      <c r="N516" s="46" t="e">
        <f aca="false">IF((H516=1),M516-D516,0)</f>
        <v>#N/A</v>
      </c>
      <c r="O516" s="29" t="n">
        <v>499</v>
      </c>
      <c r="P516" s="49" t="e">
        <f aca="false">IF((Arterial=0),P515+1,P515)</f>
        <v>#N/A</v>
      </c>
      <c r="Q516" s="49" t="e">
        <f aca="false">IF((Arterial=1),Q515+1,Q515)</f>
        <v>#N/A</v>
      </c>
      <c r="R516" s="50" t="n">
        <f aca="false">IF((RESET=1),0,R516+K516)</f>
        <v>0</v>
      </c>
      <c r="S516" s="19" t="n">
        <f aca="false">IF(RESET=1,0,S516+N516)</f>
        <v>0</v>
      </c>
      <c r="T516" s="0" t="n">
        <f aca="false">IF(RESET=1,0,T516+IF(H516=0,1,0))</f>
        <v>0</v>
      </c>
      <c r="U516" s="0" t="n">
        <f aca="false">IF(RESET=1,0,U516+H516)</f>
        <v>0</v>
      </c>
      <c r="V516" s="19" t="n">
        <f aca="false">R516/(T516+0.00001)</f>
        <v>0</v>
      </c>
      <c r="W516" s="19" t="n">
        <f aca="false">S516/(U516+0.0001)</f>
        <v>0</v>
      </c>
      <c r="X516" s="47" t="e">
        <f aca="false">IF(Informed=1,K516,0)</f>
        <v>#N/A</v>
      </c>
      <c r="Y516" s="47" t="n">
        <f aca="false">IF(Informed=0,K516,0)</f>
        <v>0</v>
      </c>
      <c r="Z516" s="47" t="e">
        <f aca="false">IF(Informed=1,N516,0)</f>
        <v>#N/A</v>
      </c>
      <c r="AA516" s="47" t="n">
        <f aca="false">IF(Informed=0,N516,0)</f>
        <v>0</v>
      </c>
      <c r="AB516" s="51" t="e">
        <f aca="false">IF(Arterial=0,IF(Informed=1,1,0),0)</f>
        <v>#N/A</v>
      </c>
      <c r="AC516" s="51" t="e">
        <f aca="false">IF(Arterial=0,IF(Informed=0,1,0),0)</f>
        <v>#N/A</v>
      </c>
      <c r="AD516" s="51" t="e">
        <f aca="false">IF(Arterial=1,IF(Informed=1,1,0),0)</f>
        <v>#N/A</v>
      </c>
      <c r="AE516" s="51" t="e">
        <f aca="false">IF(Arterial=1,IF(Informed=0,1,0),0)</f>
        <v>#N/A</v>
      </c>
      <c r="AF516" s="44" t="e">
        <f aca="false">IF(AB516=1,(X516-G$1030)^2,0)</f>
        <v>#N/A</v>
      </c>
      <c r="AG516" s="44" t="e">
        <f aca="false">IF(AC516=1,(Y516-H$1030)^2,0)</f>
        <v>#N/A</v>
      </c>
      <c r="AH516" s="44" t="e">
        <f aca="false">IF(AD516=1,(Z516-I$1030)^2,0)</f>
        <v>#N/A</v>
      </c>
      <c r="AI516" s="44" t="e">
        <f aca="false">IF(AE516=1,(AA516-J$1030)^2,0)</f>
        <v>#N/A</v>
      </c>
    </row>
    <row r="517" customFormat="false" ht="12" hidden="false" customHeight="false" outlineLevel="0" collapsed="false">
      <c r="A517" s="29" t="n">
        <v>500</v>
      </c>
      <c r="B517" s="45" t="n">
        <f aca="true">IF(RAND()&lt;$D$8,1,0)</f>
        <v>1</v>
      </c>
      <c r="C517" s="34" t="n">
        <f aca="true">-LN(RAND())/$D$2</f>
        <v>0.122585350659174</v>
      </c>
      <c r="D517" s="46" t="n">
        <f aca="false">D516+C517</f>
        <v>789.962256942061</v>
      </c>
      <c r="E517" s="47" t="e">
        <f aca="false">MAX($D$3,(1+P516-VLOOKUP(VALUE(D517),$J$18:$Q516,7,TRUE()))*$D$3)</f>
        <v>#N/A</v>
      </c>
      <c r="F517" s="47" t="e">
        <f aca="false">MAX($D$4,(1+Q516-VLOOKUP(VALUE(D517),$M$18:$Q516,5,TRUE()))*$D$4)</f>
        <v>#N/A</v>
      </c>
      <c r="G517" s="48" t="n">
        <v>0.5</v>
      </c>
      <c r="H517" s="46" t="e">
        <f aca="true">IF((B517=1),(IF((F517&lt;E517),1,(IF((F517=E517),(IF(RAND()&lt;G517,1,0)),0)))),(IF((RAND()&lt;G517),1,0)))</f>
        <v>#N/A</v>
      </c>
      <c r="I517" s="46" t="e">
        <f aca="true">IF((H517=1),0,$D$3+$D$5*(RAND()-0.5))</f>
        <v>#N/A</v>
      </c>
      <c r="J517" s="46" t="e">
        <f aca="false">I517+MAX(D517,J516)</f>
        <v>#N/A</v>
      </c>
      <c r="K517" s="46" t="e">
        <f aca="false">IF((H517=0),J517-D517,0)</f>
        <v>#N/A</v>
      </c>
      <c r="L517" s="46" t="e">
        <f aca="true">IF(($H517=0),0,$D$4+$D$5*(RAND()-0.5))</f>
        <v>#N/A</v>
      </c>
      <c r="M517" s="46" t="e">
        <f aca="false">L517+MAX(D517,M516)</f>
        <v>#N/A</v>
      </c>
      <c r="N517" s="46" t="e">
        <f aca="false">IF((H517=1),M517-D517,0)</f>
        <v>#N/A</v>
      </c>
      <c r="O517" s="29" t="n">
        <v>500</v>
      </c>
      <c r="P517" s="49" t="e">
        <f aca="false">IF((Arterial=0),P516+1,P516)</f>
        <v>#N/A</v>
      </c>
      <c r="Q517" s="49" t="e">
        <f aca="false">IF((Arterial=1),Q516+1,Q516)</f>
        <v>#N/A</v>
      </c>
      <c r="R517" s="50" t="n">
        <f aca="false">IF((RESET=1),0,R517+K517)</f>
        <v>0</v>
      </c>
      <c r="S517" s="19" t="n">
        <f aca="false">IF(RESET=1,0,S517+N517)</f>
        <v>0</v>
      </c>
      <c r="T517" s="0" t="n">
        <f aca="false">IF(RESET=1,0,T517+IF(H517=0,1,0))</f>
        <v>0</v>
      </c>
      <c r="U517" s="0" t="n">
        <f aca="false">IF(RESET=1,0,U517+H517)</f>
        <v>0</v>
      </c>
      <c r="V517" s="19" t="n">
        <f aca="false">R517/(T517+0.00001)</f>
        <v>0</v>
      </c>
      <c r="W517" s="19" t="n">
        <f aca="false">S517/(U517+0.0001)</f>
        <v>0</v>
      </c>
      <c r="X517" s="47" t="e">
        <f aca="false">IF(Informed=1,K517,0)</f>
        <v>#N/A</v>
      </c>
      <c r="Y517" s="47" t="n">
        <f aca="false">IF(Informed=0,K517,0)</f>
        <v>0</v>
      </c>
      <c r="Z517" s="47" t="e">
        <f aca="false">IF(Informed=1,N517,0)</f>
        <v>#N/A</v>
      </c>
      <c r="AA517" s="47" t="n">
        <f aca="false">IF(Informed=0,N517,0)</f>
        <v>0</v>
      </c>
      <c r="AB517" s="51" t="e">
        <f aca="false">IF(Arterial=0,IF(Informed=1,1,0),0)</f>
        <v>#N/A</v>
      </c>
      <c r="AC517" s="51" t="e">
        <f aca="false">IF(Arterial=0,IF(Informed=0,1,0),0)</f>
        <v>#N/A</v>
      </c>
      <c r="AD517" s="51" t="e">
        <f aca="false">IF(Arterial=1,IF(Informed=1,1,0),0)</f>
        <v>#N/A</v>
      </c>
      <c r="AE517" s="51" t="e">
        <f aca="false">IF(Arterial=1,IF(Informed=0,1,0),0)</f>
        <v>#N/A</v>
      </c>
      <c r="AF517" s="44" t="e">
        <f aca="false">IF(AB517=1,(X517-G$1030)^2,0)</f>
        <v>#N/A</v>
      </c>
      <c r="AG517" s="44" t="e">
        <f aca="false">IF(AC517=1,(Y517-H$1030)^2,0)</f>
        <v>#N/A</v>
      </c>
      <c r="AH517" s="44" t="e">
        <f aca="false">IF(AD517=1,(Z517-I$1030)^2,0)</f>
        <v>#N/A</v>
      </c>
      <c r="AI517" s="44" t="e">
        <f aca="false">IF(AE517=1,(AA517-J$1030)^2,0)</f>
        <v>#N/A</v>
      </c>
    </row>
    <row r="518" customFormat="false" ht="12" hidden="false" customHeight="false" outlineLevel="0" collapsed="false">
      <c r="A518" s="29" t="n">
        <v>501</v>
      </c>
      <c r="B518" s="45" t="n">
        <f aca="true">IF(RAND()&lt;$D$8,1,0)</f>
        <v>1</v>
      </c>
      <c r="C518" s="34" t="n">
        <f aca="true">-LN(RAND())/$D$2</f>
        <v>2.96607936592486</v>
      </c>
      <c r="D518" s="46" t="n">
        <f aca="false">D517+C518</f>
        <v>792.928336307986</v>
      </c>
      <c r="E518" s="47" t="e">
        <f aca="false">MAX($D$3,(1+P517-VLOOKUP(VALUE(D518),$J$18:$Q517,7,TRUE()))*$D$3)</f>
        <v>#N/A</v>
      </c>
      <c r="F518" s="47" t="e">
        <f aca="false">MAX($D$4,(1+Q517-VLOOKUP(VALUE(D518),$M$18:$Q517,5,TRUE()))*$D$4)</f>
        <v>#N/A</v>
      </c>
      <c r="G518" s="48" t="n">
        <v>0.5</v>
      </c>
      <c r="H518" s="46" t="e">
        <f aca="true">IF((B518=1),(IF((F518&lt;E518),1,(IF((F518=E518),(IF(RAND()&lt;G518,1,0)),0)))),(IF((RAND()&lt;G518),1,0)))</f>
        <v>#N/A</v>
      </c>
      <c r="I518" s="46" t="e">
        <f aca="true">IF((H518=1),0,$D$3+$D$5*(RAND()-0.5))</f>
        <v>#N/A</v>
      </c>
      <c r="J518" s="46" t="e">
        <f aca="false">I518+MAX(D518,J517)</f>
        <v>#N/A</v>
      </c>
      <c r="K518" s="46" t="e">
        <f aca="false">IF((H518=0),J518-D518,0)</f>
        <v>#N/A</v>
      </c>
      <c r="L518" s="46" t="e">
        <f aca="true">IF(($H518=0),0,$D$4+$D$5*(RAND()-0.5))</f>
        <v>#N/A</v>
      </c>
      <c r="M518" s="46" t="e">
        <f aca="false">L518+MAX(D518,M517)</f>
        <v>#N/A</v>
      </c>
      <c r="N518" s="46" t="e">
        <f aca="false">IF((H518=1),M518-D518,0)</f>
        <v>#N/A</v>
      </c>
      <c r="O518" s="29" t="n">
        <v>501</v>
      </c>
      <c r="P518" s="49" t="e">
        <f aca="false">IF((Arterial=0),P517+1,P517)</f>
        <v>#N/A</v>
      </c>
      <c r="Q518" s="49" t="e">
        <f aca="false">IF((Arterial=1),Q517+1,Q517)</f>
        <v>#N/A</v>
      </c>
      <c r="R518" s="50" t="n">
        <f aca="false">IF((RESET=1),0,R518+K518)</f>
        <v>0</v>
      </c>
      <c r="S518" s="19" t="n">
        <f aca="false">IF(RESET=1,0,S518+N518)</f>
        <v>0</v>
      </c>
      <c r="T518" s="0" t="n">
        <f aca="false">IF(RESET=1,0,T518+IF(H518=0,1,0))</f>
        <v>0</v>
      </c>
      <c r="U518" s="0" t="n">
        <f aca="false">IF(RESET=1,0,U518+H518)</f>
        <v>0</v>
      </c>
      <c r="V518" s="19" t="n">
        <f aca="false">R518/(T518+0.00001)</f>
        <v>0</v>
      </c>
      <c r="W518" s="19" t="n">
        <f aca="false">S518/(U518+0.0001)</f>
        <v>0</v>
      </c>
      <c r="X518" s="47" t="e">
        <f aca="false">IF(Informed=1,K518,0)</f>
        <v>#N/A</v>
      </c>
      <c r="Y518" s="47" t="n">
        <f aca="false">IF(Informed=0,K518,0)</f>
        <v>0</v>
      </c>
      <c r="Z518" s="47" t="e">
        <f aca="false">IF(Informed=1,N518,0)</f>
        <v>#N/A</v>
      </c>
      <c r="AA518" s="47" t="n">
        <f aca="false">IF(Informed=0,N518,0)</f>
        <v>0</v>
      </c>
      <c r="AB518" s="51" t="e">
        <f aca="false">IF(Arterial=0,IF(Informed=1,1,0),0)</f>
        <v>#N/A</v>
      </c>
      <c r="AC518" s="51" t="e">
        <f aca="false">IF(Arterial=0,IF(Informed=0,1,0),0)</f>
        <v>#N/A</v>
      </c>
      <c r="AD518" s="51" t="e">
        <f aca="false">IF(Arterial=1,IF(Informed=1,1,0),0)</f>
        <v>#N/A</v>
      </c>
      <c r="AE518" s="51" t="e">
        <f aca="false">IF(Arterial=1,IF(Informed=0,1,0),0)</f>
        <v>#N/A</v>
      </c>
      <c r="AF518" s="44" t="e">
        <f aca="false">IF(AB518=1,(X518-G$1030)^2,0)</f>
        <v>#N/A</v>
      </c>
      <c r="AG518" s="44" t="e">
        <f aca="false">IF(AC518=1,(Y518-H$1030)^2,0)</f>
        <v>#N/A</v>
      </c>
      <c r="AH518" s="44" t="e">
        <f aca="false">IF(AD518=1,(Z518-I$1030)^2,0)</f>
        <v>#N/A</v>
      </c>
      <c r="AI518" s="44" t="e">
        <f aca="false">IF(AE518=1,(AA518-J$1030)^2,0)</f>
        <v>#N/A</v>
      </c>
    </row>
    <row r="519" customFormat="false" ht="12" hidden="false" customHeight="false" outlineLevel="0" collapsed="false">
      <c r="A519" s="29" t="n">
        <v>502</v>
      </c>
      <c r="B519" s="45" t="n">
        <f aca="true">IF(RAND()&lt;$D$8,1,0)</f>
        <v>1</v>
      </c>
      <c r="C519" s="34" t="n">
        <f aca="true">-LN(RAND())/$D$2</f>
        <v>1.85780478673023</v>
      </c>
      <c r="D519" s="46" t="n">
        <f aca="false">D518+C519</f>
        <v>794.786141094716</v>
      </c>
      <c r="E519" s="47" t="e">
        <f aca="false">MAX($D$3,(1+P518-VLOOKUP(VALUE(D519),$J$18:$Q518,7,TRUE()))*$D$3)</f>
        <v>#N/A</v>
      </c>
      <c r="F519" s="47" t="e">
        <f aca="false">MAX($D$4,(1+Q518-VLOOKUP(VALUE(D519),$M$18:$Q518,5,TRUE()))*$D$4)</f>
        <v>#N/A</v>
      </c>
      <c r="G519" s="48" t="n">
        <v>0.5</v>
      </c>
      <c r="H519" s="46" t="e">
        <f aca="true">IF((B519=1),(IF((F519&lt;E519),1,(IF((F519=E519),(IF(RAND()&lt;G519,1,0)),0)))),(IF((RAND()&lt;G519),1,0)))</f>
        <v>#N/A</v>
      </c>
      <c r="I519" s="46" t="e">
        <f aca="true">IF((H519=1),0,$D$3+$D$5*(RAND()-0.5))</f>
        <v>#N/A</v>
      </c>
      <c r="J519" s="46" t="e">
        <f aca="false">I519+MAX(D519,J518)</f>
        <v>#N/A</v>
      </c>
      <c r="K519" s="46" t="e">
        <f aca="false">IF((H519=0),J519-D519,0)</f>
        <v>#N/A</v>
      </c>
      <c r="L519" s="46" t="e">
        <f aca="true">IF(($H519=0),0,$D$4+$D$5*(RAND()-0.5))</f>
        <v>#N/A</v>
      </c>
      <c r="M519" s="46" t="e">
        <f aca="false">L519+MAX(D519,M518)</f>
        <v>#N/A</v>
      </c>
      <c r="N519" s="46" t="e">
        <f aca="false">IF((H519=1),M519-D519,0)</f>
        <v>#N/A</v>
      </c>
      <c r="O519" s="29" t="n">
        <v>502</v>
      </c>
      <c r="P519" s="49" t="e">
        <f aca="false">IF((Arterial=0),P518+1,P518)</f>
        <v>#N/A</v>
      </c>
      <c r="Q519" s="49" t="e">
        <f aca="false">IF((Arterial=1),Q518+1,Q518)</f>
        <v>#N/A</v>
      </c>
      <c r="R519" s="50" t="n">
        <f aca="false">IF((RESET=1),0,R519+K519)</f>
        <v>0</v>
      </c>
      <c r="S519" s="19" t="n">
        <f aca="false">IF(RESET=1,0,S519+N519)</f>
        <v>0</v>
      </c>
      <c r="T519" s="0" t="n">
        <f aca="false">IF(RESET=1,0,T519+IF(H519=0,1,0))</f>
        <v>0</v>
      </c>
      <c r="U519" s="0" t="n">
        <f aca="false">IF(RESET=1,0,U519+H519)</f>
        <v>0</v>
      </c>
      <c r="V519" s="19" t="n">
        <f aca="false">R519/(T519+0.00001)</f>
        <v>0</v>
      </c>
      <c r="W519" s="19" t="n">
        <f aca="false">S519/(U519+0.0001)</f>
        <v>0</v>
      </c>
      <c r="X519" s="47" t="e">
        <f aca="false">IF(Informed=1,K519,0)</f>
        <v>#N/A</v>
      </c>
      <c r="Y519" s="47" t="n">
        <f aca="false">IF(Informed=0,K519,0)</f>
        <v>0</v>
      </c>
      <c r="Z519" s="47" t="e">
        <f aca="false">IF(Informed=1,N519,0)</f>
        <v>#N/A</v>
      </c>
      <c r="AA519" s="47" t="n">
        <f aca="false">IF(Informed=0,N519,0)</f>
        <v>0</v>
      </c>
      <c r="AB519" s="51" t="e">
        <f aca="false">IF(Arterial=0,IF(Informed=1,1,0),0)</f>
        <v>#N/A</v>
      </c>
      <c r="AC519" s="51" t="e">
        <f aca="false">IF(Arterial=0,IF(Informed=0,1,0),0)</f>
        <v>#N/A</v>
      </c>
      <c r="AD519" s="51" t="e">
        <f aca="false">IF(Arterial=1,IF(Informed=1,1,0),0)</f>
        <v>#N/A</v>
      </c>
      <c r="AE519" s="51" t="e">
        <f aca="false">IF(Arterial=1,IF(Informed=0,1,0),0)</f>
        <v>#N/A</v>
      </c>
      <c r="AF519" s="44" t="e">
        <f aca="false">IF(AB519=1,(X519-G$1030)^2,0)</f>
        <v>#N/A</v>
      </c>
      <c r="AG519" s="44" t="e">
        <f aca="false">IF(AC519=1,(Y519-H$1030)^2,0)</f>
        <v>#N/A</v>
      </c>
      <c r="AH519" s="44" t="e">
        <f aca="false">IF(AD519=1,(Z519-I$1030)^2,0)</f>
        <v>#N/A</v>
      </c>
      <c r="AI519" s="44" t="e">
        <f aca="false">IF(AE519=1,(AA519-J$1030)^2,0)</f>
        <v>#N/A</v>
      </c>
    </row>
    <row r="520" customFormat="false" ht="12" hidden="false" customHeight="false" outlineLevel="0" collapsed="false">
      <c r="A520" s="29" t="n">
        <v>503</v>
      </c>
      <c r="B520" s="45" t="n">
        <f aca="true">IF(RAND()&lt;$D$8,1,0)</f>
        <v>1</v>
      </c>
      <c r="C520" s="34" t="n">
        <f aca="true">-LN(RAND())/$D$2</f>
        <v>0.342542920120963</v>
      </c>
      <c r="D520" s="46" t="n">
        <f aca="false">D519+C520</f>
        <v>795.128684014837</v>
      </c>
      <c r="E520" s="47" t="e">
        <f aca="false">MAX($D$3,(1+P519-VLOOKUP(VALUE(D520),$J$18:$Q519,7,TRUE()))*$D$3)</f>
        <v>#N/A</v>
      </c>
      <c r="F520" s="47" t="e">
        <f aca="false">MAX($D$4,(1+Q519-VLOOKUP(VALUE(D520),$M$18:$Q519,5,TRUE()))*$D$4)</f>
        <v>#N/A</v>
      </c>
      <c r="G520" s="48" t="n">
        <v>0.5</v>
      </c>
      <c r="H520" s="46" t="e">
        <f aca="true">IF((B520=1),(IF((F520&lt;E520),1,(IF((F520=E520),(IF(RAND()&lt;G520,1,0)),0)))),(IF((RAND()&lt;G520),1,0)))</f>
        <v>#N/A</v>
      </c>
      <c r="I520" s="46" t="e">
        <f aca="true">IF((H520=1),0,$D$3+$D$5*(RAND()-0.5))</f>
        <v>#N/A</v>
      </c>
      <c r="J520" s="46" t="e">
        <f aca="false">I520+MAX(D520,J519)</f>
        <v>#N/A</v>
      </c>
      <c r="K520" s="46" t="e">
        <f aca="false">IF((H520=0),J520-D520,0)</f>
        <v>#N/A</v>
      </c>
      <c r="L520" s="46" t="e">
        <f aca="true">IF(($H520=0),0,$D$4+$D$5*(RAND()-0.5))</f>
        <v>#N/A</v>
      </c>
      <c r="M520" s="46" t="e">
        <f aca="false">L520+MAX(D520,M519)</f>
        <v>#N/A</v>
      </c>
      <c r="N520" s="46" t="e">
        <f aca="false">IF((H520=1),M520-D520,0)</f>
        <v>#N/A</v>
      </c>
      <c r="O520" s="29" t="n">
        <v>503</v>
      </c>
      <c r="P520" s="49" t="e">
        <f aca="false">IF((Arterial=0),P519+1,P519)</f>
        <v>#N/A</v>
      </c>
      <c r="Q520" s="49" t="e">
        <f aca="false">IF((Arterial=1),Q519+1,Q519)</f>
        <v>#N/A</v>
      </c>
      <c r="R520" s="50" t="n">
        <f aca="false">IF((RESET=1),0,R520+K520)</f>
        <v>0</v>
      </c>
      <c r="S520" s="19" t="n">
        <f aca="false">IF(RESET=1,0,S520+N520)</f>
        <v>0</v>
      </c>
      <c r="T520" s="0" t="n">
        <f aca="false">IF(RESET=1,0,T520+IF(H520=0,1,0))</f>
        <v>0</v>
      </c>
      <c r="U520" s="0" t="n">
        <f aca="false">IF(RESET=1,0,U520+H520)</f>
        <v>0</v>
      </c>
      <c r="V520" s="19" t="n">
        <f aca="false">R520/(T520+0.00001)</f>
        <v>0</v>
      </c>
      <c r="W520" s="19" t="n">
        <f aca="false">S520/(U520+0.0001)</f>
        <v>0</v>
      </c>
      <c r="X520" s="47" t="e">
        <f aca="false">IF(Informed=1,K520,0)</f>
        <v>#N/A</v>
      </c>
      <c r="Y520" s="47" t="n">
        <f aca="false">IF(Informed=0,K520,0)</f>
        <v>0</v>
      </c>
      <c r="Z520" s="47" t="e">
        <f aca="false">IF(Informed=1,N520,0)</f>
        <v>#N/A</v>
      </c>
      <c r="AA520" s="47" t="n">
        <f aca="false">IF(Informed=0,N520,0)</f>
        <v>0</v>
      </c>
      <c r="AB520" s="51" t="e">
        <f aca="false">IF(Arterial=0,IF(Informed=1,1,0),0)</f>
        <v>#N/A</v>
      </c>
      <c r="AC520" s="51" t="e">
        <f aca="false">IF(Arterial=0,IF(Informed=0,1,0),0)</f>
        <v>#N/A</v>
      </c>
      <c r="AD520" s="51" t="e">
        <f aca="false">IF(Arterial=1,IF(Informed=1,1,0),0)</f>
        <v>#N/A</v>
      </c>
      <c r="AE520" s="51" t="e">
        <f aca="false">IF(Arterial=1,IF(Informed=0,1,0),0)</f>
        <v>#N/A</v>
      </c>
      <c r="AF520" s="44" t="e">
        <f aca="false">IF(AB520=1,(X520-G$1030)^2,0)</f>
        <v>#N/A</v>
      </c>
      <c r="AG520" s="44" t="e">
        <f aca="false">IF(AC520=1,(Y520-H$1030)^2,0)</f>
        <v>#N/A</v>
      </c>
      <c r="AH520" s="44" t="e">
        <f aca="false">IF(AD520=1,(Z520-I$1030)^2,0)</f>
        <v>#N/A</v>
      </c>
      <c r="AI520" s="44" t="e">
        <f aca="false">IF(AE520=1,(AA520-J$1030)^2,0)</f>
        <v>#N/A</v>
      </c>
    </row>
    <row r="521" customFormat="false" ht="12" hidden="false" customHeight="false" outlineLevel="0" collapsed="false">
      <c r="A521" s="29" t="n">
        <v>504</v>
      </c>
      <c r="B521" s="45" t="n">
        <f aca="true">IF(RAND()&lt;$D$8,1,0)</f>
        <v>1</v>
      </c>
      <c r="C521" s="34" t="n">
        <f aca="true">-LN(RAND())/$D$2</f>
        <v>0.796865017718024</v>
      </c>
      <c r="D521" s="46" t="n">
        <f aca="false">D520+C521</f>
        <v>795.925549032555</v>
      </c>
      <c r="E521" s="47" t="e">
        <f aca="false">MAX($D$3,(1+P520-VLOOKUP(VALUE(D521),$J$18:$Q520,7,TRUE()))*$D$3)</f>
        <v>#N/A</v>
      </c>
      <c r="F521" s="47" t="e">
        <f aca="false">MAX($D$4,(1+Q520-VLOOKUP(VALUE(D521),$M$18:$Q520,5,TRUE()))*$D$4)</f>
        <v>#N/A</v>
      </c>
      <c r="G521" s="48" t="n">
        <v>0.5</v>
      </c>
      <c r="H521" s="46" t="e">
        <f aca="true">IF((B521=1),(IF((F521&lt;E521),1,(IF((F521=E521),(IF(RAND()&lt;G521,1,0)),0)))),(IF((RAND()&lt;G521),1,0)))</f>
        <v>#N/A</v>
      </c>
      <c r="I521" s="46" t="e">
        <f aca="true">IF((H521=1),0,$D$3+$D$5*(RAND()-0.5))</f>
        <v>#N/A</v>
      </c>
      <c r="J521" s="46" t="e">
        <f aca="false">I521+MAX(D521,J520)</f>
        <v>#N/A</v>
      </c>
      <c r="K521" s="46" t="e">
        <f aca="false">IF((H521=0),J521-D521,0)</f>
        <v>#N/A</v>
      </c>
      <c r="L521" s="46" t="e">
        <f aca="true">IF(($H521=0),0,$D$4+$D$5*(RAND()-0.5))</f>
        <v>#N/A</v>
      </c>
      <c r="M521" s="46" t="e">
        <f aca="false">L521+MAX(D521,M520)</f>
        <v>#N/A</v>
      </c>
      <c r="N521" s="46" t="e">
        <f aca="false">IF((H521=1),M521-D521,0)</f>
        <v>#N/A</v>
      </c>
      <c r="O521" s="29" t="n">
        <v>504</v>
      </c>
      <c r="P521" s="49" t="e">
        <f aca="false">IF((Arterial=0),P520+1,P520)</f>
        <v>#N/A</v>
      </c>
      <c r="Q521" s="49" t="e">
        <f aca="false">IF((Arterial=1),Q520+1,Q520)</f>
        <v>#N/A</v>
      </c>
      <c r="R521" s="50" t="n">
        <f aca="false">IF((RESET=1),0,R521+K521)</f>
        <v>0</v>
      </c>
      <c r="S521" s="19" t="n">
        <f aca="false">IF(RESET=1,0,S521+N521)</f>
        <v>0</v>
      </c>
      <c r="T521" s="0" t="n">
        <f aca="false">IF(RESET=1,0,T521+IF(H521=0,1,0))</f>
        <v>0</v>
      </c>
      <c r="U521" s="0" t="n">
        <f aca="false">IF(RESET=1,0,U521+H521)</f>
        <v>0</v>
      </c>
      <c r="V521" s="19" t="n">
        <f aca="false">R521/(T521+0.00001)</f>
        <v>0</v>
      </c>
      <c r="W521" s="19" t="n">
        <f aca="false">S521/(U521+0.0001)</f>
        <v>0</v>
      </c>
      <c r="X521" s="47" t="e">
        <f aca="false">IF(Informed=1,K521,0)</f>
        <v>#N/A</v>
      </c>
      <c r="Y521" s="47" t="n">
        <f aca="false">IF(Informed=0,K521,0)</f>
        <v>0</v>
      </c>
      <c r="Z521" s="47" t="e">
        <f aca="false">IF(Informed=1,N521,0)</f>
        <v>#N/A</v>
      </c>
      <c r="AA521" s="47" t="n">
        <f aca="false">IF(Informed=0,N521,0)</f>
        <v>0</v>
      </c>
      <c r="AB521" s="51" t="e">
        <f aca="false">IF(Arterial=0,IF(Informed=1,1,0),0)</f>
        <v>#N/A</v>
      </c>
      <c r="AC521" s="51" t="e">
        <f aca="false">IF(Arterial=0,IF(Informed=0,1,0),0)</f>
        <v>#N/A</v>
      </c>
      <c r="AD521" s="51" t="e">
        <f aca="false">IF(Arterial=1,IF(Informed=1,1,0),0)</f>
        <v>#N/A</v>
      </c>
      <c r="AE521" s="51" t="e">
        <f aca="false">IF(Arterial=1,IF(Informed=0,1,0),0)</f>
        <v>#N/A</v>
      </c>
      <c r="AF521" s="44" t="e">
        <f aca="false">IF(AB521=1,(X521-G$1030)^2,0)</f>
        <v>#N/A</v>
      </c>
      <c r="AG521" s="44" t="e">
        <f aca="false">IF(AC521=1,(Y521-H$1030)^2,0)</f>
        <v>#N/A</v>
      </c>
      <c r="AH521" s="44" t="e">
        <f aca="false">IF(AD521=1,(Z521-I$1030)^2,0)</f>
        <v>#N/A</v>
      </c>
      <c r="AI521" s="44" t="e">
        <f aca="false">IF(AE521=1,(AA521-J$1030)^2,0)</f>
        <v>#N/A</v>
      </c>
    </row>
    <row r="522" customFormat="false" ht="12" hidden="false" customHeight="false" outlineLevel="0" collapsed="false">
      <c r="A522" s="29" t="n">
        <v>505</v>
      </c>
      <c r="B522" s="45" t="n">
        <f aca="true">IF(RAND()&lt;$D$8,1,0)</f>
        <v>1</v>
      </c>
      <c r="C522" s="34" t="n">
        <f aca="true">-LN(RAND())/$D$2</f>
        <v>0.769371350999089</v>
      </c>
      <c r="D522" s="46" t="n">
        <f aca="false">D521+C522</f>
        <v>796.694920383554</v>
      </c>
      <c r="E522" s="47" t="e">
        <f aca="false">MAX($D$3,(1+P521-VLOOKUP(VALUE(D522),$J$18:$Q521,7,TRUE()))*$D$3)</f>
        <v>#N/A</v>
      </c>
      <c r="F522" s="47" t="e">
        <f aca="false">MAX($D$4,(1+Q521-VLOOKUP(VALUE(D522),$M$18:$Q521,5,TRUE()))*$D$4)</f>
        <v>#N/A</v>
      </c>
      <c r="G522" s="48" t="n">
        <v>0.5</v>
      </c>
      <c r="H522" s="46" t="e">
        <f aca="true">IF((B522=1),(IF((F522&lt;E522),1,(IF((F522=E522),(IF(RAND()&lt;G522,1,0)),0)))),(IF((RAND()&lt;G522),1,0)))</f>
        <v>#N/A</v>
      </c>
      <c r="I522" s="46" t="e">
        <f aca="true">IF((H522=1),0,$D$3+$D$5*(RAND()-0.5))</f>
        <v>#N/A</v>
      </c>
      <c r="J522" s="46" t="e">
        <f aca="false">I522+MAX(D522,J521)</f>
        <v>#N/A</v>
      </c>
      <c r="K522" s="46" t="e">
        <f aca="false">IF((H522=0),J522-D522,0)</f>
        <v>#N/A</v>
      </c>
      <c r="L522" s="46" t="e">
        <f aca="true">IF(($H522=0),0,$D$4+$D$5*(RAND()-0.5))</f>
        <v>#N/A</v>
      </c>
      <c r="M522" s="46" t="e">
        <f aca="false">L522+MAX(D522,M521)</f>
        <v>#N/A</v>
      </c>
      <c r="N522" s="46" t="e">
        <f aca="false">IF((H522=1),M522-D522,0)</f>
        <v>#N/A</v>
      </c>
      <c r="O522" s="29" t="n">
        <v>505</v>
      </c>
      <c r="P522" s="49" t="e">
        <f aca="false">IF((Arterial=0),P521+1,P521)</f>
        <v>#N/A</v>
      </c>
      <c r="Q522" s="49" t="e">
        <f aca="false">IF((Arterial=1),Q521+1,Q521)</f>
        <v>#N/A</v>
      </c>
      <c r="R522" s="50" t="n">
        <f aca="false">IF((RESET=1),0,R522+K522)</f>
        <v>0</v>
      </c>
      <c r="S522" s="19" t="n">
        <f aca="false">IF(RESET=1,0,S522+N522)</f>
        <v>0</v>
      </c>
      <c r="T522" s="0" t="n">
        <f aca="false">IF(RESET=1,0,T522+IF(H522=0,1,0))</f>
        <v>0</v>
      </c>
      <c r="U522" s="0" t="n">
        <f aca="false">IF(RESET=1,0,U522+H522)</f>
        <v>0</v>
      </c>
      <c r="V522" s="19" t="n">
        <f aca="false">R522/(T522+0.00001)</f>
        <v>0</v>
      </c>
      <c r="W522" s="19" t="n">
        <f aca="false">S522/(U522+0.0001)</f>
        <v>0</v>
      </c>
      <c r="X522" s="47" t="e">
        <f aca="false">IF(Informed=1,K522,0)</f>
        <v>#N/A</v>
      </c>
      <c r="Y522" s="47" t="n">
        <f aca="false">IF(Informed=0,K522,0)</f>
        <v>0</v>
      </c>
      <c r="Z522" s="47" t="e">
        <f aca="false">IF(Informed=1,N522,0)</f>
        <v>#N/A</v>
      </c>
      <c r="AA522" s="47" t="n">
        <f aca="false">IF(Informed=0,N522,0)</f>
        <v>0</v>
      </c>
      <c r="AB522" s="51" t="e">
        <f aca="false">IF(Arterial=0,IF(Informed=1,1,0),0)</f>
        <v>#N/A</v>
      </c>
      <c r="AC522" s="51" t="e">
        <f aca="false">IF(Arterial=0,IF(Informed=0,1,0),0)</f>
        <v>#N/A</v>
      </c>
      <c r="AD522" s="51" t="e">
        <f aca="false">IF(Arterial=1,IF(Informed=1,1,0),0)</f>
        <v>#N/A</v>
      </c>
      <c r="AE522" s="51" t="e">
        <f aca="false">IF(Arterial=1,IF(Informed=0,1,0),0)</f>
        <v>#N/A</v>
      </c>
      <c r="AF522" s="44" t="e">
        <f aca="false">IF(AB522=1,(X522-G$1030)^2,0)</f>
        <v>#N/A</v>
      </c>
      <c r="AG522" s="44" t="e">
        <f aca="false">IF(AC522=1,(Y522-H$1030)^2,0)</f>
        <v>#N/A</v>
      </c>
      <c r="AH522" s="44" t="e">
        <f aca="false">IF(AD522=1,(Z522-I$1030)^2,0)</f>
        <v>#N/A</v>
      </c>
      <c r="AI522" s="44" t="e">
        <f aca="false">IF(AE522=1,(AA522-J$1030)^2,0)</f>
        <v>#N/A</v>
      </c>
    </row>
    <row r="523" customFormat="false" ht="12" hidden="false" customHeight="false" outlineLevel="0" collapsed="false">
      <c r="A523" s="29" t="n">
        <v>506</v>
      </c>
      <c r="B523" s="45" t="n">
        <f aca="true">IF(RAND()&lt;$D$8,1,0)</f>
        <v>1</v>
      </c>
      <c r="C523" s="34" t="n">
        <f aca="true">-LN(RAND())/$D$2</f>
        <v>2.59059698199039</v>
      </c>
      <c r="D523" s="46" t="n">
        <f aca="false">D522+C523</f>
        <v>799.285517365545</v>
      </c>
      <c r="E523" s="47" t="e">
        <f aca="false">MAX($D$3,(1+P522-VLOOKUP(VALUE(D523),$J$18:$Q522,7,TRUE()))*$D$3)</f>
        <v>#N/A</v>
      </c>
      <c r="F523" s="47" t="e">
        <f aca="false">MAX($D$4,(1+Q522-VLOOKUP(VALUE(D523),$M$18:$Q522,5,TRUE()))*$D$4)</f>
        <v>#N/A</v>
      </c>
      <c r="G523" s="48" t="n">
        <v>0.5</v>
      </c>
      <c r="H523" s="46" t="e">
        <f aca="true">IF((B523=1),(IF((F523&lt;E523),1,(IF((F523=E523),(IF(RAND()&lt;G523,1,0)),0)))),(IF((RAND()&lt;G523),1,0)))</f>
        <v>#N/A</v>
      </c>
      <c r="I523" s="46" t="e">
        <f aca="true">IF((H523=1),0,$D$3+$D$5*(RAND()-0.5))</f>
        <v>#N/A</v>
      </c>
      <c r="J523" s="46" t="e">
        <f aca="false">I523+MAX(D523,J522)</f>
        <v>#N/A</v>
      </c>
      <c r="K523" s="46" t="e">
        <f aca="false">IF((H523=0),J523-D523,0)</f>
        <v>#N/A</v>
      </c>
      <c r="L523" s="46" t="e">
        <f aca="true">IF(($H523=0),0,$D$4+$D$5*(RAND()-0.5))</f>
        <v>#N/A</v>
      </c>
      <c r="M523" s="46" t="e">
        <f aca="false">L523+MAX(D523,M522)</f>
        <v>#N/A</v>
      </c>
      <c r="N523" s="46" t="e">
        <f aca="false">IF((H523=1),M523-D523,0)</f>
        <v>#N/A</v>
      </c>
      <c r="O523" s="29" t="n">
        <v>506</v>
      </c>
      <c r="P523" s="49" t="e">
        <f aca="false">IF((Arterial=0),P522+1,P522)</f>
        <v>#N/A</v>
      </c>
      <c r="Q523" s="49" t="e">
        <f aca="false">IF((Arterial=1),Q522+1,Q522)</f>
        <v>#N/A</v>
      </c>
      <c r="R523" s="50" t="n">
        <f aca="false">IF((RESET=1),0,R523+K523)</f>
        <v>0</v>
      </c>
      <c r="S523" s="19" t="n">
        <f aca="false">IF(RESET=1,0,S523+N523)</f>
        <v>0</v>
      </c>
      <c r="T523" s="0" t="n">
        <f aca="false">IF(RESET=1,0,T523+IF(H523=0,1,0))</f>
        <v>0</v>
      </c>
      <c r="U523" s="0" t="n">
        <f aca="false">IF(RESET=1,0,U523+H523)</f>
        <v>0</v>
      </c>
      <c r="V523" s="19" t="n">
        <f aca="false">R523/(T523+0.00001)</f>
        <v>0</v>
      </c>
      <c r="W523" s="19" t="n">
        <f aca="false">S523/(U523+0.0001)</f>
        <v>0</v>
      </c>
      <c r="X523" s="47" t="e">
        <f aca="false">IF(Informed=1,K523,0)</f>
        <v>#N/A</v>
      </c>
      <c r="Y523" s="47" t="n">
        <f aca="false">IF(Informed=0,K523,0)</f>
        <v>0</v>
      </c>
      <c r="Z523" s="47" t="e">
        <f aca="false">IF(Informed=1,N523,0)</f>
        <v>#N/A</v>
      </c>
      <c r="AA523" s="47" t="n">
        <f aca="false">IF(Informed=0,N523,0)</f>
        <v>0</v>
      </c>
      <c r="AB523" s="51" t="e">
        <f aca="false">IF(Arterial=0,IF(Informed=1,1,0),0)</f>
        <v>#N/A</v>
      </c>
      <c r="AC523" s="51" t="e">
        <f aca="false">IF(Arterial=0,IF(Informed=0,1,0),0)</f>
        <v>#N/A</v>
      </c>
      <c r="AD523" s="51" t="e">
        <f aca="false">IF(Arterial=1,IF(Informed=1,1,0),0)</f>
        <v>#N/A</v>
      </c>
      <c r="AE523" s="51" t="e">
        <f aca="false">IF(Arterial=1,IF(Informed=0,1,0),0)</f>
        <v>#N/A</v>
      </c>
      <c r="AF523" s="44" t="e">
        <f aca="false">IF(AB523=1,(X523-G$1030)^2,0)</f>
        <v>#N/A</v>
      </c>
      <c r="AG523" s="44" t="e">
        <f aca="false">IF(AC523=1,(Y523-H$1030)^2,0)</f>
        <v>#N/A</v>
      </c>
      <c r="AH523" s="44" t="e">
        <f aca="false">IF(AD523=1,(Z523-I$1030)^2,0)</f>
        <v>#N/A</v>
      </c>
      <c r="AI523" s="44" t="e">
        <f aca="false">IF(AE523=1,(AA523-J$1030)^2,0)</f>
        <v>#N/A</v>
      </c>
    </row>
    <row r="524" customFormat="false" ht="12" hidden="false" customHeight="false" outlineLevel="0" collapsed="false">
      <c r="A524" s="29" t="n">
        <v>507</v>
      </c>
      <c r="B524" s="45" t="n">
        <f aca="true">IF(RAND()&lt;$D$8,1,0)</f>
        <v>1</v>
      </c>
      <c r="C524" s="34" t="n">
        <f aca="true">-LN(RAND())/$D$2</f>
        <v>0.747058797096659</v>
      </c>
      <c r="D524" s="46" t="n">
        <f aca="false">D523+C524</f>
        <v>800.032576162641</v>
      </c>
      <c r="E524" s="47" t="e">
        <f aca="false">MAX($D$3,(1+P523-VLOOKUP(VALUE(D524),$J$18:$Q523,7,TRUE()))*$D$3)</f>
        <v>#N/A</v>
      </c>
      <c r="F524" s="47" t="e">
        <f aca="false">MAX($D$4,(1+Q523-VLOOKUP(VALUE(D524),$M$18:$Q523,5,TRUE()))*$D$4)</f>
        <v>#N/A</v>
      </c>
      <c r="G524" s="48" t="n">
        <v>0.5</v>
      </c>
      <c r="H524" s="46" t="e">
        <f aca="true">IF((B524=1),(IF((F524&lt;E524),1,(IF((F524=E524),(IF(RAND()&lt;G524,1,0)),0)))),(IF((RAND()&lt;G524),1,0)))</f>
        <v>#N/A</v>
      </c>
      <c r="I524" s="46" t="e">
        <f aca="true">IF((H524=1),0,$D$3+$D$5*(RAND()-0.5))</f>
        <v>#N/A</v>
      </c>
      <c r="J524" s="46" t="e">
        <f aca="false">I524+MAX(D524,J523)</f>
        <v>#N/A</v>
      </c>
      <c r="K524" s="46" t="e">
        <f aca="false">IF((H524=0),J524-D524,0)</f>
        <v>#N/A</v>
      </c>
      <c r="L524" s="46" t="e">
        <f aca="true">IF(($H524=0),0,$D$4+$D$5*(RAND()-0.5))</f>
        <v>#N/A</v>
      </c>
      <c r="M524" s="46" t="e">
        <f aca="false">L524+MAX(D524,M523)</f>
        <v>#N/A</v>
      </c>
      <c r="N524" s="46" t="e">
        <f aca="false">IF((H524=1),M524-D524,0)</f>
        <v>#N/A</v>
      </c>
      <c r="O524" s="29" t="n">
        <v>507</v>
      </c>
      <c r="P524" s="49" t="e">
        <f aca="false">IF((Arterial=0),P523+1,P523)</f>
        <v>#N/A</v>
      </c>
      <c r="Q524" s="49" t="e">
        <f aca="false">IF((Arterial=1),Q523+1,Q523)</f>
        <v>#N/A</v>
      </c>
      <c r="R524" s="50" t="n">
        <f aca="false">IF((RESET=1),0,R524+K524)</f>
        <v>0</v>
      </c>
      <c r="S524" s="19" t="n">
        <f aca="false">IF(RESET=1,0,S524+N524)</f>
        <v>0</v>
      </c>
      <c r="T524" s="0" t="n">
        <f aca="false">IF(RESET=1,0,T524+IF(H524=0,1,0))</f>
        <v>0</v>
      </c>
      <c r="U524" s="0" t="n">
        <f aca="false">IF(RESET=1,0,U524+H524)</f>
        <v>0</v>
      </c>
      <c r="V524" s="19" t="n">
        <f aca="false">R524/(T524+0.00001)</f>
        <v>0</v>
      </c>
      <c r="W524" s="19" t="n">
        <f aca="false">S524/(U524+0.0001)</f>
        <v>0</v>
      </c>
      <c r="X524" s="47" t="e">
        <f aca="false">IF(Informed=1,K524,0)</f>
        <v>#N/A</v>
      </c>
      <c r="Y524" s="47" t="n">
        <f aca="false">IF(Informed=0,K524,0)</f>
        <v>0</v>
      </c>
      <c r="Z524" s="47" t="e">
        <f aca="false">IF(Informed=1,N524,0)</f>
        <v>#N/A</v>
      </c>
      <c r="AA524" s="47" t="n">
        <f aca="false">IF(Informed=0,N524,0)</f>
        <v>0</v>
      </c>
      <c r="AB524" s="51" t="e">
        <f aca="false">IF(Arterial=0,IF(Informed=1,1,0),0)</f>
        <v>#N/A</v>
      </c>
      <c r="AC524" s="51" t="e">
        <f aca="false">IF(Arterial=0,IF(Informed=0,1,0),0)</f>
        <v>#N/A</v>
      </c>
      <c r="AD524" s="51" t="e">
        <f aca="false">IF(Arterial=1,IF(Informed=1,1,0),0)</f>
        <v>#N/A</v>
      </c>
      <c r="AE524" s="51" t="e">
        <f aca="false">IF(Arterial=1,IF(Informed=0,1,0),0)</f>
        <v>#N/A</v>
      </c>
      <c r="AF524" s="44" t="e">
        <f aca="false">IF(AB524=1,(X524-G$1030)^2,0)</f>
        <v>#N/A</v>
      </c>
      <c r="AG524" s="44" t="e">
        <f aca="false">IF(AC524=1,(Y524-H$1030)^2,0)</f>
        <v>#N/A</v>
      </c>
      <c r="AH524" s="44" t="e">
        <f aca="false">IF(AD524=1,(Z524-I$1030)^2,0)</f>
        <v>#N/A</v>
      </c>
      <c r="AI524" s="44" t="e">
        <f aca="false">IF(AE524=1,(AA524-J$1030)^2,0)</f>
        <v>#N/A</v>
      </c>
    </row>
    <row r="525" customFormat="false" ht="12" hidden="false" customHeight="false" outlineLevel="0" collapsed="false">
      <c r="A525" s="29" t="n">
        <v>508</v>
      </c>
      <c r="B525" s="45" t="n">
        <f aca="true">IF(RAND()&lt;$D$8,1,0)</f>
        <v>1</v>
      </c>
      <c r="C525" s="34" t="n">
        <f aca="true">-LN(RAND())/$D$2</f>
        <v>1.05127704739712</v>
      </c>
      <c r="D525" s="46" t="n">
        <f aca="false">D524+C525</f>
        <v>801.083853210038</v>
      </c>
      <c r="E525" s="47" t="e">
        <f aca="false">MAX($D$3,(1+P524-VLOOKUP(VALUE(D525),$J$18:$Q524,7,TRUE()))*$D$3)</f>
        <v>#N/A</v>
      </c>
      <c r="F525" s="47" t="e">
        <f aca="false">MAX($D$4,(1+Q524-VLOOKUP(VALUE(D525),$M$18:$Q524,5,TRUE()))*$D$4)</f>
        <v>#N/A</v>
      </c>
      <c r="G525" s="48" t="n">
        <v>0.5</v>
      </c>
      <c r="H525" s="46" t="e">
        <f aca="true">IF((B525=1),(IF((F525&lt;E525),1,(IF((F525=E525),(IF(RAND()&lt;G525,1,0)),0)))),(IF((RAND()&lt;G525),1,0)))</f>
        <v>#N/A</v>
      </c>
      <c r="I525" s="46" t="e">
        <f aca="true">IF((H525=1),0,$D$3+$D$5*(RAND()-0.5))</f>
        <v>#N/A</v>
      </c>
      <c r="J525" s="46" t="e">
        <f aca="false">I525+MAX(D525,J524)</f>
        <v>#N/A</v>
      </c>
      <c r="K525" s="46" t="e">
        <f aca="false">IF((H525=0),J525-D525,0)</f>
        <v>#N/A</v>
      </c>
      <c r="L525" s="46" t="e">
        <f aca="true">IF(($H525=0),0,$D$4+$D$5*(RAND()-0.5))</f>
        <v>#N/A</v>
      </c>
      <c r="M525" s="46" t="e">
        <f aca="false">L525+MAX(D525,M524)</f>
        <v>#N/A</v>
      </c>
      <c r="N525" s="46" t="e">
        <f aca="false">IF((H525=1),M525-D525,0)</f>
        <v>#N/A</v>
      </c>
      <c r="O525" s="29" t="n">
        <v>508</v>
      </c>
      <c r="P525" s="49" t="e">
        <f aca="false">IF((Arterial=0),P524+1,P524)</f>
        <v>#N/A</v>
      </c>
      <c r="Q525" s="49" t="e">
        <f aca="false">IF((Arterial=1),Q524+1,Q524)</f>
        <v>#N/A</v>
      </c>
      <c r="R525" s="50" t="n">
        <f aca="false">IF((RESET=1),0,R525+K525)</f>
        <v>0</v>
      </c>
      <c r="S525" s="19" t="n">
        <f aca="false">IF(RESET=1,0,S525+N525)</f>
        <v>0</v>
      </c>
      <c r="T525" s="0" t="n">
        <f aca="false">IF(RESET=1,0,T525+IF(H525=0,1,0))</f>
        <v>0</v>
      </c>
      <c r="U525" s="0" t="n">
        <f aca="false">IF(RESET=1,0,U525+H525)</f>
        <v>0</v>
      </c>
      <c r="V525" s="19" t="n">
        <f aca="false">R525/(T525+0.00001)</f>
        <v>0</v>
      </c>
      <c r="W525" s="19" t="n">
        <f aca="false">S525/(U525+0.0001)</f>
        <v>0</v>
      </c>
      <c r="X525" s="47" t="e">
        <f aca="false">IF(Informed=1,K525,0)</f>
        <v>#N/A</v>
      </c>
      <c r="Y525" s="47" t="n">
        <f aca="false">IF(Informed=0,K525,0)</f>
        <v>0</v>
      </c>
      <c r="Z525" s="47" t="e">
        <f aca="false">IF(Informed=1,N525,0)</f>
        <v>#N/A</v>
      </c>
      <c r="AA525" s="47" t="n">
        <f aca="false">IF(Informed=0,N525,0)</f>
        <v>0</v>
      </c>
      <c r="AB525" s="51" t="e">
        <f aca="false">IF(Arterial=0,IF(Informed=1,1,0),0)</f>
        <v>#N/A</v>
      </c>
      <c r="AC525" s="51" t="e">
        <f aca="false">IF(Arterial=0,IF(Informed=0,1,0),0)</f>
        <v>#N/A</v>
      </c>
      <c r="AD525" s="51" t="e">
        <f aca="false">IF(Arterial=1,IF(Informed=1,1,0),0)</f>
        <v>#N/A</v>
      </c>
      <c r="AE525" s="51" t="e">
        <f aca="false">IF(Arterial=1,IF(Informed=0,1,0),0)</f>
        <v>#N/A</v>
      </c>
      <c r="AF525" s="44" t="e">
        <f aca="false">IF(AB525=1,(X525-G$1030)^2,0)</f>
        <v>#N/A</v>
      </c>
      <c r="AG525" s="44" t="e">
        <f aca="false">IF(AC525=1,(Y525-H$1030)^2,0)</f>
        <v>#N/A</v>
      </c>
      <c r="AH525" s="44" t="e">
        <f aca="false">IF(AD525=1,(Z525-I$1030)^2,0)</f>
        <v>#N/A</v>
      </c>
      <c r="AI525" s="44" t="e">
        <f aca="false">IF(AE525=1,(AA525-J$1030)^2,0)</f>
        <v>#N/A</v>
      </c>
    </row>
    <row r="526" customFormat="false" ht="12" hidden="false" customHeight="false" outlineLevel="0" collapsed="false">
      <c r="A526" s="29" t="n">
        <v>509</v>
      </c>
      <c r="B526" s="45" t="n">
        <f aca="true">IF(RAND()&lt;$D$8,1,0)</f>
        <v>1</v>
      </c>
      <c r="C526" s="34" t="n">
        <f aca="true">-LN(RAND())/$D$2</f>
        <v>2.56854942218544</v>
      </c>
      <c r="D526" s="46" t="n">
        <f aca="false">D525+C526</f>
        <v>803.652402632224</v>
      </c>
      <c r="E526" s="47" t="e">
        <f aca="false">MAX($D$3,(1+P525-VLOOKUP(VALUE(D526),$J$18:$Q525,7,TRUE()))*$D$3)</f>
        <v>#N/A</v>
      </c>
      <c r="F526" s="47" t="e">
        <f aca="false">MAX($D$4,(1+Q525-VLOOKUP(VALUE(D526),$M$18:$Q525,5,TRUE()))*$D$4)</f>
        <v>#N/A</v>
      </c>
      <c r="G526" s="48" t="n">
        <v>0.5</v>
      </c>
      <c r="H526" s="46" t="e">
        <f aca="true">IF((B526=1),(IF((F526&lt;E526),1,(IF((F526=E526),(IF(RAND()&lt;G526,1,0)),0)))),(IF((RAND()&lt;G526),1,0)))</f>
        <v>#N/A</v>
      </c>
      <c r="I526" s="46" t="e">
        <f aca="true">IF((H526=1),0,$D$3+$D$5*(RAND()-0.5))</f>
        <v>#N/A</v>
      </c>
      <c r="J526" s="46" t="e">
        <f aca="false">I526+MAX(D526,J525)</f>
        <v>#N/A</v>
      </c>
      <c r="K526" s="46" t="e">
        <f aca="false">IF((H526=0),J526-D526,0)</f>
        <v>#N/A</v>
      </c>
      <c r="L526" s="46" t="e">
        <f aca="true">IF(($H526=0),0,$D$4+$D$5*(RAND()-0.5))</f>
        <v>#N/A</v>
      </c>
      <c r="M526" s="46" t="e">
        <f aca="false">L526+MAX(D526,M525)</f>
        <v>#N/A</v>
      </c>
      <c r="N526" s="46" t="e">
        <f aca="false">IF((H526=1),M526-D526,0)</f>
        <v>#N/A</v>
      </c>
      <c r="O526" s="29" t="n">
        <v>509</v>
      </c>
      <c r="P526" s="49" t="e">
        <f aca="false">IF((Arterial=0),P525+1,P525)</f>
        <v>#N/A</v>
      </c>
      <c r="Q526" s="49" t="e">
        <f aca="false">IF((Arterial=1),Q525+1,Q525)</f>
        <v>#N/A</v>
      </c>
      <c r="R526" s="50" t="n">
        <f aca="false">IF((RESET=1),0,R526+K526)</f>
        <v>0</v>
      </c>
      <c r="S526" s="19" t="n">
        <f aca="false">IF(RESET=1,0,S526+N526)</f>
        <v>0</v>
      </c>
      <c r="T526" s="0" t="n">
        <f aca="false">IF(RESET=1,0,T526+IF(H526=0,1,0))</f>
        <v>0</v>
      </c>
      <c r="U526" s="0" t="n">
        <f aca="false">IF(RESET=1,0,U526+H526)</f>
        <v>0</v>
      </c>
      <c r="V526" s="19" t="n">
        <f aca="false">R526/(T526+0.00001)</f>
        <v>0</v>
      </c>
      <c r="W526" s="19" t="n">
        <f aca="false">S526/(U526+0.0001)</f>
        <v>0</v>
      </c>
      <c r="X526" s="47" t="e">
        <f aca="false">IF(Informed=1,K526,0)</f>
        <v>#N/A</v>
      </c>
      <c r="Y526" s="47" t="n">
        <f aca="false">IF(Informed=0,K526,0)</f>
        <v>0</v>
      </c>
      <c r="Z526" s="47" t="e">
        <f aca="false">IF(Informed=1,N526,0)</f>
        <v>#N/A</v>
      </c>
      <c r="AA526" s="47" t="n">
        <f aca="false">IF(Informed=0,N526,0)</f>
        <v>0</v>
      </c>
      <c r="AB526" s="51" t="e">
        <f aca="false">IF(Arterial=0,IF(Informed=1,1,0),0)</f>
        <v>#N/A</v>
      </c>
      <c r="AC526" s="51" t="e">
        <f aca="false">IF(Arterial=0,IF(Informed=0,1,0),0)</f>
        <v>#N/A</v>
      </c>
      <c r="AD526" s="51" t="e">
        <f aca="false">IF(Arterial=1,IF(Informed=1,1,0),0)</f>
        <v>#N/A</v>
      </c>
      <c r="AE526" s="51" t="e">
        <f aca="false">IF(Arterial=1,IF(Informed=0,1,0),0)</f>
        <v>#N/A</v>
      </c>
      <c r="AF526" s="44" t="e">
        <f aca="false">IF(AB526=1,(X526-G$1030)^2,0)</f>
        <v>#N/A</v>
      </c>
      <c r="AG526" s="44" t="e">
        <f aca="false">IF(AC526=1,(Y526-H$1030)^2,0)</f>
        <v>#N/A</v>
      </c>
      <c r="AH526" s="44" t="e">
        <f aca="false">IF(AD526=1,(Z526-I$1030)^2,0)</f>
        <v>#N/A</v>
      </c>
      <c r="AI526" s="44" t="e">
        <f aca="false">IF(AE526=1,(AA526-J$1030)^2,0)</f>
        <v>#N/A</v>
      </c>
    </row>
    <row r="527" customFormat="false" ht="12" hidden="false" customHeight="false" outlineLevel="0" collapsed="false">
      <c r="A527" s="29" t="n">
        <v>510</v>
      </c>
      <c r="B527" s="45" t="n">
        <f aca="true">IF(RAND()&lt;$D$8,1,0)</f>
        <v>1</v>
      </c>
      <c r="C527" s="34" t="n">
        <f aca="true">-LN(RAND())/$D$2</f>
        <v>1.73987419449059</v>
      </c>
      <c r="D527" s="46" t="n">
        <f aca="false">D526+C527</f>
        <v>805.392276826714</v>
      </c>
      <c r="E527" s="47" t="e">
        <f aca="false">MAX($D$3,(1+P526-VLOOKUP(VALUE(D527),$J$18:$Q526,7,TRUE()))*$D$3)</f>
        <v>#N/A</v>
      </c>
      <c r="F527" s="47" t="e">
        <f aca="false">MAX($D$4,(1+Q526-VLOOKUP(VALUE(D527),$M$18:$Q526,5,TRUE()))*$D$4)</f>
        <v>#N/A</v>
      </c>
      <c r="G527" s="48" t="n">
        <v>0.5</v>
      </c>
      <c r="H527" s="46" t="e">
        <f aca="true">IF((B527=1),(IF((F527&lt;E527),1,(IF((F527=E527),(IF(RAND()&lt;G527,1,0)),0)))),(IF((RAND()&lt;G527),1,0)))</f>
        <v>#N/A</v>
      </c>
      <c r="I527" s="46" t="e">
        <f aca="true">IF((H527=1),0,$D$3+$D$5*(RAND()-0.5))</f>
        <v>#N/A</v>
      </c>
      <c r="J527" s="46" t="e">
        <f aca="false">I527+MAX(D527,J526)</f>
        <v>#N/A</v>
      </c>
      <c r="K527" s="46" t="e">
        <f aca="false">IF((H527=0),J527-D527,0)</f>
        <v>#N/A</v>
      </c>
      <c r="L527" s="46" t="e">
        <f aca="true">IF(($H527=0),0,$D$4+$D$5*(RAND()-0.5))</f>
        <v>#N/A</v>
      </c>
      <c r="M527" s="46" t="e">
        <f aca="false">L527+MAX(D527,M526)</f>
        <v>#N/A</v>
      </c>
      <c r="N527" s="46" t="e">
        <f aca="false">IF((H527=1),M527-D527,0)</f>
        <v>#N/A</v>
      </c>
      <c r="O527" s="29" t="n">
        <v>510</v>
      </c>
      <c r="P527" s="49" t="e">
        <f aca="false">IF((Arterial=0),P526+1,P526)</f>
        <v>#N/A</v>
      </c>
      <c r="Q527" s="49" t="e">
        <f aca="false">IF((Arterial=1),Q526+1,Q526)</f>
        <v>#N/A</v>
      </c>
      <c r="R527" s="50" t="n">
        <f aca="false">IF((RESET=1),0,R527+K527)</f>
        <v>0</v>
      </c>
      <c r="S527" s="19" t="n">
        <f aca="false">IF(RESET=1,0,S527+N527)</f>
        <v>0</v>
      </c>
      <c r="T527" s="0" t="n">
        <f aca="false">IF(RESET=1,0,T527+IF(H527=0,1,0))</f>
        <v>0</v>
      </c>
      <c r="U527" s="0" t="n">
        <f aca="false">IF(RESET=1,0,U527+H527)</f>
        <v>0</v>
      </c>
      <c r="V527" s="19" t="n">
        <f aca="false">R527/(T527+0.00001)</f>
        <v>0</v>
      </c>
      <c r="W527" s="19" t="n">
        <f aca="false">S527/(U527+0.0001)</f>
        <v>0</v>
      </c>
      <c r="X527" s="47" t="e">
        <f aca="false">IF(Informed=1,K527,0)</f>
        <v>#N/A</v>
      </c>
      <c r="Y527" s="47" t="n">
        <f aca="false">IF(Informed=0,K527,0)</f>
        <v>0</v>
      </c>
      <c r="Z527" s="47" t="e">
        <f aca="false">IF(Informed=1,N527,0)</f>
        <v>#N/A</v>
      </c>
      <c r="AA527" s="47" t="n">
        <f aca="false">IF(Informed=0,N527,0)</f>
        <v>0</v>
      </c>
      <c r="AB527" s="51" t="e">
        <f aca="false">IF(Arterial=0,IF(Informed=1,1,0),0)</f>
        <v>#N/A</v>
      </c>
      <c r="AC527" s="51" t="e">
        <f aca="false">IF(Arterial=0,IF(Informed=0,1,0),0)</f>
        <v>#N/A</v>
      </c>
      <c r="AD527" s="51" t="e">
        <f aca="false">IF(Arterial=1,IF(Informed=1,1,0),0)</f>
        <v>#N/A</v>
      </c>
      <c r="AE527" s="51" t="e">
        <f aca="false">IF(Arterial=1,IF(Informed=0,1,0),0)</f>
        <v>#N/A</v>
      </c>
      <c r="AF527" s="44" t="e">
        <f aca="false">IF(AB527=1,(X527-G$1030)^2,0)</f>
        <v>#N/A</v>
      </c>
      <c r="AG527" s="44" t="e">
        <f aca="false">IF(AC527=1,(Y527-H$1030)^2,0)</f>
        <v>#N/A</v>
      </c>
      <c r="AH527" s="44" t="e">
        <f aca="false">IF(AD527=1,(Z527-I$1030)^2,0)</f>
        <v>#N/A</v>
      </c>
      <c r="AI527" s="44" t="e">
        <f aca="false">IF(AE527=1,(AA527-J$1030)^2,0)</f>
        <v>#N/A</v>
      </c>
    </row>
    <row r="528" customFormat="false" ht="12" hidden="false" customHeight="false" outlineLevel="0" collapsed="false">
      <c r="A528" s="29" t="n">
        <v>511</v>
      </c>
      <c r="B528" s="45" t="n">
        <f aca="true">IF(RAND()&lt;$D$8,1,0)</f>
        <v>1</v>
      </c>
      <c r="C528" s="34" t="n">
        <f aca="true">-LN(RAND())/$D$2</f>
        <v>4.07475756973071</v>
      </c>
      <c r="D528" s="46" t="n">
        <f aca="false">D527+C528</f>
        <v>809.467034396445</v>
      </c>
      <c r="E528" s="47" t="e">
        <f aca="false">MAX($D$3,(1+P527-VLOOKUP(VALUE(D528),$J$18:$Q527,7,TRUE()))*$D$3)</f>
        <v>#N/A</v>
      </c>
      <c r="F528" s="47" t="e">
        <f aca="false">MAX($D$4,(1+Q527-VLOOKUP(VALUE(D528),$M$18:$Q527,5,TRUE()))*$D$4)</f>
        <v>#N/A</v>
      </c>
      <c r="G528" s="48" t="n">
        <v>0.5</v>
      </c>
      <c r="H528" s="46" t="e">
        <f aca="true">IF((B528=1),(IF((F528&lt;E528),1,(IF((F528=E528),(IF(RAND()&lt;G528,1,0)),0)))),(IF((RAND()&lt;G528),1,0)))</f>
        <v>#N/A</v>
      </c>
      <c r="I528" s="46" t="e">
        <f aca="true">IF((H528=1),0,$D$3+$D$5*(RAND()-0.5))</f>
        <v>#N/A</v>
      </c>
      <c r="J528" s="46" t="e">
        <f aca="false">I528+MAX(D528,J527)</f>
        <v>#N/A</v>
      </c>
      <c r="K528" s="46" t="e">
        <f aca="false">IF((H528=0),J528-D528,0)</f>
        <v>#N/A</v>
      </c>
      <c r="L528" s="46" t="e">
        <f aca="true">IF(($H528=0),0,$D$4+$D$5*(RAND()-0.5))</f>
        <v>#N/A</v>
      </c>
      <c r="M528" s="46" t="e">
        <f aca="false">L528+MAX(D528,M527)</f>
        <v>#N/A</v>
      </c>
      <c r="N528" s="46" t="e">
        <f aca="false">IF((H528=1),M528-D528,0)</f>
        <v>#N/A</v>
      </c>
      <c r="O528" s="29" t="n">
        <v>511</v>
      </c>
      <c r="P528" s="49" t="e">
        <f aca="false">IF((Arterial=0),P527+1,P527)</f>
        <v>#N/A</v>
      </c>
      <c r="Q528" s="49" t="e">
        <f aca="false">IF((Arterial=1),Q527+1,Q527)</f>
        <v>#N/A</v>
      </c>
      <c r="R528" s="50" t="n">
        <f aca="false">IF((RESET=1),0,R528+K528)</f>
        <v>0</v>
      </c>
      <c r="S528" s="19" t="n">
        <f aca="false">IF(RESET=1,0,S528+N528)</f>
        <v>0</v>
      </c>
      <c r="T528" s="0" t="n">
        <f aca="false">IF(RESET=1,0,T528+IF(H528=0,1,0))</f>
        <v>0</v>
      </c>
      <c r="U528" s="0" t="n">
        <f aca="false">IF(RESET=1,0,U528+H528)</f>
        <v>0</v>
      </c>
      <c r="V528" s="19" t="n">
        <f aca="false">R528/(T528+0.00001)</f>
        <v>0</v>
      </c>
      <c r="W528" s="19" t="n">
        <f aca="false">S528/(U528+0.0001)</f>
        <v>0</v>
      </c>
      <c r="X528" s="47" t="e">
        <f aca="false">IF(Informed=1,K528,0)</f>
        <v>#N/A</v>
      </c>
      <c r="Y528" s="47" t="n">
        <f aca="false">IF(Informed=0,K528,0)</f>
        <v>0</v>
      </c>
      <c r="Z528" s="47" t="e">
        <f aca="false">IF(Informed=1,N528,0)</f>
        <v>#N/A</v>
      </c>
      <c r="AA528" s="47" t="n">
        <f aca="false">IF(Informed=0,N528,0)</f>
        <v>0</v>
      </c>
      <c r="AB528" s="51" t="e">
        <f aca="false">IF(Arterial=0,IF(Informed=1,1,0),0)</f>
        <v>#N/A</v>
      </c>
      <c r="AC528" s="51" t="e">
        <f aca="false">IF(Arterial=0,IF(Informed=0,1,0),0)</f>
        <v>#N/A</v>
      </c>
      <c r="AD528" s="51" t="e">
        <f aca="false">IF(Arterial=1,IF(Informed=1,1,0),0)</f>
        <v>#N/A</v>
      </c>
      <c r="AE528" s="51" t="e">
        <f aca="false">IF(Arterial=1,IF(Informed=0,1,0),0)</f>
        <v>#N/A</v>
      </c>
      <c r="AF528" s="44" t="e">
        <f aca="false">IF(AB528=1,(X528-G$1030)^2,0)</f>
        <v>#N/A</v>
      </c>
      <c r="AG528" s="44" t="e">
        <f aca="false">IF(AC528=1,(Y528-H$1030)^2,0)</f>
        <v>#N/A</v>
      </c>
      <c r="AH528" s="44" t="e">
        <f aca="false">IF(AD528=1,(Z528-I$1030)^2,0)</f>
        <v>#N/A</v>
      </c>
      <c r="AI528" s="44" t="e">
        <f aca="false">IF(AE528=1,(AA528-J$1030)^2,0)</f>
        <v>#N/A</v>
      </c>
    </row>
    <row r="529" customFormat="false" ht="12" hidden="false" customHeight="false" outlineLevel="0" collapsed="false">
      <c r="A529" s="29" t="n">
        <v>512</v>
      </c>
      <c r="B529" s="45" t="n">
        <f aca="true">IF(RAND()&lt;$D$8,1,0)</f>
        <v>1</v>
      </c>
      <c r="C529" s="34" t="n">
        <f aca="true">-LN(RAND())/$D$2</f>
        <v>6.39225528665799</v>
      </c>
      <c r="D529" s="46" t="n">
        <f aca="false">D528+C529</f>
        <v>815.859289683103</v>
      </c>
      <c r="E529" s="47" t="e">
        <f aca="false">MAX($D$3,(1+P528-VLOOKUP(VALUE(D529),$J$18:$Q528,7,TRUE()))*$D$3)</f>
        <v>#N/A</v>
      </c>
      <c r="F529" s="47" t="e">
        <f aca="false">MAX($D$4,(1+Q528-VLOOKUP(VALUE(D529),$M$18:$Q528,5,TRUE()))*$D$4)</f>
        <v>#N/A</v>
      </c>
      <c r="G529" s="48" t="n">
        <v>0.5</v>
      </c>
      <c r="H529" s="46" t="e">
        <f aca="true">IF((B529=1),(IF((F529&lt;E529),1,(IF((F529=E529),(IF(RAND()&lt;G529,1,0)),0)))),(IF((RAND()&lt;G529),1,0)))</f>
        <v>#N/A</v>
      </c>
      <c r="I529" s="46" t="e">
        <f aca="true">IF((H529=1),0,$D$3+$D$5*(RAND()-0.5))</f>
        <v>#N/A</v>
      </c>
      <c r="J529" s="46" t="e">
        <f aca="false">I529+MAX(D529,J528)</f>
        <v>#N/A</v>
      </c>
      <c r="K529" s="46" t="e">
        <f aca="false">IF((H529=0),J529-D529,0)</f>
        <v>#N/A</v>
      </c>
      <c r="L529" s="46" t="e">
        <f aca="true">IF(($H529=0),0,$D$4+$D$5*(RAND()-0.5))</f>
        <v>#N/A</v>
      </c>
      <c r="M529" s="46" t="e">
        <f aca="false">L529+MAX(D529,M528)</f>
        <v>#N/A</v>
      </c>
      <c r="N529" s="46" t="e">
        <f aca="false">IF((H529=1),M529-D529,0)</f>
        <v>#N/A</v>
      </c>
      <c r="O529" s="29" t="n">
        <v>512</v>
      </c>
      <c r="P529" s="49" t="e">
        <f aca="false">IF((Arterial=0),P528+1,P528)</f>
        <v>#N/A</v>
      </c>
      <c r="Q529" s="49" t="e">
        <f aca="false">IF((Arterial=1),Q528+1,Q528)</f>
        <v>#N/A</v>
      </c>
      <c r="R529" s="50" t="n">
        <f aca="false">IF((RESET=1),0,R529+K529)</f>
        <v>0</v>
      </c>
      <c r="S529" s="19" t="n">
        <f aca="false">IF(RESET=1,0,S529+N529)</f>
        <v>0</v>
      </c>
      <c r="T529" s="0" t="n">
        <f aca="false">IF(RESET=1,0,T529+IF(H529=0,1,0))</f>
        <v>0</v>
      </c>
      <c r="U529" s="0" t="n">
        <f aca="false">IF(RESET=1,0,U529+H529)</f>
        <v>0</v>
      </c>
      <c r="V529" s="19" t="n">
        <f aca="false">R529/(T529+0.00001)</f>
        <v>0</v>
      </c>
      <c r="W529" s="19" t="n">
        <f aca="false">S529/(U529+0.0001)</f>
        <v>0</v>
      </c>
      <c r="X529" s="47" t="e">
        <f aca="false">IF(Informed=1,K529,0)</f>
        <v>#N/A</v>
      </c>
      <c r="Y529" s="47" t="n">
        <f aca="false">IF(Informed=0,K529,0)</f>
        <v>0</v>
      </c>
      <c r="Z529" s="47" t="e">
        <f aca="false">IF(Informed=1,N529,0)</f>
        <v>#N/A</v>
      </c>
      <c r="AA529" s="47" t="n">
        <f aca="false">IF(Informed=0,N529,0)</f>
        <v>0</v>
      </c>
      <c r="AB529" s="51" t="e">
        <f aca="false">IF(Arterial=0,IF(Informed=1,1,0),0)</f>
        <v>#N/A</v>
      </c>
      <c r="AC529" s="51" t="e">
        <f aca="false">IF(Arterial=0,IF(Informed=0,1,0),0)</f>
        <v>#N/A</v>
      </c>
      <c r="AD529" s="51" t="e">
        <f aca="false">IF(Arterial=1,IF(Informed=1,1,0),0)</f>
        <v>#N/A</v>
      </c>
      <c r="AE529" s="51" t="e">
        <f aca="false">IF(Arterial=1,IF(Informed=0,1,0),0)</f>
        <v>#N/A</v>
      </c>
      <c r="AF529" s="44" t="e">
        <f aca="false">IF(AB529=1,(X529-G$1030)^2,0)</f>
        <v>#N/A</v>
      </c>
      <c r="AG529" s="44" t="e">
        <f aca="false">IF(AC529=1,(Y529-H$1030)^2,0)</f>
        <v>#N/A</v>
      </c>
      <c r="AH529" s="44" t="e">
        <f aca="false">IF(AD529=1,(Z529-I$1030)^2,0)</f>
        <v>#N/A</v>
      </c>
      <c r="AI529" s="44" t="e">
        <f aca="false">IF(AE529=1,(AA529-J$1030)^2,0)</f>
        <v>#N/A</v>
      </c>
    </row>
    <row r="530" customFormat="false" ht="12" hidden="false" customHeight="false" outlineLevel="0" collapsed="false">
      <c r="A530" s="29" t="n">
        <v>513</v>
      </c>
      <c r="B530" s="45" t="n">
        <f aca="true">IF(RAND()&lt;$D$8,1,0)</f>
        <v>1</v>
      </c>
      <c r="C530" s="34" t="n">
        <f aca="true">-LN(RAND())/$D$2</f>
        <v>0.228541687235741</v>
      </c>
      <c r="D530" s="46" t="n">
        <f aca="false">D529+C530</f>
        <v>816.087831370339</v>
      </c>
      <c r="E530" s="47" t="e">
        <f aca="false">MAX($D$3,(1+P529-VLOOKUP(VALUE(D530),$J$18:$Q529,7,TRUE()))*$D$3)</f>
        <v>#N/A</v>
      </c>
      <c r="F530" s="47" t="e">
        <f aca="false">MAX($D$4,(1+Q529-VLOOKUP(VALUE(D530),$M$18:$Q529,5,TRUE()))*$D$4)</f>
        <v>#N/A</v>
      </c>
      <c r="G530" s="48" t="n">
        <v>0.5</v>
      </c>
      <c r="H530" s="46" t="e">
        <f aca="true">IF((B530=1),(IF((F530&lt;E530),1,(IF((F530=E530),(IF(RAND()&lt;G530,1,0)),0)))),(IF((RAND()&lt;G530),1,0)))</f>
        <v>#N/A</v>
      </c>
      <c r="I530" s="46" t="e">
        <f aca="true">IF((H530=1),0,$D$3+$D$5*(RAND()-0.5))</f>
        <v>#N/A</v>
      </c>
      <c r="J530" s="46" t="e">
        <f aca="false">I530+MAX(D530,J529)</f>
        <v>#N/A</v>
      </c>
      <c r="K530" s="46" t="e">
        <f aca="false">IF((H530=0),J530-D530,0)</f>
        <v>#N/A</v>
      </c>
      <c r="L530" s="46" t="e">
        <f aca="true">IF(($H530=0),0,$D$4+$D$5*(RAND()-0.5))</f>
        <v>#N/A</v>
      </c>
      <c r="M530" s="46" t="e">
        <f aca="false">L530+MAX(D530,M529)</f>
        <v>#N/A</v>
      </c>
      <c r="N530" s="46" t="e">
        <f aca="false">IF((H530=1),M530-D530,0)</f>
        <v>#N/A</v>
      </c>
      <c r="O530" s="29" t="n">
        <v>513</v>
      </c>
      <c r="P530" s="49" t="e">
        <f aca="false">IF((Arterial=0),P529+1,P529)</f>
        <v>#N/A</v>
      </c>
      <c r="Q530" s="49" t="e">
        <f aca="false">IF((Arterial=1),Q529+1,Q529)</f>
        <v>#N/A</v>
      </c>
      <c r="R530" s="50" t="n">
        <f aca="false">IF((RESET=1),0,R530+K530)</f>
        <v>0</v>
      </c>
      <c r="S530" s="19" t="n">
        <f aca="false">IF(RESET=1,0,S530+N530)</f>
        <v>0</v>
      </c>
      <c r="T530" s="0" t="n">
        <f aca="false">IF(RESET=1,0,T530+IF(H530=0,1,0))</f>
        <v>0</v>
      </c>
      <c r="U530" s="0" t="n">
        <f aca="false">IF(RESET=1,0,U530+H530)</f>
        <v>0</v>
      </c>
      <c r="V530" s="19" t="n">
        <f aca="false">R530/(T530+0.00001)</f>
        <v>0</v>
      </c>
      <c r="W530" s="19" t="n">
        <f aca="false">S530/(U530+0.0001)</f>
        <v>0</v>
      </c>
      <c r="X530" s="47" t="e">
        <f aca="false">IF(Informed=1,K530,0)</f>
        <v>#N/A</v>
      </c>
      <c r="Y530" s="47" t="n">
        <f aca="false">IF(Informed=0,K530,0)</f>
        <v>0</v>
      </c>
      <c r="Z530" s="47" t="e">
        <f aca="false">IF(Informed=1,N530,0)</f>
        <v>#N/A</v>
      </c>
      <c r="AA530" s="47" t="n">
        <f aca="false">IF(Informed=0,N530,0)</f>
        <v>0</v>
      </c>
      <c r="AB530" s="51" t="e">
        <f aca="false">IF(Arterial=0,IF(Informed=1,1,0),0)</f>
        <v>#N/A</v>
      </c>
      <c r="AC530" s="51" t="e">
        <f aca="false">IF(Arterial=0,IF(Informed=0,1,0),0)</f>
        <v>#N/A</v>
      </c>
      <c r="AD530" s="51" t="e">
        <f aca="false">IF(Arterial=1,IF(Informed=1,1,0),0)</f>
        <v>#N/A</v>
      </c>
      <c r="AE530" s="51" t="e">
        <f aca="false">IF(Arterial=1,IF(Informed=0,1,0),0)</f>
        <v>#N/A</v>
      </c>
      <c r="AF530" s="44" t="e">
        <f aca="false">IF(AB530=1,(X530-G$1030)^2,0)</f>
        <v>#N/A</v>
      </c>
      <c r="AG530" s="44" t="e">
        <f aca="false">IF(AC530=1,(Y530-H$1030)^2,0)</f>
        <v>#N/A</v>
      </c>
      <c r="AH530" s="44" t="e">
        <f aca="false">IF(AD530=1,(Z530-I$1030)^2,0)</f>
        <v>#N/A</v>
      </c>
      <c r="AI530" s="44" t="e">
        <f aca="false">IF(AE530=1,(AA530-J$1030)^2,0)</f>
        <v>#N/A</v>
      </c>
    </row>
    <row r="531" customFormat="false" ht="12" hidden="false" customHeight="false" outlineLevel="0" collapsed="false">
      <c r="A531" s="29" t="n">
        <v>514</v>
      </c>
      <c r="B531" s="45" t="n">
        <f aca="true">IF(RAND()&lt;$D$8,1,0)</f>
        <v>1</v>
      </c>
      <c r="C531" s="34" t="n">
        <f aca="true">-LN(RAND())/$D$2</f>
        <v>1.06711755438656</v>
      </c>
      <c r="D531" s="46" t="n">
        <f aca="false">D530+C531</f>
        <v>817.154948924725</v>
      </c>
      <c r="E531" s="47" t="e">
        <f aca="false">MAX($D$3,(1+P530-VLOOKUP(VALUE(D531),$J$18:$Q530,7,TRUE()))*$D$3)</f>
        <v>#N/A</v>
      </c>
      <c r="F531" s="47" t="e">
        <f aca="false">MAX($D$4,(1+Q530-VLOOKUP(VALUE(D531),$M$18:$Q530,5,TRUE()))*$D$4)</f>
        <v>#N/A</v>
      </c>
      <c r="G531" s="48" t="n">
        <v>0.5</v>
      </c>
      <c r="H531" s="46" t="e">
        <f aca="true">IF((B531=1),(IF((F531&lt;E531),1,(IF((F531=E531),(IF(RAND()&lt;G531,1,0)),0)))),(IF((RAND()&lt;G531),1,0)))</f>
        <v>#N/A</v>
      </c>
      <c r="I531" s="46" t="e">
        <f aca="true">IF((H531=1),0,$D$3+$D$5*(RAND()-0.5))</f>
        <v>#N/A</v>
      </c>
      <c r="J531" s="46" t="e">
        <f aca="false">I531+MAX(D531,J530)</f>
        <v>#N/A</v>
      </c>
      <c r="K531" s="46" t="e">
        <f aca="false">IF((H531=0),J531-D531,0)</f>
        <v>#N/A</v>
      </c>
      <c r="L531" s="46" t="e">
        <f aca="true">IF(($H531=0),0,$D$4+$D$5*(RAND()-0.5))</f>
        <v>#N/A</v>
      </c>
      <c r="M531" s="46" t="e">
        <f aca="false">L531+MAX(D531,M530)</f>
        <v>#N/A</v>
      </c>
      <c r="N531" s="46" t="e">
        <f aca="false">IF((H531=1),M531-D531,0)</f>
        <v>#N/A</v>
      </c>
      <c r="O531" s="29" t="n">
        <v>514</v>
      </c>
      <c r="P531" s="49" t="e">
        <f aca="false">IF((Arterial=0),P530+1,P530)</f>
        <v>#N/A</v>
      </c>
      <c r="Q531" s="49" t="e">
        <f aca="false">IF((Arterial=1),Q530+1,Q530)</f>
        <v>#N/A</v>
      </c>
      <c r="R531" s="50" t="n">
        <f aca="false">IF((RESET=1),0,R531+K531)</f>
        <v>0</v>
      </c>
      <c r="S531" s="19" t="n">
        <f aca="false">IF(RESET=1,0,S531+N531)</f>
        <v>0</v>
      </c>
      <c r="T531" s="0" t="n">
        <f aca="false">IF(RESET=1,0,T531+IF(H531=0,1,0))</f>
        <v>0</v>
      </c>
      <c r="U531" s="0" t="n">
        <f aca="false">IF(RESET=1,0,U531+H531)</f>
        <v>0</v>
      </c>
      <c r="V531" s="19" t="n">
        <f aca="false">R531/(T531+0.00001)</f>
        <v>0</v>
      </c>
      <c r="W531" s="19" t="n">
        <f aca="false">S531/(U531+0.0001)</f>
        <v>0</v>
      </c>
      <c r="X531" s="47" t="e">
        <f aca="false">IF(Informed=1,K531,0)</f>
        <v>#N/A</v>
      </c>
      <c r="Y531" s="47" t="n">
        <f aca="false">IF(Informed=0,K531,0)</f>
        <v>0</v>
      </c>
      <c r="Z531" s="47" t="e">
        <f aca="false">IF(Informed=1,N531,0)</f>
        <v>#N/A</v>
      </c>
      <c r="AA531" s="47" t="n">
        <f aca="false">IF(Informed=0,N531,0)</f>
        <v>0</v>
      </c>
      <c r="AB531" s="51" t="e">
        <f aca="false">IF(Arterial=0,IF(Informed=1,1,0),0)</f>
        <v>#N/A</v>
      </c>
      <c r="AC531" s="51" t="e">
        <f aca="false">IF(Arterial=0,IF(Informed=0,1,0),0)</f>
        <v>#N/A</v>
      </c>
      <c r="AD531" s="51" t="e">
        <f aca="false">IF(Arterial=1,IF(Informed=1,1,0),0)</f>
        <v>#N/A</v>
      </c>
      <c r="AE531" s="51" t="e">
        <f aca="false">IF(Arterial=1,IF(Informed=0,1,0),0)</f>
        <v>#N/A</v>
      </c>
      <c r="AF531" s="44" t="e">
        <f aca="false">IF(AB531=1,(X531-G$1030)^2,0)</f>
        <v>#N/A</v>
      </c>
      <c r="AG531" s="44" t="e">
        <f aca="false">IF(AC531=1,(Y531-H$1030)^2,0)</f>
        <v>#N/A</v>
      </c>
      <c r="AH531" s="44" t="e">
        <f aca="false">IF(AD531=1,(Z531-I$1030)^2,0)</f>
        <v>#N/A</v>
      </c>
      <c r="AI531" s="44" t="e">
        <f aca="false">IF(AE531=1,(AA531-J$1030)^2,0)</f>
        <v>#N/A</v>
      </c>
    </row>
    <row r="532" customFormat="false" ht="12" hidden="false" customHeight="false" outlineLevel="0" collapsed="false">
      <c r="A532" s="29" t="n">
        <v>515</v>
      </c>
      <c r="B532" s="45" t="n">
        <f aca="true">IF(RAND()&lt;$D$8,1,0)</f>
        <v>1</v>
      </c>
      <c r="C532" s="34" t="n">
        <f aca="true">-LN(RAND())/$D$2</f>
        <v>3.7413949998219</v>
      </c>
      <c r="D532" s="46" t="n">
        <f aca="false">D531+C532</f>
        <v>820.896343924547</v>
      </c>
      <c r="E532" s="47" t="e">
        <f aca="false">MAX($D$3,(1+P531-VLOOKUP(VALUE(D532),$J$18:$Q531,7,TRUE()))*$D$3)</f>
        <v>#N/A</v>
      </c>
      <c r="F532" s="47" t="e">
        <f aca="false">MAX($D$4,(1+Q531-VLOOKUP(VALUE(D532),$M$18:$Q531,5,TRUE()))*$D$4)</f>
        <v>#N/A</v>
      </c>
      <c r="G532" s="48" t="n">
        <v>0.5</v>
      </c>
      <c r="H532" s="46" t="e">
        <f aca="true">IF((B532=1),(IF((F532&lt;E532),1,(IF((F532=E532),(IF(RAND()&lt;G532,1,0)),0)))),(IF((RAND()&lt;G532),1,0)))</f>
        <v>#N/A</v>
      </c>
      <c r="I532" s="46" t="e">
        <f aca="true">IF((H532=1),0,$D$3+$D$5*(RAND()-0.5))</f>
        <v>#N/A</v>
      </c>
      <c r="J532" s="46" t="e">
        <f aca="false">I532+MAX(D532,J531)</f>
        <v>#N/A</v>
      </c>
      <c r="K532" s="46" t="e">
        <f aca="false">IF((H532=0),J532-D532,0)</f>
        <v>#N/A</v>
      </c>
      <c r="L532" s="46" t="e">
        <f aca="true">IF(($H532=0),0,$D$4+$D$5*(RAND()-0.5))</f>
        <v>#N/A</v>
      </c>
      <c r="M532" s="46" t="e">
        <f aca="false">L532+MAX(D532,M531)</f>
        <v>#N/A</v>
      </c>
      <c r="N532" s="46" t="e">
        <f aca="false">IF((H532=1),M532-D532,0)</f>
        <v>#N/A</v>
      </c>
      <c r="O532" s="29" t="n">
        <v>515</v>
      </c>
      <c r="P532" s="49" t="e">
        <f aca="false">IF((Arterial=0),P531+1,P531)</f>
        <v>#N/A</v>
      </c>
      <c r="Q532" s="49" t="e">
        <f aca="false">IF((Arterial=1),Q531+1,Q531)</f>
        <v>#N/A</v>
      </c>
      <c r="R532" s="50" t="n">
        <f aca="false">IF((RESET=1),0,R532+K532)</f>
        <v>0</v>
      </c>
      <c r="S532" s="19" t="n">
        <f aca="false">IF(RESET=1,0,S532+N532)</f>
        <v>0</v>
      </c>
      <c r="T532" s="0" t="n">
        <f aca="false">IF(RESET=1,0,T532+IF(H532=0,1,0))</f>
        <v>0</v>
      </c>
      <c r="U532" s="0" t="n">
        <f aca="false">IF(RESET=1,0,U532+H532)</f>
        <v>0</v>
      </c>
      <c r="V532" s="19" t="n">
        <f aca="false">R532/(T532+0.00001)</f>
        <v>0</v>
      </c>
      <c r="W532" s="19" t="n">
        <f aca="false">S532/(U532+0.0001)</f>
        <v>0</v>
      </c>
      <c r="X532" s="47" t="e">
        <f aca="false">IF(Informed=1,K532,0)</f>
        <v>#N/A</v>
      </c>
      <c r="Y532" s="47" t="n">
        <f aca="false">IF(Informed=0,K532,0)</f>
        <v>0</v>
      </c>
      <c r="Z532" s="47" t="e">
        <f aca="false">IF(Informed=1,N532,0)</f>
        <v>#N/A</v>
      </c>
      <c r="AA532" s="47" t="n">
        <f aca="false">IF(Informed=0,N532,0)</f>
        <v>0</v>
      </c>
      <c r="AB532" s="51" t="e">
        <f aca="false">IF(Arterial=0,IF(Informed=1,1,0),0)</f>
        <v>#N/A</v>
      </c>
      <c r="AC532" s="51" t="e">
        <f aca="false">IF(Arterial=0,IF(Informed=0,1,0),0)</f>
        <v>#N/A</v>
      </c>
      <c r="AD532" s="51" t="e">
        <f aca="false">IF(Arterial=1,IF(Informed=1,1,0),0)</f>
        <v>#N/A</v>
      </c>
      <c r="AE532" s="51" t="e">
        <f aca="false">IF(Arterial=1,IF(Informed=0,1,0),0)</f>
        <v>#N/A</v>
      </c>
      <c r="AF532" s="44" t="e">
        <f aca="false">IF(AB532=1,(X532-G$1030)^2,0)</f>
        <v>#N/A</v>
      </c>
      <c r="AG532" s="44" t="e">
        <f aca="false">IF(AC532=1,(Y532-H$1030)^2,0)</f>
        <v>#N/A</v>
      </c>
      <c r="AH532" s="44" t="e">
        <f aca="false">IF(AD532=1,(Z532-I$1030)^2,0)</f>
        <v>#N/A</v>
      </c>
      <c r="AI532" s="44" t="e">
        <f aca="false">IF(AE532=1,(AA532-J$1030)^2,0)</f>
        <v>#N/A</v>
      </c>
    </row>
    <row r="533" customFormat="false" ht="12" hidden="false" customHeight="false" outlineLevel="0" collapsed="false">
      <c r="A533" s="29" t="n">
        <v>516</v>
      </c>
      <c r="B533" s="45" t="n">
        <f aca="true">IF(RAND()&lt;$D$8,1,0)</f>
        <v>1</v>
      </c>
      <c r="C533" s="34" t="n">
        <f aca="true">-LN(RAND())/$D$2</f>
        <v>1.31132130029587</v>
      </c>
      <c r="D533" s="46" t="n">
        <f aca="false">D532+C533</f>
        <v>822.207665224843</v>
      </c>
      <c r="E533" s="47" t="e">
        <f aca="false">MAX($D$3,(1+P532-VLOOKUP(VALUE(D533),$J$18:$Q532,7,TRUE()))*$D$3)</f>
        <v>#N/A</v>
      </c>
      <c r="F533" s="47" t="e">
        <f aca="false">MAX($D$4,(1+Q532-VLOOKUP(VALUE(D533),$M$18:$Q532,5,TRUE()))*$D$4)</f>
        <v>#N/A</v>
      </c>
      <c r="G533" s="48" t="n">
        <v>0.5</v>
      </c>
      <c r="H533" s="46" t="e">
        <f aca="true">IF((B533=1),(IF((F533&lt;E533),1,(IF((F533=E533),(IF(RAND()&lt;G533,1,0)),0)))),(IF((RAND()&lt;G533),1,0)))</f>
        <v>#N/A</v>
      </c>
      <c r="I533" s="46" t="e">
        <f aca="true">IF((H533=1),0,$D$3+$D$5*(RAND()-0.5))</f>
        <v>#N/A</v>
      </c>
      <c r="J533" s="46" t="e">
        <f aca="false">I533+MAX(D533,J532)</f>
        <v>#N/A</v>
      </c>
      <c r="K533" s="46" t="e">
        <f aca="false">IF((H533=0),J533-D533,0)</f>
        <v>#N/A</v>
      </c>
      <c r="L533" s="46" t="e">
        <f aca="true">IF(($H533=0),0,$D$4+$D$5*(RAND()-0.5))</f>
        <v>#N/A</v>
      </c>
      <c r="M533" s="46" t="e">
        <f aca="false">L533+MAX(D533,M532)</f>
        <v>#N/A</v>
      </c>
      <c r="N533" s="46" t="e">
        <f aca="false">IF((H533=1),M533-D533,0)</f>
        <v>#N/A</v>
      </c>
      <c r="O533" s="29" t="n">
        <v>516</v>
      </c>
      <c r="P533" s="49" t="e">
        <f aca="false">IF((Arterial=0),P532+1,P532)</f>
        <v>#N/A</v>
      </c>
      <c r="Q533" s="49" t="e">
        <f aca="false">IF((Arterial=1),Q532+1,Q532)</f>
        <v>#N/A</v>
      </c>
      <c r="R533" s="50" t="n">
        <f aca="false">IF((RESET=1),0,R533+K533)</f>
        <v>0</v>
      </c>
      <c r="S533" s="19" t="n">
        <f aca="false">IF(RESET=1,0,S533+N533)</f>
        <v>0</v>
      </c>
      <c r="T533" s="0" t="n">
        <f aca="false">IF(RESET=1,0,T533+IF(H533=0,1,0))</f>
        <v>0</v>
      </c>
      <c r="U533" s="0" t="n">
        <f aca="false">IF(RESET=1,0,U533+H533)</f>
        <v>0</v>
      </c>
      <c r="V533" s="19" t="n">
        <f aca="false">R533/(T533+0.00001)</f>
        <v>0</v>
      </c>
      <c r="W533" s="19" t="n">
        <f aca="false">S533/(U533+0.0001)</f>
        <v>0</v>
      </c>
      <c r="X533" s="47" t="e">
        <f aca="false">IF(Informed=1,K533,0)</f>
        <v>#N/A</v>
      </c>
      <c r="Y533" s="47" t="n">
        <f aca="false">IF(Informed=0,K533,0)</f>
        <v>0</v>
      </c>
      <c r="Z533" s="47" t="e">
        <f aca="false">IF(Informed=1,N533,0)</f>
        <v>#N/A</v>
      </c>
      <c r="AA533" s="47" t="n">
        <f aca="false">IF(Informed=0,N533,0)</f>
        <v>0</v>
      </c>
      <c r="AB533" s="51" t="e">
        <f aca="false">IF(Arterial=0,IF(Informed=1,1,0),0)</f>
        <v>#N/A</v>
      </c>
      <c r="AC533" s="51" t="e">
        <f aca="false">IF(Arterial=0,IF(Informed=0,1,0),0)</f>
        <v>#N/A</v>
      </c>
      <c r="AD533" s="51" t="e">
        <f aca="false">IF(Arterial=1,IF(Informed=1,1,0),0)</f>
        <v>#N/A</v>
      </c>
      <c r="AE533" s="51" t="e">
        <f aca="false">IF(Arterial=1,IF(Informed=0,1,0),0)</f>
        <v>#N/A</v>
      </c>
      <c r="AF533" s="44" t="e">
        <f aca="false">IF(AB533=1,(X533-G$1030)^2,0)</f>
        <v>#N/A</v>
      </c>
      <c r="AG533" s="44" t="e">
        <f aca="false">IF(AC533=1,(Y533-H$1030)^2,0)</f>
        <v>#N/A</v>
      </c>
      <c r="AH533" s="44" t="e">
        <f aca="false">IF(AD533=1,(Z533-I$1030)^2,0)</f>
        <v>#N/A</v>
      </c>
      <c r="AI533" s="44" t="e">
        <f aca="false">IF(AE533=1,(AA533-J$1030)^2,0)</f>
        <v>#N/A</v>
      </c>
    </row>
    <row r="534" customFormat="false" ht="12" hidden="false" customHeight="false" outlineLevel="0" collapsed="false">
      <c r="A534" s="29" t="n">
        <v>517</v>
      </c>
      <c r="B534" s="45" t="n">
        <f aca="true">IF(RAND()&lt;$D$8,1,0)</f>
        <v>1</v>
      </c>
      <c r="C534" s="34" t="n">
        <f aca="true">-LN(RAND())/$D$2</f>
        <v>4.14793444964922</v>
      </c>
      <c r="D534" s="46" t="n">
        <f aca="false">D533+C534</f>
        <v>826.355599674492</v>
      </c>
      <c r="E534" s="47" t="e">
        <f aca="false">MAX($D$3,(1+P533-VLOOKUP(VALUE(D534),$J$18:$Q533,7,TRUE()))*$D$3)</f>
        <v>#N/A</v>
      </c>
      <c r="F534" s="47" t="e">
        <f aca="false">MAX($D$4,(1+Q533-VLOOKUP(VALUE(D534),$M$18:$Q533,5,TRUE()))*$D$4)</f>
        <v>#N/A</v>
      </c>
      <c r="G534" s="48" t="n">
        <v>0.5</v>
      </c>
      <c r="H534" s="46" t="e">
        <f aca="true">IF((B534=1),(IF((F534&lt;E534),1,(IF((F534=E534),(IF(RAND()&lt;G534,1,0)),0)))),(IF((RAND()&lt;G534),1,0)))</f>
        <v>#N/A</v>
      </c>
      <c r="I534" s="46" t="e">
        <f aca="true">IF((H534=1),0,$D$3+$D$5*(RAND()-0.5))</f>
        <v>#N/A</v>
      </c>
      <c r="J534" s="46" t="e">
        <f aca="false">I534+MAX(D534,J533)</f>
        <v>#N/A</v>
      </c>
      <c r="K534" s="46" t="e">
        <f aca="false">IF((H534=0),J534-D534,0)</f>
        <v>#N/A</v>
      </c>
      <c r="L534" s="46" t="e">
        <f aca="true">IF(($H534=0),0,$D$4+$D$5*(RAND()-0.5))</f>
        <v>#N/A</v>
      </c>
      <c r="M534" s="46" t="e">
        <f aca="false">L534+MAX(D534,M533)</f>
        <v>#N/A</v>
      </c>
      <c r="N534" s="46" t="e">
        <f aca="false">IF((H534=1),M534-D534,0)</f>
        <v>#N/A</v>
      </c>
      <c r="O534" s="29" t="n">
        <v>517</v>
      </c>
      <c r="P534" s="49" t="e">
        <f aca="false">IF((Arterial=0),P533+1,P533)</f>
        <v>#N/A</v>
      </c>
      <c r="Q534" s="49" t="e">
        <f aca="false">IF((Arterial=1),Q533+1,Q533)</f>
        <v>#N/A</v>
      </c>
      <c r="R534" s="50" t="n">
        <f aca="false">IF((RESET=1),0,R534+K534)</f>
        <v>0</v>
      </c>
      <c r="S534" s="19" t="n">
        <f aca="false">IF(RESET=1,0,S534+N534)</f>
        <v>0</v>
      </c>
      <c r="T534" s="0" t="n">
        <f aca="false">IF(RESET=1,0,T534+IF(H534=0,1,0))</f>
        <v>0</v>
      </c>
      <c r="U534" s="0" t="n">
        <f aca="false">IF(RESET=1,0,U534+H534)</f>
        <v>0</v>
      </c>
      <c r="V534" s="19" t="n">
        <f aca="false">R534/(T534+0.00001)</f>
        <v>0</v>
      </c>
      <c r="W534" s="19" t="n">
        <f aca="false">S534/(U534+0.0001)</f>
        <v>0</v>
      </c>
      <c r="X534" s="47" t="e">
        <f aca="false">IF(Informed=1,K534,0)</f>
        <v>#N/A</v>
      </c>
      <c r="Y534" s="47" t="n">
        <f aca="false">IF(Informed=0,K534,0)</f>
        <v>0</v>
      </c>
      <c r="Z534" s="47" t="e">
        <f aca="false">IF(Informed=1,N534,0)</f>
        <v>#N/A</v>
      </c>
      <c r="AA534" s="47" t="n">
        <f aca="false">IF(Informed=0,N534,0)</f>
        <v>0</v>
      </c>
      <c r="AB534" s="51" t="e">
        <f aca="false">IF(Arterial=0,IF(Informed=1,1,0),0)</f>
        <v>#N/A</v>
      </c>
      <c r="AC534" s="51" t="e">
        <f aca="false">IF(Arterial=0,IF(Informed=0,1,0),0)</f>
        <v>#N/A</v>
      </c>
      <c r="AD534" s="51" t="e">
        <f aca="false">IF(Arterial=1,IF(Informed=1,1,0),0)</f>
        <v>#N/A</v>
      </c>
      <c r="AE534" s="51" t="e">
        <f aca="false">IF(Arterial=1,IF(Informed=0,1,0),0)</f>
        <v>#N/A</v>
      </c>
      <c r="AF534" s="44" t="e">
        <f aca="false">IF(AB534=1,(X534-G$1030)^2,0)</f>
        <v>#N/A</v>
      </c>
      <c r="AG534" s="44" t="e">
        <f aca="false">IF(AC534=1,(Y534-H$1030)^2,0)</f>
        <v>#N/A</v>
      </c>
      <c r="AH534" s="44" t="e">
        <f aca="false">IF(AD534=1,(Z534-I$1030)^2,0)</f>
        <v>#N/A</v>
      </c>
      <c r="AI534" s="44" t="e">
        <f aca="false">IF(AE534=1,(AA534-J$1030)^2,0)</f>
        <v>#N/A</v>
      </c>
    </row>
    <row r="535" customFormat="false" ht="12" hidden="false" customHeight="false" outlineLevel="0" collapsed="false">
      <c r="A535" s="29" t="n">
        <v>518</v>
      </c>
      <c r="B535" s="45" t="n">
        <f aca="true">IF(RAND()&lt;$D$8,1,0)</f>
        <v>1</v>
      </c>
      <c r="C535" s="34" t="n">
        <f aca="true">-LN(RAND())/$D$2</f>
        <v>0.852541481427289</v>
      </c>
      <c r="D535" s="46" t="n">
        <f aca="false">D534+C535</f>
        <v>827.208141155919</v>
      </c>
      <c r="E535" s="47" t="e">
        <f aca="false">MAX($D$3,(1+P534-VLOOKUP(VALUE(D535),$J$18:$Q534,7,TRUE()))*$D$3)</f>
        <v>#N/A</v>
      </c>
      <c r="F535" s="47" t="e">
        <f aca="false">MAX($D$4,(1+Q534-VLOOKUP(VALUE(D535),$M$18:$Q534,5,TRUE()))*$D$4)</f>
        <v>#N/A</v>
      </c>
      <c r="G535" s="48" t="n">
        <v>0.5</v>
      </c>
      <c r="H535" s="46" t="e">
        <f aca="true">IF((B535=1),(IF((F535&lt;E535),1,(IF((F535=E535),(IF(RAND()&lt;G535,1,0)),0)))),(IF((RAND()&lt;G535),1,0)))</f>
        <v>#N/A</v>
      </c>
      <c r="I535" s="46" t="e">
        <f aca="true">IF((H535=1),0,$D$3+$D$5*(RAND()-0.5))</f>
        <v>#N/A</v>
      </c>
      <c r="J535" s="46" t="e">
        <f aca="false">I535+MAX(D535,J534)</f>
        <v>#N/A</v>
      </c>
      <c r="K535" s="46" t="e">
        <f aca="false">IF((H535=0),J535-D535,0)</f>
        <v>#N/A</v>
      </c>
      <c r="L535" s="46" t="e">
        <f aca="true">IF(($H535=0),0,$D$4+$D$5*(RAND()-0.5))</f>
        <v>#N/A</v>
      </c>
      <c r="M535" s="46" t="e">
        <f aca="false">L535+MAX(D535,M534)</f>
        <v>#N/A</v>
      </c>
      <c r="N535" s="46" t="e">
        <f aca="false">IF((H535=1),M535-D535,0)</f>
        <v>#N/A</v>
      </c>
      <c r="O535" s="29" t="n">
        <v>518</v>
      </c>
      <c r="P535" s="49" t="e">
        <f aca="false">IF((Arterial=0),P534+1,P534)</f>
        <v>#N/A</v>
      </c>
      <c r="Q535" s="49" t="e">
        <f aca="false">IF((Arterial=1),Q534+1,Q534)</f>
        <v>#N/A</v>
      </c>
      <c r="R535" s="50" t="n">
        <f aca="false">IF((RESET=1),0,R535+K535)</f>
        <v>0</v>
      </c>
      <c r="S535" s="19" t="n">
        <f aca="false">IF(RESET=1,0,S535+N535)</f>
        <v>0</v>
      </c>
      <c r="T535" s="0" t="n">
        <f aca="false">IF(RESET=1,0,T535+IF(H535=0,1,0))</f>
        <v>0</v>
      </c>
      <c r="U535" s="0" t="n">
        <f aca="false">IF(RESET=1,0,U535+H535)</f>
        <v>0</v>
      </c>
      <c r="V535" s="19" t="n">
        <f aca="false">R535/(T535+0.00001)</f>
        <v>0</v>
      </c>
      <c r="W535" s="19" t="n">
        <f aca="false">S535/(U535+0.0001)</f>
        <v>0</v>
      </c>
      <c r="X535" s="47" t="e">
        <f aca="false">IF(Informed=1,K535,0)</f>
        <v>#N/A</v>
      </c>
      <c r="Y535" s="47" t="n">
        <f aca="false">IF(Informed=0,K535,0)</f>
        <v>0</v>
      </c>
      <c r="Z535" s="47" t="e">
        <f aca="false">IF(Informed=1,N535,0)</f>
        <v>#N/A</v>
      </c>
      <c r="AA535" s="47" t="n">
        <f aca="false">IF(Informed=0,N535,0)</f>
        <v>0</v>
      </c>
      <c r="AB535" s="51" t="e">
        <f aca="false">IF(Arterial=0,IF(Informed=1,1,0),0)</f>
        <v>#N/A</v>
      </c>
      <c r="AC535" s="51" t="e">
        <f aca="false">IF(Arterial=0,IF(Informed=0,1,0),0)</f>
        <v>#N/A</v>
      </c>
      <c r="AD535" s="51" t="e">
        <f aca="false">IF(Arterial=1,IF(Informed=1,1,0),0)</f>
        <v>#N/A</v>
      </c>
      <c r="AE535" s="51" t="e">
        <f aca="false">IF(Arterial=1,IF(Informed=0,1,0),0)</f>
        <v>#N/A</v>
      </c>
      <c r="AF535" s="44" t="e">
        <f aca="false">IF(AB535=1,(X535-G$1030)^2,0)</f>
        <v>#N/A</v>
      </c>
      <c r="AG535" s="44" t="e">
        <f aca="false">IF(AC535=1,(Y535-H$1030)^2,0)</f>
        <v>#N/A</v>
      </c>
      <c r="AH535" s="44" t="e">
        <f aca="false">IF(AD535=1,(Z535-I$1030)^2,0)</f>
        <v>#N/A</v>
      </c>
      <c r="AI535" s="44" t="e">
        <f aca="false">IF(AE535=1,(AA535-J$1030)^2,0)</f>
        <v>#N/A</v>
      </c>
    </row>
    <row r="536" customFormat="false" ht="12" hidden="false" customHeight="false" outlineLevel="0" collapsed="false">
      <c r="A536" s="29" t="n">
        <v>519</v>
      </c>
      <c r="B536" s="45" t="n">
        <f aca="true">IF(RAND()&lt;$D$8,1,0)</f>
        <v>1</v>
      </c>
      <c r="C536" s="34" t="n">
        <f aca="true">-LN(RAND())/$D$2</f>
        <v>0.686839496898149</v>
      </c>
      <c r="D536" s="46" t="n">
        <f aca="false">D535+C536</f>
        <v>827.894980652818</v>
      </c>
      <c r="E536" s="47" t="e">
        <f aca="false">MAX($D$3,(1+P535-VLOOKUP(VALUE(D536),$J$18:$Q535,7,TRUE()))*$D$3)</f>
        <v>#N/A</v>
      </c>
      <c r="F536" s="47" t="e">
        <f aca="false">MAX($D$4,(1+Q535-VLOOKUP(VALUE(D536),$M$18:$Q535,5,TRUE()))*$D$4)</f>
        <v>#N/A</v>
      </c>
      <c r="G536" s="48" t="n">
        <v>0.5</v>
      </c>
      <c r="H536" s="46" t="e">
        <f aca="true">IF((B536=1),(IF((F536&lt;E536),1,(IF((F536=E536),(IF(RAND()&lt;G536,1,0)),0)))),(IF((RAND()&lt;G536),1,0)))</f>
        <v>#N/A</v>
      </c>
      <c r="I536" s="46" t="e">
        <f aca="true">IF((H536=1),0,$D$3+$D$5*(RAND()-0.5))</f>
        <v>#N/A</v>
      </c>
      <c r="J536" s="46" t="e">
        <f aca="false">I536+MAX(D536,J535)</f>
        <v>#N/A</v>
      </c>
      <c r="K536" s="46" t="e">
        <f aca="false">IF((H536=0),J536-D536,0)</f>
        <v>#N/A</v>
      </c>
      <c r="L536" s="46" t="e">
        <f aca="true">IF(($H536=0),0,$D$4+$D$5*(RAND()-0.5))</f>
        <v>#N/A</v>
      </c>
      <c r="M536" s="46" t="e">
        <f aca="false">L536+MAX(D536,M535)</f>
        <v>#N/A</v>
      </c>
      <c r="N536" s="46" t="e">
        <f aca="false">IF((H536=1),M536-D536,0)</f>
        <v>#N/A</v>
      </c>
      <c r="O536" s="29" t="n">
        <v>519</v>
      </c>
      <c r="P536" s="49" t="e">
        <f aca="false">IF((Arterial=0),P535+1,P535)</f>
        <v>#N/A</v>
      </c>
      <c r="Q536" s="49" t="e">
        <f aca="false">IF((Arterial=1),Q535+1,Q535)</f>
        <v>#N/A</v>
      </c>
      <c r="R536" s="50" t="n">
        <f aca="false">IF((RESET=1),0,R536+K536)</f>
        <v>0</v>
      </c>
      <c r="S536" s="19" t="n">
        <f aca="false">IF(RESET=1,0,S536+N536)</f>
        <v>0</v>
      </c>
      <c r="T536" s="0" t="n">
        <f aca="false">IF(RESET=1,0,T536+IF(H536=0,1,0))</f>
        <v>0</v>
      </c>
      <c r="U536" s="0" t="n">
        <f aca="false">IF(RESET=1,0,U536+H536)</f>
        <v>0</v>
      </c>
      <c r="V536" s="19" t="n">
        <f aca="false">R536/(T536+0.00001)</f>
        <v>0</v>
      </c>
      <c r="W536" s="19" t="n">
        <f aca="false">S536/(U536+0.0001)</f>
        <v>0</v>
      </c>
      <c r="X536" s="47" t="e">
        <f aca="false">IF(Informed=1,K536,0)</f>
        <v>#N/A</v>
      </c>
      <c r="Y536" s="47" t="n">
        <f aca="false">IF(Informed=0,K536,0)</f>
        <v>0</v>
      </c>
      <c r="Z536" s="47" t="e">
        <f aca="false">IF(Informed=1,N536,0)</f>
        <v>#N/A</v>
      </c>
      <c r="AA536" s="47" t="n">
        <f aca="false">IF(Informed=0,N536,0)</f>
        <v>0</v>
      </c>
      <c r="AB536" s="51" t="e">
        <f aca="false">IF(Arterial=0,IF(Informed=1,1,0),0)</f>
        <v>#N/A</v>
      </c>
      <c r="AC536" s="51" t="e">
        <f aca="false">IF(Arterial=0,IF(Informed=0,1,0),0)</f>
        <v>#N/A</v>
      </c>
      <c r="AD536" s="51" t="e">
        <f aca="false">IF(Arterial=1,IF(Informed=1,1,0),0)</f>
        <v>#N/A</v>
      </c>
      <c r="AE536" s="51" t="e">
        <f aca="false">IF(Arterial=1,IF(Informed=0,1,0),0)</f>
        <v>#N/A</v>
      </c>
      <c r="AF536" s="44" t="e">
        <f aca="false">IF(AB536=1,(X536-G$1030)^2,0)</f>
        <v>#N/A</v>
      </c>
      <c r="AG536" s="44" t="e">
        <f aca="false">IF(AC536=1,(Y536-H$1030)^2,0)</f>
        <v>#N/A</v>
      </c>
      <c r="AH536" s="44" t="e">
        <f aca="false">IF(AD536=1,(Z536-I$1030)^2,0)</f>
        <v>#N/A</v>
      </c>
      <c r="AI536" s="44" t="e">
        <f aca="false">IF(AE536=1,(AA536-J$1030)^2,0)</f>
        <v>#N/A</v>
      </c>
    </row>
    <row r="537" customFormat="false" ht="12" hidden="false" customHeight="false" outlineLevel="0" collapsed="false">
      <c r="A537" s="29" t="n">
        <v>520</v>
      </c>
      <c r="B537" s="45" t="n">
        <f aca="true">IF(RAND()&lt;$D$8,1,0)</f>
        <v>1</v>
      </c>
      <c r="C537" s="34" t="n">
        <f aca="true">-LN(RAND())/$D$2</f>
        <v>0.913522317231517</v>
      </c>
      <c r="D537" s="46" t="n">
        <f aca="false">D536+C537</f>
        <v>828.808502970049</v>
      </c>
      <c r="E537" s="47" t="e">
        <f aca="false">MAX($D$3,(1+P536-VLOOKUP(VALUE(D537),$J$18:$Q536,7,TRUE()))*$D$3)</f>
        <v>#N/A</v>
      </c>
      <c r="F537" s="47" t="e">
        <f aca="false">MAX($D$4,(1+Q536-VLOOKUP(VALUE(D537),$M$18:$Q536,5,TRUE()))*$D$4)</f>
        <v>#N/A</v>
      </c>
      <c r="G537" s="48" t="n">
        <v>0.5</v>
      </c>
      <c r="H537" s="46" t="e">
        <f aca="true">IF((B537=1),(IF((F537&lt;E537),1,(IF((F537=E537),(IF(RAND()&lt;G537,1,0)),0)))),(IF((RAND()&lt;G537),1,0)))</f>
        <v>#N/A</v>
      </c>
      <c r="I537" s="46" t="e">
        <f aca="true">IF((H537=1),0,$D$3+$D$5*(RAND()-0.5))</f>
        <v>#N/A</v>
      </c>
      <c r="J537" s="46" t="e">
        <f aca="false">I537+MAX(D537,J536)</f>
        <v>#N/A</v>
      </c>
      <c r="K537" s="46" t="e">
        <f aca="false">IF((H537=0),J537-D537,0)</f>
        <v>#N/A</v>
      </c>
      <c r="L537" s="46" t="e">
        <f aca="true">IF(($H537=0),0,$D$4+$D$5*(RAND()-0.5))</f>
        <v>#N/A</v>
      </c>
      <c r="M537" s="46" t="e">
        <f aca="false">L537+MAX(D537,M536)</f>
        <v>#N/A</v>
      </c>
      <c r="N537" s="46" t="e">
        <f aca="false">IF((H537=1),M537-D537,0)</f>
        <v>#N/A</v>
      </c>
      <c r="O537" s="29" t="n">
        <v>520</v>
      </c>
      <c r="P537" s="49" t="e">
        <f aca="false">IF((Arterial=0),P536+1,P536)</f>
        <v>#N/A</v>
      </c>
      <c r="Q537" s="49" t="e">
        <f aca="false">IF((Arterial=1),Q536+1,Q536)</f>
        <v>#N/A</v>
      </c>
      <c r="R537" s="50" t="n">
        <f aca="false">IF((RESET=1),0,R537+K537)</f>
        <v>0</v>
      </c>
      <c r="S537" s="19" t="n">
        <f aca="false">IF(RESET=1,0,S537+N537)</f>
        <v>0</v>
      </c>
      <c r="T537" s="0" t="n">
        <f aca="false">IF(RESET=1,0,T537+IF(H537=0,1,0))</f>
        <v>0</v>
      </c>
      <c r="U537" s="0" t="n">
        <f aca="false">IF(RESET=1,0,U537+H537)</f>
        <v>0</v>
      </c>
      <c r="V537" s="19" t="n">
        <f aca="false">R537/(T537+0.00001)</f>
        <v>0</v>
      </c>
      <c r="W537" s="19" t="n">
        <f aca="false">S537/(U537+0.0001)</f>
        <v>0</v>
      </c>
      <c r="X537" s="47" t="e">
        <f aca="false">IF(Informed=1,K537,0)</f>
        <v>#N/A</v>
      </c>
      <c r="Y537" s="47" t="n">
        <f aca="false">IF(Informed=0,K537,0)</f>
        <v>0</v>
      </c>
      <c r="Z537" s="47" t="e">
        <f aca="false">IF(Informed=1,N537,0)</f>
        <v>#N/A</v>
      </c>
      <c r="AA537" s="47" t="n">
        <f aca="false">IF(Informed=0,N537,0)</f>
        <v>0</v>
      </c>
      <c r="AB537" s="51" t="e">
        <f aca="false">IF(Arterial=0,IF(Informed=1,1,0),0)</f>
        <v>#N/A</v>
      </c>
      <c r="AC537" s="51" t="e">
        <f aca="false">IF(Arterial=0,IF(Informed=0,1,0),0)</f>
        <v>#N/A</v>
      </c>
      <c r="AD537" s="51" t="e">
        <f aca="false">IF(Arterial=1,IF(Informed=1,1,0),0)</f>
        <v>#N/A</v>
      </c>
      <c r="AE537" s="51" t="e">
        <f aca="false">IF(Arterial=1,IF(Informed=0,1,0),0)</f>
        <v>#N/A</v>
      </c>
      <c r="AF537" s="44" t="e">
        <f aca="false">IF(AB537=1,(X537-G$1030)^2,0)</f>
        <v>#N/A</v>
      </c>
      <c r="AG537" s="44" t="e">
        <f aca="false">IF(AC537=1,(Y537-H$1030)^2,0)</f>
        <v>#N/A</v>
      </c>
      <c r="AH537" s="44" t="e">
        <f aca="false">IF(AD537=1,(Z537-I$1030)^2,0)</f>
        <v>#N/A</v>
      </c>
      <c r="AI537" s="44" t="e">
        <f aca="false">IF(AE537=1,(AA537-J$1030)^2,0)</f>
        <v>#N/A</v>
      </c>
    </row>
    <row r="538" customFormat="false" ht="12" hidden="false" customHeight="false" outlineLevel="0" collapsed="false">
      <c r="A538" s="29" t="n">
        <v>521</v>
      </c>
      <c r="B538" s="45" t="n">
        <f aca="true">IF(RAND()&lt;$D$8,1,0)</f>
        <v>1</v>
      </c>
      <c r="C538" s="34" t="n">
        <f aca="true">-LN(RAND())/$D$2</f>
        <v>0.970490128077004</v>
      </c>
      <c r="D538" s="46" t="n">
        <f aca="false">D537+C538</f>
        <v>829.778993098126</v>
      </c>
      <c r="E538" s="47" t="e">
        <f aca="false">MAX($D$3,(1+P537-VLOOKUP(VALUE(D538),$J$18:$Q537,7,TRUE()))*$D$3)</f>
        <v>#N/A</v>
      </c>
      <c r="F538" s="47" t="e">
        <f aca="false">MAX($D$4,(1+Q537-VLOOKUP(VALUE(D538),$M$18:$Q537,5,TRUE()))*$D$4)</f>
        <v>#N/A</v>
      </c>
      <c r="G538" s="48" t="n">
        <v>0.5</v>
      </c>
      <c r="H538" s="46" t="e">
        <f aca="true">IF((B538=1),(IF((F538&lt;E538),1,(IF((F538=E538),(IF(RAND()&lt;G538,1,0)),0)))),(IF((RAND()&lt;G538),1,0)))</f>
        <v>#N/A</v>
      </c>
      <c r="I538" s="46" t="e">
        <f aca="true">IF((H538=1),0,$D$3+$D$5*(RAND()-0.5))</f>
        <v>#N/A</v>
      </c>
      <c r="J538" s="46" t="e">
        <f aca="false">I538+MAX(D538,J537)</f>
        <v>#N/A</v>
      </c>
      <c r="K538" s="46" t="e">
        <f aca="false">IF((H538=0),J538-D538,0)</f>
        <v>#N/A</v>
      </c>
      <c r="L538" s="46" t="e">
        <f aca="true">IF(($H538=0),0,$D$4+$D$5*(RAND()-0.5))</f>
        <v>#N/A</v>
      </c>
      <c r="M538" s="46" t="e">
        <f aca="false">L538+MAX(D538,M537)</f>
        <v>#N/A</v>
      </c>
      <c r="N538" s="46" t="e">
        <f aca="false">IF((H538=1),M538-D538,0)</f>
        <v>#N/A</v>
      </c>
      <c r="O538" s="29" t="n">
        <v>521</v>
      </c>
      <c r="P538" s="49" t="e">
        <f aca="false">IF((Arterial=0),P537+1,P537)</f>
        <v>#N/A</v>
      </c>
      <c r="Q538" s="49" t="e">
        <f aca="false">IF((Arterial=1),Q537+1,Q537)</f>
        <v>#N/A</v>
      </c>
      <c r="R538" s="50" t="n">
        <f aca="false">IF((RESET=1),0,R538+K538)</f>
        <v>0</v>
      </c>
      <c r="S538" s="19" t="n">
        <f aca="false">IF(RESET=1,0,S538+N538)</f>
        <v>0</v>
      </c>
      <c r="T538" s="0" t="n">
        <f aca="false">IF(RESET=1,0,T538+IF(H538=0,1,0))</f>
        <v>0</v>
      </c>
      <c r="U538" s="0" t="n">
        <f aca="false">IF(RESET=1,0,U538+H538)</f>
        <v>0</v>
      </c>
      <c r="V538" s="19" t="n">
        <f aca="false">R538/(T538+0.00001)</f>
        <v>0</v>
      </c>
      <c r="W538" s="19" t="n">
        <f aca="false">S538/(U538+0.0001)</f>
        <v>0</v>
      </c>
      <c r="X538" s="47" t="e">
        <f aca="false">IF(Informed=1,K538,0)</f>
        <v>#N/A</v>
      </c>
      <c r="Y538" s="47" t="n">
        <f aca="false">IF(Informed=0,K538,0)</f>
        <v>0</v>
      </c>
      <c r="Z538" s="47" t="e">
        <f aca="false">IF(Informed=1,N538,0)</f>
        <v>#N/A</v>
      </c>
      <c r="AA538" s="47" t="n">
        <f aca="false">IF(Informed=0,N538,0)</f>
        <v>0</v>
      </c>
      <c r="AB538" s="51" t="e">
        <f aca="false">IF(Arterial=0,IF(Informed=1,1,0),0)</f>
        <v>#N/A</v>
      </c>
      <c r="AC538" s="51" t="e">
        <f aca="false">IF(Arterial=0,IF(Informed=0,1,0),0)</f>
        <v>#N/A</v>
      </c>
      <c r="AD538" s="51" t="e">
        <f aca="false">IF(Arterial=1,IF(Informed=1,1,0),0)</f>
        <v>#N/A</v>
      </c>
      <c r="AE538" s="51" t="e">
        <f aca="false">IF(Arterial=1,IF(Informed=0,1,0),0)</f>
        <v>#N/A</v>
      </c>
      <c r="AF538" s="44" t="e">
        <f aca="false">IF(AB538=1,(X538-G$1030)^2,0)</f>
        <v>#N/A</v>
      </c>
      <c r="AG538" s="44" t="e">
        <f aca="false">IF(AC538=1,(Y538-H$1030)^2,0)</f>
        <v>#N/A</v>
      </c>
      <c r="AH538" s="44" t="e">
        <f aca="false">IF(AD538=1,(Z538-I$1030)^2,0)</f>
        <v>#N/A</v>
      </c>
      <c r="AI538" s="44" t="e">
        <f aca="false">IF(AE538=1,(AA538-J$1030)^2,0)</f>
        <v>#N/A</v>
      </c>
    </row>
    <row r="539" customFormat="false" ht="12" hidden="false" customHeight="false" outlineLevel="0" collapsed="false">
      <c r="A539" s="29" t="n">
        <v>522</v>
      </c>
      <c r="B539" s="45" t="n">
        <f aca="true">IF(RAND()&lt;$D$8,1,0)</f>
        <v>1</v>
      </c>
      <c r="C539" s="34" t="n">
        <f aca="true">-LN(RAND())/$D$2</f>
        <v>1.46081208564727</v>
      </c>
      <c r="D539" s="46" t="n">
        <f aca="false">D538+C539</f>
        <v>831.239805183773</v>
      </c>
      <c r="E539" s="47" t="e">
        <f aca="false">MAX($D$3,(1+P538-VLOOKUP(VALUE(D539),$J$18:$Q538,7,TRUE()))*$D$3)</f>
        <v>#N/A</v>
      </c>
      <c r="F539" s="47" t="e">
        <f aca="false">MAX($D$4,(1+Q538-VLOOKUP(VALUE(D539),$M$18:$Q538,5,TRUE()))*$D$4)</f>
        <v>#N/A</v>
      </c>
      <c r="G539" s="48" t="n">
        <v>0.5</v>
      </c>
      <c r="H539" s="46" t="e">
        <f aca="true">IF((B539=1),(IF((F539&lt;E539),1,(IF((F539=E539),(IF(RAND()&lt;G539,1,0)),0)))),(IF((RAND()&lt;G539),1,0)))</f>
        <v>#N/A</v>
      </c>
      <c r="I539" s="46" t="e">
        <f aca="true">IF((H539=1),0,$D$3+$D$5*(RAND()-0.5))</f>
        <v>#N/A</v>
      </c>
      <c r="J539" s="46" t="e">
        <f aca="false">I539+MAX(D539,J538)</f>
        <v>#N/A</v>
      </c>
      <c r="K539" s="46" t="e">
        <f aca="false">IF((H539=0),J539-D539,0)</f>
        <v>#N/A</v>
      </c>
      <c r="L539" s="46" t="e">
        <f aca="true">IF(($H539=0),0,$D$4+$D$5*(RAND()-0.5))</f>
        <v>#N/A</v>
      </c>
      <c r="M539" s="46" t="e">
        <f aca="false">L539+MAX(D539,M538)</f>
        <v>#N/A</v>
      </c>
      <c r="N539" s="46" t="e">
        <f aca="false">IF((H539=1),M539-D539,0)</f>
        <v>#N/A</v>
      </c>
      <c r="O539" s="29" t="n">
        <v>522</v>
      </c>
      <c r="P539" s="49" t="e">
        <f aca="false">IF((Arterial=0),P538+1,P538)</f>
        <v>#N/A</v>
      </c>
      <c r="Q539" s="49" t="e">
        <f aca="false">IF((Arterial=1),Q538+1,Q538)</f>
        <v>#N/A</v>
      </c>
      <c r="R539" s="50" t="n">
        <f aca="false">IF((RESET=1),0,R539+K539)</f>
        <v>0</v>
      </c>
      <c r="S539" s="19" t="n">
        <f aca="false">IF(RESET=1,0,S539+N539)</f>
        <v>0</v>
      </c>
      <c r="T539" s="0" t="n">
        <f aca="false">IF(RESET=1,0,T539+IF(H539=0,1,0))</f>
        <v>0</v>
      </c>
      <c r="U539" s="0" t="n">
        <f aca="false">IF(RESET=1,0,U539+H539)</f>
        <v>0</v>
      </c>
      <c r="V539" s="19" t="n">
        <f aca="false">R539/(T539+0.00001)</f>
        <v>0</v>
      </c>
      <c r="W539" s="19" t="n">
        <f aca="false">S539/(U539+0.0001)</f>
        <v>0</v>
      </c>
      <c r="X539" s="47" t="e">
        <f aca="false">IF(Informed=1,K539,0)</f>
        <v>#N/A</v>
      </c>
      <c r="Y539" s="47" t="n">
        <f aca="false">IF(Informed=0,K539,0)</f>
        <v>0</v>
      </c>
      <c r="Z539" s="47" t="e">
        <f aca="false">IF(Informed=1,N539,0)</f>
        <v>#N/A</v>
      </c>
      <c r="AA539" s="47" t="n">
        <f aca="false">IF(Informed=0,N539,0)</f>
        <v>0</v>
      </c>
      <c r="AB539" s="51" t="e">
        <f aca="false">IF(Arterial=0,IF(Informed=1,1,0),0)</f>
        <v>#N/A</v>
      </c>
      <c r="AC539" s="51" t="e">
        <f aca="false">IF(Arterial=0,IF(Informed=0,1,0),0)</f>
        <v>#N/A</v>
      </c>
      <c r="AD539" s="51" t="e">
        <f aca="false">IF(Arterial=1,IF(Informed=1,1,0),0)</f>
        <v>#N/A</v>
      </c>
      <c r="AE539" s="51" t="e">
        <f aca="false">IF(Arterial=1,IF(Informed=0,1,0),0)</f>
        <v>#N/A</v>
      </c>
      <c r="AF539" s="44" t="e">
        <f aca="false">IF(AB539=1,(X539-G$1030)^2,0)</f>
        <v>#N/A</v>
      </c>
      <c r="AG539" s="44" t="e">
        <f aca="false">IF(AC539=1,(Y539-H$1030)^2,0)</f>
        <v>#N/A</v>
      </c>
      <c r="AH539" s="44" t="e">
        <f aca="false">IF(AD539=1,(Z539-I$1030)^2,0)</f>
        <v>#N/A</v>
      </c>
      <c r="AI539" s="44" t="e">
        <f aca="false">IF(AE539=1,(AA539-J$1030)^2,0)</f>
        <v>#N/A</v>
      </c>
    </row>
    <row r="540" customFormat="false" ht="12" hidden="false" customHeight="false" outlineLevel="0" collapsed="false">
      <c r="A540" s="29" t="n">
        <v>523</v>
      </c>
      <c r="B540" s="45" t="n">
        <f aca="true">IF(RAND()&lt;$D$8,1,0)</f>
        <v>1</v>
      </c>
      <c r="C540" s="34" t="n">
        <f aca="true">-LN(RAND())/$D$2</f>
        <v>0.171518583385399</v>
      </c>
      <c r="D540" s="46" t="n">
        <f aca="false">D539+C540</f>
        <v>831.411323767159</v>
      </c>
      <c r="E540" s="47" t="e">
        <f aca="false">MAX($D$3,(1+P539-VLOOKUP(VALUE(D540),$J$18:$Q539,7,TRUE()))*$D$3)</f>
        <v>#N/A</v>
      </c>
      <c r="F540" s="47" t="e">
        <f aca="false">MAX($D$4,(1+Q539-VLOOKUP(VALUE(D540),$M$18:$Q539,5,TRUE()))*$D$4)</f>
        <v>#N/A</v>
      </c>
      <c r="G540" s="48" t="n">
        <v>0.5</v>
      </c>
      <c r="H540" s="46" t="e">
        <f aca="true">IF((B540=1),(IF((F540&lt;E540),1,(IF((F540=E540),(IF(RAND()&lt;G540,1,0)),0)))),(IF((RAND()&lt;G540),1,0)))</f>
        <v>#N/A</v>
      </c>
      <c r="I540" s="46" t="e">
        <f aca="true">IF((H540=1),0,$D$3+$D$5*(RAND()-0.5))</f>
        <v>#N/A</v>
      </c>
      <c r="J540" s="46" t="e">
        <f aca="false">I540+MAX(D540,J539)</f>
        <v>#N/A</v>
      </c>
      <c r="K540" s="46" t="e">
        <f aca="false">IF((H540=0),J540-D540,0)</f>
        <v>#N/A</v>
      </c>
      <c r="L540" s="46" t="e">
        <f aca="true">IF(($H540=0),0,$D$4+$D$5*(RAND()-0.5))</f>
        <v>#N/A</v>
      </c>
      <c r="M540" s="46" t="e">
        <f aca="false">L540+MAX(D540,M539)</f>
        <v>#N/A</v>
      </c>
      <c r="N540" s="46" t="e">
        <f aca="false">IF((H540=1),M540-D540,0)</f>
        <v>#N/A</v>
      </c>
      <c r="O540" s="29" t="n">
        <v>523</v>
      </c>
      <c r="P540" s="49" t="e">
        <f aca="false">IF((Arterial=0),P539+1,P539)</f>
        <v>#N/A</v>
      </c>
      <c r="Q540" s="49" t="e">
        <f aca="false">IF((Arterial=1),Q539+1,Q539)</f>
        <v>#N/A</v>
      </c>
      <c r="R540" s="50" t="n">
        <f aca="false">IF((RESET=1),0,R540+K540)</f>
        <v>0</v>
      </c>
      <c r="S540" s="19" t="n">
        <f aca="false">IF(RESET=1,0,S540+N540)</f>
        <v>0</v>
      </c>
      <c r="T540" s="0" t="n">
        <f aca="false">IF(RESET=1,0,T540+IF(H540=0,1,0))</f>
        <v>0</v>
      </c>
      <c r="U540" s="0" t="n">
        <f aca="false">IF(RESET=1,0,U540+H540)</f>
        <v>0</v>
      </c>
      <c r="V540" s="19" t="n">
        <f aca="false">R540/(T540+0.00001)</f>
        <v>0</v>
      </c>
      <c r="W540" s="19" t="n">
        <f aca="false">S540/(U540+0.0001)</f>
        <v>0</v>
      </c>
      <c r="X540" s="47" t="e">
        <f aca="false">IF(Informed=1,K540,0)</f>
        <v>#N/A</v>
      </c>
      <c r="Y540" s="47" t="n">
        <f aca="false">IF(Informed=0,K540,0)</f>
        <v>0</v>
      </c>
      <c r="Z540" s="47" t="e">
        <f aca="false">IF(Informed=1,N540,0)</f>
        <v>#N/A</v>
      </c>
      <c r="AA540" s="47" t="n">
        <f aca="false">IF(Informed=0,N540,0)</f>
        <v>0</v>
      </c>
      <c r="AB540" s="51" t="e">
        <f aca="false">IF(Arterial=0,IF(Informed=1,1,0),0)</f>
        <v>#N/A</v>
      </c>
      <c r="AC540" s="51" t="e">
        <f aca="false">IF(Arterial=0,IF(Informed=0,1,0),0)</f>
        <v>#N/A</v>
      </c>
      <c r="AD540" s="51" t="e">
        <f aca="false">IF(Arterial=1,IF(Informed=1,1,0),0)</f>
        <v>#N/A</v>
      </c>
      <c r="AE540" s="51" t="e">
        <f aca="false">IF(Arterial=1,IF(Informed=0,1,0),0)</f>
        <v>#N/A</v>
      </c>
      <c r="AF540" s="44" t="e">
        <f aca="false">IF(AB540=1,(X540-G$1030)^2,0)</f>
        <v>#N/A</v>
      </c>
      <c r="AG540" s="44" t="e">
        <f aca="false">IF(AC540=1,(Y540-H$1030)^2,0)</f>
        <v>#N/A</v>
      </c>
      <c r="AH540" s="44" t="e">
        <f aca="false">IF(AD540=1,(Z540-I$1030)^2,0)</f>
        <v>#N/A</v>
      </c>
      <c r="AI540" s="44" t="e">
        <f aca="false">IF(AE540=1,(AA540-J$1030)^2,0)</f>
        <v>#N/A</v>
      </c>
    </row>
    <row r="541" customFormat="false" ht="12" hidden="false" customHeight="false" outlineLevel="0" collapsed="false">
      <c r="A541" s="29" t="n">
        <v>524</v>
      </c>
      <c r="B541" s="45" t="n">
        <f aca="true">IF(RAND()&lt;$D$8,1,0)</f>
        <v>1</v>
      </c>
      <c r="C541" s="34" t="n">
        <f aca="true">-LN(RAND())/$D$2</f>
        <v>2.71712697604337</v>
      </c>
      <c r="D541" s="46" t="n">
        <f aca="false">D540+C541</f>
        <v>834.128450743202</v>
      </c>
      <c r="E541" s="47" t="e">
        <f aca="false">MAX($D$3,(1+P540-VLOOKUP(VALUE(D541),$J$18:$Q540,7,TRUE()))*$D$3)</f>
        <v>#N/A</v>
      </c>
      <c r="F541" s="47" t="e">
        <f aca="false">MAX($D$4,(1+Q540-VLOOKUP(VALUE(D541),$M$18:$Q540,5,TRUE()))*$D$4)</f>
        <v>#N/A</v>
      </c>
      <c r="G541" s="48" t="n">
        <v>0.5</v>
      </c>
      <c r="H541" s="46" t="e">
        <f aca="true">IF((B541=1),(IF((F541&lt;E541),1,(IF((F541=E541),(IF(RAND()&lt;G541,1,0)),0)))),(IF((RAND()&lt;G541),1,0)))</f>
        <v>#N/A</v>
      </c>
      <c r="I541" s="46" t="e">
        <f aca="true">IF((H541=1),0,$D$3+$D$5*(RAND()-0.5))</f>
        <v>#N/A</v>
      </c>
      <c r="J541" s="46" t="e">
        <f aca="false">I541+MAX(D541,J540)</f>
        <v>#N/A</v>
      </c>
      <c r="K541" s="46" t="e">
        <f aca="false">IF((H541=0),J541-D541,0)</f>
        <v>#N/A</v>
      </c>
      <c r="L541" s="46" t="e">
        <f aca="true">IF(($H541=0),0,$D$4+$D$5*(RAND()-0.5))</f>
        <v>#N/A</v>
      </c>
      <c r="M541" s="46" t="e">
        <f aca="false">L541+MAX(D541,M540)</f>
        <v>#N/A</v>
      </c>
      <c r="N541" s="46" t="e">
        <f aca="false">IF((H541=1),M541-D541,0)</f>
        <v>#N/A</v>
      </c>
      <c r="O541" s="29" t="n">
        <v>524</v>
      </c>
      <c r="P541" s="49" t="e">
        <f aca="false">IF((Arterial=0),P540+1,P540)</f>
        <v>#N/A</v>
      </c>
      <c r="Q541" s="49" t="e">
        <f aca="false">IF((Arterial=1),Q540+1,Q540)</f>
        <v>#N/A</v>
      </c>
      <c r="R541" s="50" t="n">
        <f aca="false">IF((RESET=1),0,R541+K541)</f>
        <v>0</v>
      </c>
      <c r="S541" s="19" t="n">
        <f aca="false">IF(RESET=1,0,S541+N541)</f>
        <v>0</v>
      </c>
      <c r="T541" s="0" t="n">
        <f aca="false">IF(RESET=1,0,T541+IF(H541=0,1,0))</f>
        <v>0</v>
      </c>
      <c r="U541" s="0" t="n">
        <f aca="false">IF(RESET=1,0,U541+H541)</f>
        <v>0</v>
      </c>
      <c r="V541" s="19" t="n">
        <f aca="false">R541/(T541+0.00001)</f>
        <v>0</v>
      </c>
      <c r="W541" s="19" t="n">
        <f aca="false">S541/(U541+0.0001)</f>
        <v>0</v>
      </c>
      <c r="X541" s="47" t="e">
        <f aca="false">IF(Informed=1,K541,0)</f>
        <v>#N/A</v>
      </c>
      <c r="Y541" s="47" t="n">
        <f aca="false">IF(Informed=0,K541,0)</f>
        <v>0</v>
      </c>
      <c r="Z541" s="47" t="e">
        <f aca="false">IF(Informed=1,N541,0)</f>
        <v>#N/A</v>
      </c>
      <c r="AA541" s="47" t="n">
        <f aca="false">IF(Informed=0,N541,0)</f>
        <v>0</v>
      </c>
      <c r="AB541" s="51" t="e">
        <f aca="false">IF(Arterial=0,IF(Informed=1,1,0),0)</f>
        <v>#N/A</v>
      </c>
      <c r="AC541" s="51" t="e">
        <f aca="false">IF(Arterial=0,IF(Informed=0,1,0),0)</f>
        <v>#N/A</v>
      </c>
      <c r="AD541" s="51" t="e">
        <f aca="false">IF(Arterial=1,IF(Informed=1,1,0),0)</f>
        <v>#N/A</v>
      </c>
      <c r="AE541" s="51" t="e">
        <f aca="false">IF(Arterial=1,IF(Informed=0,1,0),0)</f>
        <v>#N/A</v>
      </c>
      <c r="AF541" s="44" t="e">
        <f aca="false">IF(AB541=1,(X541-G$1030)^2,0)</f>
        <v>#N/A</v>
      </c>
      <c r="AG541" s="44" t="e">
        <f aca="false">IF(AC541=1,(Y541-H$1030)^2,0)</f>
        <v>#N/A</v>
      </c>
      <c r="AH541" s="44" t="e">
        <f aca="false">IF(AD541=1,(Z541-I$1030)^2,0)</f>
        <v>#N/A</v>
      </c>
      <c r="AI541" s="44" t="e">
        <f aca="false">IF(AE541=1,(AA541-J$1030)^2,0)</f>
        <v>#N/A</v>
      </c>
    </row>
    <row r="542" customFormat="false" ht="12" hidden="false" customHeight="false" outlineLevel="0" collapsed="false">
      <c r="A542" s="29" t="n">
        <v>525</v>
      </c>
      <c r="B542" s="45" t="n">
        <f aca="true">IF(RAND()&lt;$D$8,1,0)</f>
        <v>1</v>
      </c>
      <c r="C542" s="34" t="n">
        <f aca="true">-LN(RAND())/$D$2</f>
        <v>0.506467189798357</v>
      </c>
      <c r="D542" s="46" t="n">
        <f aca="false">D541+C542</f>
        <v>834.634917933001</v>
      </c>
      <c r="E542" s="47" t="e">
        <f aca="false">MAX($D$3,(1+P541-VLOOKUP(VALUE(D542),$J$18:$Q541,7,TRUE()))*$D$3)</f>
        <v>#N/A</v>
      </c>
      <c r="F542" s="47" t="e">
        <f aca="false">MAX($D$4,(1+Q541-VLOOKUP(VALUE(D542),$M$18:$Q541,5,TRUE()))*$D$4)</f>
        <v>#N/A</v>
      </c>
      <c r="G542" s="48" t="n">
        <v>0.5</v>
      </c>
      <c r="H542" s="46" t="e">
        <f aca="true">IF((B542=1),(IF((F542&lt;E542),1,(IF((F542=E542),(IF(RAND()&lt;G542,1,0)),0)))),(IF((RAND()&lt;G542),1,0)))</f>
        <v>#N/A</v>
      </c>
      <c r="I542" s="46" t="e">
        <f aca="true">IF((H542=1),0,$D$3+$D$5*(RAND()-0.5))</f>
        <v>#N/A</v>
      </c>
      <c r="J542" s="46" t="e">
        <f aca="false">I542+MAX(D542,J541)</f>
        <v>#N/A</v>
      </c>
      <c r="K542" s="46" t="e">
        <f aca="false">IF((H542=0),J542-D542,0)</f>
        <v>#N/A</v>
      </c>
      <c r="L542" s="46" t="e">
        <f aca="true">IF(($H542=0),0,$D$4+$D$5*(RAND()-0.5))</f>
        <v>#N/A</v>
      </c>
      <c r="M542" s="46" t="e">
        <f aca="false">L542+MAX(D542,M541)</f>
        <v>#N/A</v>
      </c>
      <c r="N542" s="46" t="e">
        <f aca="false">IF((H542=1),M542-D542,0)</f>
        <v>#N/A</v>
      </c>
      <c r="O542" s="29" t="n">
        <v>525</v>
      </c>
      <c r="P542" s="49" t="e">
        <f aca="false">IF((Arterial=0),P541+1,P541)</f>
        <v>#N/A</v>
      </c>
      <c r="Q542" s="49" t="e">
        <f aca="false">IF((Arterial=1),Q541+1,Q541)</f>
        <v>#N/A</v>
      </c>
      <c r="R542" s="50" t="n">
        <f aca="false">IF((RESET=1),0,R542+K542)</f>
        <v>0</v>
      </c>
      <c r="S542" s="19" t="n">
        <f aca="false">IF(RESET=1,0,S542+N542)</f>
        <v>0</v>
      </c>
      <c r="T542" s="0" t="n">
        <f aca="false">IF(RESET=1,0,T542+IF(H542=0,1,0))</f>
        <v>0</v>
      </c>
      <c r="U542" s="0" t="n">
        <f aca="false">IF(RESET=1,0,U542+H542)</f>
        <v>0</v>
      </c>
      <c r="V542" s="19" t="n">
        <f aca="false">R542/(T542+0.00001)</f>
        <v>0</v>
      </c>
      <c r="W542" s="19" t="n">
        <f aca="false">S542/(U542+0.0001)</f>
        <v>0</v>
      </c>
      <c r="X542" s="47" t="e">
        <f aca="false">IF(Informed=1,K542,0)</f>
        <v>#N/A</v>
      </c>
      <c r="Y542" s="47" t="n">
        <f aca="false">IF(Informed=0,K542,0)</f>
        <v>0</v>
      </c>
      <c r="Z542" s="47" t="e">
        <f aca="false">IF(Informed=1,N542,0)</f>
        <v>#N/A</v>
      </c>
      <c r="AA542" s="47" t="n">
        <f aca="false">IF(Informed=0,N542,0)</f>
        <v>0</v>
      </c>
      <c r="AB542" s="51" t="e">
        <f aca="false">IF(Arterial=0,IF(Informed=1,1,0),0)</f>
        <v>#N/A</v>
      </c>
      <c r="AC542" s="51" t="e">
        <f aca="false">IF(Arterial=0,IF(Informed=0,1,0),0)</f>
        <v>#N/A</v>
      </c>
      <c r="AD542" s="51" t="e">
        <f aca="false">IF(Arterial=1,IF(Informed=1,1,0),0)</f>
        <v>#N/A</v>
      </c>
      <c r="AE542" s="51" t="e">
        <f aca="false">IF(Arterial=1,IF(Informed=0,1,0),0)</f>
        <v>#N/A</v>
      </c>
      <c r="AF542" s="44" t="e">
        <f aca="false">IF(AB542=1,(X542-G$1030)^2,0)</f>
        <v>#N/A</v>
      </c>
      <c r="AG542" s="44" t="e">
        <f aca="false">IF(AC542=1,(Y542-H$1030)^2,0)</f>
        <v>#N/A</v>
      </c>
      <c r="AH542" s="44" t="e">
        <f aca="false">IF(AD542=1,(Z542-I$1030)^2,0)</f>
        <v>#N/A</v>
      </c>
      <c r="AI542" s="44" t="e">
        <f aca="false">IF(AE542=1,(AA542-J$1030)^2,0)</f>
        <v>#N/A</v>
      </c>
    </row>
    <row r="543" customFormat="false" ht="12" hidden="false" customHeight="false" outlineLevel="0" collapsed="false">
      <c r="A543" s="29" t="n">
        <v>526</v>
      </c>
      <c r="B543" s="45" t="n">
        <f aca="true">IF(RAND()&lt;$D$8,1,0)</f>
        <v>1</v>
      </c>
      <c r="C543" s="34" t="n">
        <f aca="true">-LN(RAND())/$D$2</f>
        <v>0.869852041708997</v>
      </c>
      <c r="D543" s="46" t="n">
        <f aca="false">D542+C543</f>
        <v>835.50476997471</v>
      </c>
      <c r="E543" s="47" t="e">
        <f aca="false">MAX($D$3,(1+P542-VLOOKUP(VALUE(D543),$J$18:$Q542,7,TRUE()))*$D$3)</f>
        <v>#N/A</v>
      </c>
      <c r="F543" s="47" t="e">
        <f aca="false">MAX($D$4,(1+Q542-VLOOKUP(VALUE(D543),$M$18:$Q542,5,TRUE()))*$D$4)</f>
        <v>#N/A</v>
      </c>
      <c r="G543" s="48" t="n">
        <v>0.5</v>
      </c>
      <c r="H543" s="46" t="e">
        <f aca="true">IF((B543=1),(IF((F543&lt;E543),1,(IF((F543=E543),(IF(RAND()&lt;G543,1,0)),0)))),(IF((RAND()&lt;G543),1,0)))</f>
        <v>#N/A</v>
      </c>
      <c r="I543" s="46" t="e">
        <f aca="true">IF((H543=1),0,$D$3+$D$5*(RAND()-0.5))</f>
        <v>#N/A</v>
      </c>
      <c r="J543" s="46" t="e">
        <f aca="false">I543+MAX(D543,J542)</f>
        <v>#N/A</v>
      </c>
      <c r="K543" s="46" t="e">
        <f aca="false">IF((H543=0),J543-D543,0)</f>
        <v>#N/A</v>
      </c>
      <c r="L543" s="46" t="e">
        <f aca="true">IF(($H543=0),0,$D$4+$D$5*(RAND()-0.5))</f>
        <v>#N/A</v>
      </c>
      <c r="M543" s="46" t="e">
        <f aca="false">L543+MAX(D543,M542)</f>
        <v>#N/A</v>
      </c>
      <c r="N543" s="46" t="e">
        <f aca="false">IF((H543=1),M543-D543,0)</f>
        <v>#N/A</v>
      </c>
      <c r="O543" s="29" t="n">
        <v>526</v>
      </c>
      <c r="P543" s="49" t="e">
        <f aca="false">IF((Arterial=0),P542+1,P542)</f>
        <v>#N/A</v>
      </c>
      <c r="Q543" s="49" t="e">
        <f aca="false">IF((Arterial=1),Q542+1,Q542)</f>
        <v>#N/A</v>
      </c>
      <c r="R543" s="50" t="n">
        <f aca="false">IF((RESET=1),0,R543+K543)</f>
        <v>0</v>
      </c>
      <c r="S543" s="19" t="n">
        <f aca="false">IF(RESET=1,0,S543+N543)</f>
        <v>0</v>
      </c>
      <c r="T543" s="0" t="n">
        <f aca="false">IF(RESET=1,0,T543+IF(H543=0,1,0))</f>
        <v>0</v>
      </c>
      <c r="U543" s="0" t="n">
        <f aca="false">IF(RESET=1,0,U543+H543)</f>
        <v>0</v>
      </c>
      <c r="V543" s="19" t="n">
        <f aca="false">R543/(T543+0.00001)</f>
        <v>0</v>
      </c>
      <c r="W543" s="19" t="n">
        <f aca="false">S543/(U543+0.0001)</f>
        <v>0</v>
      </c>
      <c r="X543" s="47" t="e">
        <f aca="false">IF(Informed=1,K543,0)</f>
        <v>#N/A</v>
      </c>
      <c r="Y543" s="47" t="n">
        <f aca="false">IF(Informed=0,K543,0)</f>
        <v>0</v>
      </c>
      <c r="Z543" s="47" t="e">
        <f aca="false">IF(Informed=1,N543,0)</f>
        <v>#N/A</v>
      </c>
      <c r="AA543" s="47" t="n">
        <f aca="false">IF(Informed=0,N543,0)</f>
        <v>0</v>
      </c>
      <c r="AB543" s="51" t="e">
        <f aca="false">IF(Arterial=0,IF(Informed=1,1,0),0)</f>
        <v>#N/A</v>
      </c>
      <c r="AC543" s="51" t="e">
        <f aca="false">IF(Arterial=0,IF(Informed=0,1,0),0)</f>
        <v>#N/A</v>
      </c>
      <c r="AD543" s="51" t="e">
        <f aca="false">IF(Arterial=1,IF(Informed=1,1,0),0)</f>
        <v>#N/A</v>
      </c>
      <c r="AE543" s="51" t="e">
        <f aca="false">IF(Arterial=1,IF(Informed=0,1,0),0)</f>
        <v>#N/A</v>
      </c>
      <c r="AF543" s="44" t="e">
        <f aca="false">IF(AB543=1,(X543-G$1030)^2,0)</f>
        <v>#N/A</v>
      </c>
      <c r="AG543" s="44" t="e">
        <f aca="false">IF(AC543=1,(Y543-H$1030)^2,0)</f>
        <v>#N/A</v>
      </c>
      <c r="AH543" s="44" t="e">
        <f aca="false">IF(AD543=1,(Z543-I$1030)^2,0)</f>
        <v>#N/A</v>
      </c>
      <c r="AI543" s="44" t="e">
        <f aca="false">IF(AE543=1,(AA543-J$1030)^2,0)</f>
        <v>#N/A</v>
      </c>
    </row>
    <row r="544" customFormat="false" ht="12" hidden="false" customHeight="false" outlineLevel="0" collapsed="false">
      <c r="A544" s="29" t="n">
        <v>527</v>
      </c>
      <c r="B544" s="45" t="n">
        <f aca="true">IF(RAND()&lt;$D$8,1,0)</f>
        <v>1</v>
      </c>
      <c r="C544" s="34" t="n">
        <f aca="true">-LN(RAND())/$D$2</f>
        <v>0.185100029229558</v>
      </c>
      <c r="D544" s="46" t="n">
        <f aca="false">D543+C544</f>
        <v>835.689870003939</v>
      </c>
      <c r="E544" s="47" t="e">
        <f aca="false">MAX($D$3,(1+P543-VLOOKUP(VALUE(D544),$J$18:$Q543,7,TRUE()))*$D$3)</f>
        <v>#N/A</v>
      </c>
      <c r="F544" s="47" t="e">
        <f aca="false">MAX($D$4,(1+Q543-VLOOKUP(VALUE(D544),$M$18:$Q543,5,TRUE()))*$D$4)</f>
        <v>#N/A</v>
      </c>
      <c r="G544" s="48" t="n">
        <v>0.5</v>
      </c>
      <c r="H544" s="46" t="e">
        <f aca="true">IF((B544=1),(IF((F544&lt;E544),1,(IF((F544=E544),(IF(RAND()&lt;G544,1,0)),0)))),(IF((RAND()&lt;G544),1,0)))</f>
        <v>#N/A</v>
      </c>
      <c r="I544" s="46" t="e">
        <f aca="true">IF((H544=1),0,$D$3+$D$5*(RAND()-0.5))</f>
        <v>#N/A</v>
      </c>
      <c r="J544" s="46" t="e">
        <f aca="false">I544+MAX(D544,J543)</f>
        <v>#N/A</v>
      </c>
      <c r="K544" s="46" t="e">
        <f aca="false">IF((H544=0),J544-D544,0)</f>
        <v>#N/A</v>
      </c>
      <c r="L544" s="46" t="e">
        <f aca="true">IF(($H544=0),0,$D$4+$D$5*(RAND()-0.5))</f>
        <v>#N/A</v>
      </c>
      <c r="M544" s="46" t="e">
        <f aca="false">L544+MAX(D544,M543)</f>
        <v>#N/A</v>
      </c>
      <c r="N544" s="46" t="e">
        <f aca="false">IF((H544=1),M544-D544,0)</f>
        <v>#N/A</v>
      </c>
      <c r="O544" s="29" t="n">
        <v>527</v>
      </c>
      <c r="P544" s="49" t="e">
        <f aca="false">IF((Arterial=0),P543+1,P543)</f>
        <v>#N/A</v>
      </c>
      <c r="Q544" s="49" t="e">
        <f aca="false">IF((Arterial=1),Q543+1,Q543)</f>
        <v>#N/A</v>
      </c>
      <c r="R544" s="50" t="n">
        <f aca="false">IF((RESET=1),0,R544+K544)</f>
        <v>0</v>
      </c>
      <c r="S544" s="19" t="n">
        <f aca="false">IF(RESET=1,0,S544+N544)</f>
        <v>0</v>
      </c>
      <c r="T544" s="0" t="n">
        <f aca="false">IF(RESET=1,0,T544+IF(H544=0,1,0))</f>
        <v>0</v>
      </c>
      <c r="U544" s="0" t="n">
        <f aca="false">IF(RESET=1,0,U544+H544)</f>
        <v>0</v>
      </c>
      <c r="V544" s="19" t="n">
        <f aca="false">R544/(T544+0.00001)</f>
        <v>0</v>
      </c>
      <c r="W544" s="19" t="n">
        <f aca="false">S544/(U544+0.0001)</f>
        <v>0</v>
      </c>
      <c r="X544" s="47" t="e">
        <f aca="false">IF(Informed=1,K544,0)</f>
        <v>#N/A</v>
      </c>
      <c r="Y544" s="47" t="n">
        <f aca="false">IF(Informed=0,K544,0)</f>
        <v>0</v>
      </c>
      <c r="Z544" s="47" t="e">
        <f aca="false">IF(Informed=1,N544,0)</f>
        <v>#N/A</v>
      </c>
      <c r="AA544" s="47" t="n">
        <f aca="false">IF(Informed=0,N544,0)</f>
        <v>0</v>
      </c>
      <c r="AB544" s="51" t="e">
        <f aca="false">IF(Arterial=0,IF(Informed=1,1,0),0)</f>
        <v>#N/A</v>
      </c>
      <c r="AC544" s="51" t="e">
        <f aca="false">IF(Arterial=0,IF(Informed=0,1,0),0)</f>
        <v>#N/A</v>
      </c>
      <c r="AD544" s="51" t="e">
        <f aca="false">IF(Arterial=1,IF(Informed=1,1,0),0)</f>
        <v>#N/A</v>
      </c>
      <c r="AE544" s="51" t="e">
        <f aca="false">IF(Arterial=1,IF(Informed=0,1,0),0)</f>
        <v>#N/A</v>
      </c>
      <c r="AF544" s="44" t="e">
        <f aca="false">IF(AB544=1,(X544-G$1030)^2,0)</f>
        <v>#N/A</v>
      </c>
      <c r="AG544" s="44" t="e">
        <f aca="false">IF(AC544=1,(Y544-H$1030)^2,0)</f>
        <v>#N/A</v>
      </c>
      <c r="AH544" s="44" t="e">
        <f aca="false">IF(AD544=1,(Z544-I$1030)^2,0)</f>
        <v>#N/A</v>
      </c>
      <c r="AI544" s="44" t="e">
        <f aca="false">IF(AE544=1,(AA544-J$1030)^2,0)</f>
        <v>#N/A</v>
      </c>
    </row>
    <row r="545" customFormat="false" ht="12" hidden="false" customHeight="false" outlineLevel="0" collapsed="false">
      <c r="A545" s="29" t="n">
        <v>528</v>
      </c>
      <c r="B545" s="45" t="n">
        <f aca="true">IF(RAND()&lt;$D$8,1,0)</f>
        <v>1</v>
      </c>
      <c r="C545" s="34" t="n">
        <f aca="true">-LN(RAND())/$D$2</f>
        <v>0.193455993112041</v>
      </c>
      <c r="D545" s="46" t="n">
        <f aca="false">D544+C545</f>
        <v>835.883325997051</v>
      </c>
      <c r="E545" s="47" t="e">
        <f aca="false">MAX($D$3,(1+P544-VLOOKUP(VALUE(D545),$J$18:$Q544,7,TRUE()))*$D$3)</f>
        <v>#N/A</v>
      </c>
      <c r="F545" s="47" t="e">
        <f aca="false">MAX($D$4,(1+Q544-VLOOKUP(VALUE(D545),$M$18:$Q544,5,TRUE()))*$D$4)</f>
        <v>#N/A</v>
      </c>
      <c r="G545" s="48" t="n">
        <v>0.5</v>
      </c>
      <c r="H545" s="46" t="e">
        <f aca="true">IF((B545=1),(IF((F545&lt;E545),1,(IF((F545=E545),(IF(RAND()&lt;G545,1,0)),0)))),(IF((RAND()&lt;G545),1,0)))</f>
        <v>#N/A</v>
      </c>
      <c r="I545" s="46" t="e">
        <f aca="true">IF((H545=1),0,$D$3+$D$5*(RAND()-0.5))</f>
        <v>#N/A</v>
      </c>
      <c r="J545" s="46" t="e">
        <f aca="false">I545+MAX(D545,J544)</f>
        <v>#N/A</v>
      </c>
      <c r="K545" s="46" t="e">
        <f aca="false">IF((H545=0),J545-D545,0)</f>
        <v>#N/A</v>
      </c>
      <c r="L545" s="46" t="e">
        <f aca="true">IF(($H545=0),0,$D$4+$D$5*(RAND()-0.5))</f>
        <v>#N/A</v>
      </c>
      <c r="M545" s="46" t="e">
        <f aca="false">L545+MAX(D545,M544)</f>
        <v>#N/A</v>
      </c>
      <c r="N545" s="46" t="e">
        <f aca="false">IF((H545=1),M545-D545,0)</f>
        <v>#N/A</v>
      </c>
      <c r="O545" s="29" t="n">
        <v>528</v>
      </c>
      <c r="P545" s="49" t="e">
        <f aca="false">IF((Arterial=0),P544+1,P544)</f>
        <v>#N/A</v>
      </c>
      <c r="Q545" s="49" t="e">
        <f aca="false">IF((Arterial=1),Q544+1,Q544)</f>
        <v>#N/A</v>
      </c>
      <c r="R545" s="50" t="n">
        <f aca="false">IF((RESET=1),0,R545+K545)</f>
        <v>0</v>
      </c>
      <c r="S545" s="19" t="n">
        <f aca="false">IF(RESET=1,0,S545+N545)</f>
        <v>0</v>
      </c>
      <c r="T545" s="0" t="n">
        <f aca="false">IF(RESET=1,0,T545+IF(H545=0,1,0))</f>
        <v>0</v>
      </c>
      <c r="U545" s="0" t="n">
        <f aca="false">IF(RESET=1,0,U545+H545)</f>
        <v>0</v>
      </c>
      <c r="V545" s="19" t="n">
        <f aca="false">R545/(T545+0.00001)</f>
        <v>0</v>
      </c>
      <c r="W545" s="19" t="n">
        <f aca="false">S545/(U545+0.0001)</f>
        <v>0</v>
      </c>
      <c r="X545" s="47" t="e">
        <f aca="false">IF(Informed=1,K545,0)</f>
        <v>#N/A</v>
      </c>
      <c r="Y545" s="47" t="n">
        <f aca="false">IF(Informed=0,K545,0)</f>
        <v>0</v>
      </c>
      <c r="Z545" s="47" t="e">
        <f aca="false">IF(Informed=1,N545,0)</f>
        <v>#N/A</v>
      </c>
      <c r="AA545" s="47" t="n">
        <f aca="false">IF(Informed=0,N545,0)</f>
        <v>0</v>
      </c>
      <c r="AB545" s="51" t="e">
        <f aca="false">IF(Arterial=0,IF(Informed=1,1,0),0)</f>
        <v>#N/A</v>
      </c>
      <c r="AC545" s="51" t="e">
        <f aca="false">IF(Arterial=0,IF(Informed=0,1,0),0)</f>
        <v>#N/A</v>
      </c>
      <c r="AD545" s="51" t="e">
        <f aca="false">IF(Arterial=1,IF(Informed=1,1,0),0)</f>
        <v>#N/A</v>
      </c>
      <c r="AE545" s="51" t="e">
        <f aca="false">IF(Arterial=1,IF(Informed=0,1,0),0)</f>
        <v>#N/A</v>
      </c>
      <c r="AF545" s="44" t="e">
        <f aca="false">IF(AB545=1,(X545-G$1030)^2,0)</f>
        <v>#N/A</v>
      </c>
      <c r="AG545" s="44" t="e">
        <f aca="false">IF(AC545=1,(Y545-H$1030)^2,0)</f>
        <v>#N/A</v>
      </c>
      <c r="AH545" s="44" t="e">
        <f aca="false">IF(AD545=1,(Z545-I$1030)^2,0)</f>
        <v>#N/A</v>
      </c>
      <c r="AI545" s="44" t="e">
        <f aca="false">IF(AE545=1,(AA545-J$1030)^2,0)</f>
        <v>#N/A</v>
      </c>
    </row>
    <row r="546" customFormat="false" ht="12" hidden="false" customHeight="false" outlineLevel="0" collapsed="false">
      <c r="A546" s="29" t="n">
        <v>529</v>
      </c>
      <c r="B546" s="45" t="n">
        <f aca="true">IF(RAND()&lt;$D$8,1,0)</f>
        <v>1</v>
      </c>
      <c r="C546" s="34" t="n">
        <f aca="true">-LN(RAND())/$D$2</f>
        <v>0.230391456604598</v>
      </c>
      <c r="D546" s="46" t="n">
        <f aca="false">D545+C546</f>
        <v>836.113717453656</v>
      </c>
      <c r="E546" s="47" t="e">
        <f aca="false">MAX($D$3,(1+P545-VLOOKUP(VALUE(D546),$J$18:$Q545,7,TRUE()))*$D$3)</f>
        <v>#N/A</v>
      </c>
      <c r="F546" s="47" t="e">
        <f aca="false">MAX($D$4,(1+Q545-VLOOKUP(VALUE(D546),$M$18:$Q545,5,TRUE()))*$D$4)</f>
        <v>#N/A</v>
      </c>
      <c r="G546" s="48" t="n">
        <v>0.5</v>
      </c>
      <c r="H546" s="46" t="e">
        <f aca="true">IF((B546=1),(IF((F546&lt;E546),1,(IF((F546=E546),(IF(RAND()&lt;G546,1,0)),0)))),(IF((RAND()&lt;G546),1,0)))</f>
        <v>#N/A</v>
      </c>
      <c r="I546" s="46" t="e">
        <f aca="true">IF((H546=1),0,$D$3+$D$5*(RAND()-0.5))</f>
        <v>#N/A</v>
      </c>
      <c r="J546" s="46" t="e">
        <f aca="false">I546+MAX(D546,J545)</f>
        <v>#N/A</v>
      </c>
      <c r="K546" s="46" t="e">
        <f aca="false">IF((H546=0),J546-D546,0)</f>
        <v>#N/A</v>
      </c>
      <c r="L546" s="46" t="e">
        <f aca="true">IF(($H546=0),0,$D$4+$D$5*(RAND()-0.5))</f>
        <v>#N/A</v>
      </c>
      <c r="M546" s="46" t="e">
        <f aca="false">L546+MAX(D546,M545)</f>
        <v>#N/A</v>
      </c>
      <c r="N546" s="46" t="e">
        <f aca="false">IF((H546=1),M546-D546,0)</f>
        <v>#N/A</v>
      </c>
      <c r="O546" s="29" t="n">
        <v>529</v>
      </c>
      <c r="P546" s="49" t="e">
        <f aca="false">IF((Arterial=0),P545+1,P545)</f>
        <v>#N/A</v>
      </c>
      <c r="Q546" s="49" t="e">
        <f aca="false">IF((Arterial=1),Q545+1,Q545)</f>
        <v>#N/A</v>
      </c>
      <c r="R546" s="50" t="n">
        <f aca="false">IF((RESET=1),0,R546+K546)</f>
        <v>0</v>
      </c>
      <c r="S546" s="19" t="n">
        <f aca="false">IF(RESET=1,0,S546+N546)</f>
        <v>0</v>
      </c>
      <c r="T546" s="0" t="n">
        <f aca="false">IF(RESET=1,0,T546+IF(H546=0,1,0))</f>
        <v>0</v>
      </c>
      <c r="U546" s="0" t="n">
        <f aca="false">IF(RESET=1,0,U546+H546)</f>
        <v>0</v>
      </c>
      <c r="V546" s="19" t="n">
        <f aca="false">R546/(T546+0.00001)</f>
        <v>0</v>
      </c>
      <c r="W546" s="19" t="n">
        <f aca="false">S546/(U546+0.0001)</f>
        <v>0</v>
      </c>
      <c r="X546" s="47" t="e">
        <f aca="false">IF(Informed=1,K546,0)</f>
        <v>#N/A</v>
      </c>
      <c r="Y546" s="47" t="n">
        <f aca="false">IF(Informed=0,K546,0)</f>
        <v>0</v>
      </c>
      <c r="Z546" s="47" t="e">
        <f aca="false">IF(Informed=1,N546,0)</f>
        <v>#N/A</v>
      </c>
      <c r="AA546" s="47" t="n">
        <f aca="false">IF(Informed=0,N546,0)</f>
        <v>0</v>
      </c>
      <c r="AB546" s="51" t="e">
        <f aca="false">IF(Arterial=0,IF(Informed=1,1,0),0)</f>
        <v>#N/A</v>
      </c>
      <c r="AC546" s="51" t="e">
        <f aca="false">IF(Arterial=0,IF(Informed=0,1,0),0)</f>
        <v>#N/A</v>
      </c>
      <c r="AD546" s="51" t="e">
        <f aca="false">IF(Arterial=1,IF(Informed=1,1,0),0)</f>
        <v>#N/A</v>
      </c>
      <c r="AE546" s="51" t="e">
        <f aca="false">IF(Arterial=1,IF(Informed=0,1,0),0)</f>
        <v>#N/A</v>
      </c>
      <c r="AF546" s="44" t="e">
        <f aca="false">IF(AB546=1,(X546-G$1030)^2,0)</f>
        <v>#N/A</v>
      </c>
      <c r="AG546" s="44" t="e">
        <f aca="false">IF(AC546=1,(Y546-H$1030)^2,0)</f>
        <v>#N/A</v>
      </c>
      <c r="AH546" s="44" t="e">
        <f aca="false">IF(AD546=1,(Z546-I$1030)^2,0)</f>
        <v>#N/A</v>
      </c>
      <c r="AI546" s="44" t="e">
        <f aca="false">IF(AE546=1,(AA546-J$1030)^2,0)</f>
        <v>#N/A</v>
      </c>
    </row>
    <row r="547" customFormat="false" ht="12" hidden="false" customHeight="false" outlineLevel="0" collapsed="false">
      <c r="A547" s="29" t="n">
        <v>530</v>
      </c>
      <c r="B547" s="45" t="n">
        <f aca="true">IF(RAND()&lt;$D$8,1,0)</f>
        <v>1</v>
      </c>
      <c r="C547" s="34" t="n">
        <f aca="true">-LN(RAND())/$D$2</f>
        <v>3.68216793741986</v>
      </c>
      <c r="D547" s="46" t="n">
        <f aca="false">D546+C547</f>
        <v>839.795885391076</v>
      </c>
      <c r="E547" s="47" t="e">
        <f aca="false">MAX($D$3,(1+P546-VLOOKUP(VALUE(D547),$J$18:$Q546,7,TRUE()))*$D$3)</f>
        <v>#N/A</v>
      </c>
      <c r="F547" s="47" t="e">
        <f aca="false">MAX($D$4,(1+Q546-VLOOKUP(VALUE(D547),$M$18:$Q546,5,TRUE()))*$D$4)</f>
        <v>#N/A</v>
      </c>
      <c r="G547" s="48" t="n">
        <v>0.5</v>
      </c>
      <c r="H547" s="46" t="e">
        <f aca="true">IF((B547=1),(IF((F547&lt;E547),1,(IF((F547=E547),(IF(RAND()&lt;G547,1,0)),0)))),(IF((RAND()&lt;G547),1,0)))</f>
        <v>#N/A</v>
      </c>
      <c r="I547" s="46" t="e">
        <f aca="true">IF((H547=1),0,$D$3+$D$5*(RAND()-0.5))</f>
        <v>#N/A</v>
      </c>
      <c r="J547" s="46" t="e">
        <f aca="false">I547+MAX(D547,J546)</f>
        <v>#N/A</v>
      </c>
      <c r="K547" s="46" t="e">
        <f aca="false">IF((H547=0),J547-D547,0)</f>
        <v>#N/A</v>
      </c>
      <c r="L547" s="46" t="e">
        <f aca="true">IF(($H547=0),0,$D$4+$D$5*(RAND()-0.5))</f>
        <v>#N/A</v>
      </c>
      <c r="M547" s="46" t="e">
        <f aca="false">L547+MAX(D547,M546)</f>
        <v>#N/A</v>
      </c>
      <c r="N547" s="46" t="e">
        <f aca="false">IF((H547=1),M547-D547,0)</f>
        <v>#N/A</v>
      </c>
      <c r="O547" s="29" t="n">
        <v>530</v>
      </c>
      <c r="P547" s="49" t="e">
        <f aca="false">IF((Arterial=0),P546+1,P546)</f>
        <v>#N/A</v>
      </c>
      <c r="Q547" s="49" t="e">
        <f aca="false">IF((Arterial=1),Q546+1,Q546)</f>
        <v>#N/A</v>
      </c>
      <c r="R547" s="50" t="n">
        <f aca="false">IF((RESET=1),0,R547+K547)</f>
        <v>0</v>
      </c>
      <c r="S547" s="19" t="n">
        <f aca="false">IF(RESET=1,0,S547+N547)</f>
        <v>0</v>
      </c>
      <c r="T547" s="0" t="n">
        <f aca="false">IF(RESET=1,0,T547+IF(H547=0,1,0))</f>
        <v>0</v>
      </c>
      <c r="U547" s="0" t="n">
        <f aca="false">IF(RESET=1,0,U547+H547)</f>
        <v>0</v>
      </c>
      <c r="V547" s="19" t="n">
        <f aca="false">R547/(T547+0.00001)</f>
        <v>0</v>
      </c>
      <c r="W547" s="19" t="n">
        <f aca="false">S547/(U547+0.0001)</f>
        <v>0</v>
      </c>
      <c r="X547" s="47" t="e">
        <f aca="false">IF(Informed=1,K547,0)</f>
        <v>#N/A</v>
      </c>
      <c r="Y547" s="47" t="n">
        <f aca="false">IF(Informed=0,K547,0)</f>
        <v>0</v>
      </c>
      <c r="Z547" s="47" t="e">
        <f aca="false">IF(Informed=1,N547,0)</f>
        <v>#N/A</v>
      </c>
      <c r="AA547" s="47" t="n">
        <f aca="false">IF(Informed=0,N547,0)</f>
        <v>0</v>
      </c>
      <c r="AB547" s="51" t="e">
        <f aca="false">IF(Arterial=0,IF(Informed=1,1,0),0)</f>
        <v>#N/A</v>
      </c>
      <c r="AC547" s="51" t="e">
        <f aca="false">IF(Arterial=0,IF(Informed=0,1,0),0)</f>
        <v>#N/A</v>
      </c>
      <c r="AD547" s="51" t="e">
        <f aca="false">IF(Arterial=1,IF(Informed=1,1,0),0)</f>
        <v>#N/A</v>
      </c>
      <c r="AE547" s="51" t="e">
        <f aca="false">IF(Arterial=1,IF(Informed=0,1,0),0)</f>
        <v>#N/A</v>
      </c>
      <c r="AF547" s="44" t="e">
        <f aca="false">IF(AB547=1,(X547-G$1030)^2,0)</f>
        <v>#N/A</v>
      </c>
      <c r="AG547" s="44" t="e">
        <f aca="false">IF(AC547=1,(Y547-H$1030)^2,0)</f>
        <v>#N/A</v>
      </c>
      <c r="AH547" s="44" t="e">
        <f aca="false">IF(AD547=1,(Z547-I$1030)^2,0)</f>
        <v>#N/A</v>
      </c>
      <c r="AI547" s="44" t="e">
        <f aca="false">IF(AE547=1,(AA547-J$1030)^2,0)</f>
        <v>#N/A</v>
      </c>
    </row>
    <row r="548" customFormat="false" ht="12" hidden="false" customHeight="false" outlineLevel="0" collapsed="false">
      <c r="A548" s="29" t="n">
        <v>531</v>
      </c>
      <c r="B548" s="45" t="n">
        <f aca="true">IF(RAND()&lt;$D$8,1,0)</f>
        <v>1</v>
      </c>
      <c r="C548" s="34" t="n">
        <f aca="true">-LN(RAND())/$D$2</f>
        <v>0.968102512655908</v>
      </c>
      <c r="D548" s="46" t="n">
        <f aca="false">D547+C548</f>
        <v>840.763987903732</v>
      </c>
      <c r="E548" s="47" t="e">
        <f aca="false">MAX($D$3,(1+P547-VLOOKUP(VALUE(D548),$J$18:$Q547,7,TRUE()))*$D$3)</f>
        <v>#N/A</v>
      </c>
      <c r="F548" s="47" t="e">
        <f aca="false">MAX($D$4,(1+Q547-VLOOKUP(VALUE(D548),$M$18:$Q547,5,TRUE()))*$D$4)</f>
        <v>#N/A</v>
      </c>
      <c r="G548" s="48" t="n">
        <v>0.5</v>
      </c>
      <c r="H548" s="46" t="e">
        <f aca="true">IF((B548=1),(IF((F548&lt;E548),1,(IF((F548=E548),(IF(RAND()&lt;G548,1,0)),0)))),(IF((RAND()&lt;G548),1,0)))</f>
        <v>#N/A</v>
      </c>
      <c r="I548" s="46" t="e">
        <f aca="true">IF((H548=1),0,$D$3+$D$5*(RAND()-0.5))</f>
        <v>#N/A</v>
      </c>
      <c r="J548" s="46" t="e">
        <f aca="false">I548+MAX(D548,J547)</f>
        <v>#N/A</v>
      </c>
      <c r="K548" s="46" t="e">
        <f aca="false">IF((H548=0),J548-D548,0)</f>
        <v>#N/A</v>
      </c>
      <c r="L548" s="46" t="e">
        <f aca="true">IF(($H548=0),0,$D$4+$D$5*(RAND()-0.5))</f>
        <v>#N/A</v>
      </c>
      <c r="M548" s="46" t="e">
        <f aca="false">L548+MAX(D548,M547)</f>
        <v>#N/A</v>
      </c>
      <c r="N548" s="46" t="e">
        <f aca="false">IF((H548=1),M548-D548,0)</f>
        <v>#N/A</v>
      </c>
      <c r="O548" s="29" t="n">
        <v>531</v>
      </c>
      <c r="P548" s="49" t="e">
        <f aca="false">IF((Arterial=0),P547+1,P547)</f>
        <v>#N/A</v>
      </c>
      <c r="Q548" s="49" t="e">
        <f aca="false">IF((Arterial=1),Q547+1,Q547)</f>
        <v>#N/A</v>
      </c>
      <c r="R548" s="50" t="n">
        <f aca="false">IF((RESET=1),0,R548+K548)</f>
        <v>0</v>
      </c>
      <c r="S548" s="19" t="n">
        <f aca="false">IF(RESET=1,0,S548+N548)</f>
        <v>0</v>
      </c>
      <c r="T548" s="0" t="n">
        <f aca="false">IF(RESET=1,0,T548+IF(H548=0,1,0))</f>
        <v>0</v>
      </c>
      <c r="U548" s="0" t="n">
        <f aca="false">IF(RESET=1,0,U548+H548)</f>
        <v>0</v>
      </c>
      <c r="V548" s="19" t="n">
        <f aca="false">R548/(T548+0.00001)</f>
        <v>0</v>
      </c>
      <c r="W548" s="19" t="n">
        <f aca="false">S548/(U548+0.0001)</f>
        <v>0</v>
      </c>
      <c r="X548" s="47" t="e">
        <f aca="false">IF(Informed=1,K548,0)</f>
        <v>#N/A</v>
      </c>
      <c r="Y548" s="47" t="n">
        <f aca="false">IF(Informed=0,K548,0)</f>
        <v>0</v>
      </c>
      <c r="Z548" s="47" t="e">
        <f aca="false">IF(Informed=1,N548,0)</f>
        <v>#N/A</v>
      </c>
      <c r="AA548" s="47" t="n">
        <f aca="false">IF(Informed=0,N548,0)</f>
        <v>0</v>
      </c>
      <c r="AB548" s="51" t="e">
        <f aca="false">IF(Arterial=0,IF(Informed=1,1,0),0)</f>
        <v>#N/A</v>
      </c>
      <c r="AC548" s="51" t="e">
        <f aca="false">IF(Arterial=0,IF(Informed=0,1,0),0)</f>
        <v>#N/A</v>
      </c>
      <c r="AD548" s="51" t="e">
        <f aca="false">IF(Arterial=1,IF(Informed=1,1,0),0)</f>
        <v>#N/A</v>
      </c>
      <c r="AE548" s="51" t="e">
        <f aca="false">IF(Arterial=1,IF(Informed=0,1,0),0)</f>
        <v>#N/A</v>
      </c>
      <c r="AF548" s="44" t="e">
        <f aca="false">IF(AB548=1,(X548-G$1030)^2,0)</f>
        <v>#N/A</v>
      </c>
      <c r="AG548" s="44" t="e">
        <f aca="false">IF(AC548=1,(Y548-H$1030)^2,0)</f>
        <v>#N/A</v>
      </c>
      <c r="AH548" s="44" t="e">
        <f aca="false">IF(AD548=1,(Z548-I$1030)^2,0)</f>
        <v>#N/A</v>
      </c>
      <c r="AI548" s="44" t="e">
        <f aca="false">IF(AE548=1,(AA548-J$1030)^2,0)</f>
        <v>#N/A</v>
      </c>
    </row>
    <row r="549" customFormat="false" ht="12" hidden="false" customHeight="false" outlineLevel="0" collapsed="false">
      <c r="A549" s="29" t="n">
        <v>532</v>
      </c>
      <c r="B549" s="45" t="n">
        <f aca="true">IF(RAND()&lt;$D$8,1,0)</f>
        <v>1</v>
      </c>
      <c r="C549" s="34" t="n">
        <f aca="true">-LN(RAND())/$D$2</f>
        <v>1.13504890530102</v>
      </c>
      <c r="D549" s="46" t="n">
        <f aca="false">D548+C549</f>
        <v>841.899036809033</v>
      </c>
      <c r="E549" s="47" t="e">
        <f aca="false">MAX($D$3,(1+P548-VLOOKUP(VALUE(D549),$J$18:$Q548,7,TRUE()))*$D$3)</f>
        <v>#N/A</v>
      </c>
      <c r="F549" s="47" t="e">
        <f aca="false">MAX($D$4,(1+Q548-VLOOKUP(VALUE(D549),$M$18:$Q548,5,TRUE()))*$D$4)</f>
        <v>#N/A</v>
      </c>
      <c r="G549" s="48" t="n">
        <v>0.5</v>
      </c>
      <c r="H549" s="46" t="e">
        <f aca="true">IF((B549=1),(IF((F549&lt;E549),1,(IF((F549=E549),(IF(RAND()&lt;G549,1,0)),0)))),(IF((RAND()&lt;G549),1,0)))</f>
        <v>#N/A</v>
      </c>
      <c r="I549" s="46" t="e">
        <f aca="true">IF((H549=1),0,$D$3+$D$5*(RAND()-0.5))</f>
        <v>#N/A</v>
      </c>
      <c r="J549" s="46" t="e">
        <f aca="false">I549+MAX(D549,J548)</f>
        <v>#N/A</v>
      </c>
      <c r="K549" s="46" t="e">
        <f aca="false">IF((H549=0),J549-D549,0)</f>
        <v>#N/A</v>
      </c>
      <c r="L549" s="46" t="e">
        <f aca="true">IF(($H549=0),0,$D$4+$D$5*(RAND()-0.5))</f>
        <v>#N/A</v>
      </c>
      <c r="M549" s="46" t="e">
        <f aca="false">L549+MAX(D549,M548)</f>
        <v>#N/A</v>
      </c>
      <c r="N549" s="46" t="e">
        <f aca="false">IF((H549=1),M549-D549,0)</f>
        <v>#N/A</v>
      </c>
      <c r="O549" s="29" t="n">
        <v>532</v>
      </c>
      <c r="P549" s="49" t="e">
        <f aca="false">IF((Arterial=0),P548+1,P548)</f>
        <v>#N/A</v>
      </c>
      <c r="Q549" s="49" t="e">
        <f aca="false">IF((Arterial=1),Q548+1,Q548)</f>
        <v>#N/A</v>
      </c>
      <c r="R549" s="50" t="n">
        <f aca="false">IF((RESET=1),0,R549+K549)</f>
        <v>0</v>
      </c>
      <c r="S549" s="19" t="n">
        <f aca="false">IF(RESET=1,0,S549+N549)</f>
        <v>0</v>
      </c>
      <c r="T549" s="0" t="n">
        <f aca="false">IF(RESET=1,0,T549+IF(H549=0,1,0))</f>
        <v>0</v>
      </c>
      <c r="U549" s="0" t="n">
        <f aca="false">IF(RESET=1,0,U549+H549)</f>
        <v>0</v>
      </c>
      <c r="V549" s="19" t="n">
        <f aca="false">R549/(T549+0.00001)</f>
        <v>0</v>
      </c>
      <c r="W549" s="19" t="n">
        <f aca="false">S549/(U549+0.0001)</f>
        <v>0</v>
      </c>
      <c r="X549" s="47" t="e">
        <f aca="false">IF(Informed=1,K549,0)</f>
        <v>#N/A</v>
      </c>
      <c r="Y549" s="47" t="n">
        <f aca="false">IF(Informed=0,K549,0)</f>
        <v>0</v>
      </c>
      <c r="Z549" s="47" t="e">
        <f aca="false">IF(Informed=1,N549,0)</f>
        <v>#N/A</v>
      </c>
      <c r="AA549" s="47" t="n">
        <f aca="false">IF(Informed=0,N549,0)</f>
        <v>0</v>
      </c>
      <c r="AB549" s="51" t="e">
        <f aca="false">IF(Arterial=0,IF(Informed=1,1,0),0)</f>
        <v>#N/A</v>
      </c>
      <c r="AC549" s="51" t="e">
        <f aca="false">IF(Arterial=0,IF(Informed=0,1,0),0)</f>
        <v>#N/A</v>
      </c>
      <c r="AD549" s="51" t="e">
        <f aca="false">IF(Arterial=1,IF(Informed=1,1,0),0)</f>
        <v>#N/A</v>
      </c>
      <c r="AE549" s="51" t="e">
        <f aca="false">IF(Arterial=1,IF(Informed=0,1,0),0)</f>
        <v>#N/A</v>
      </c>
      <c r="AF549" s="44" t="e">
        <f aca="false">IF(AB549=1,(X549-G$1030)^2,0)</f>
        <v>#N/A</v>
      </c>
      <c r="AG549" s="44" t="e">
        <f aca="false">IF(AC549=1,(Y549-H$1030)^2,0)</f>
        <v>#N/A</v>
      </c>
      <c r="AH549" s="44" t="e">
        <f aca="false">IF(AD549=1,(Z549-I$1030)^2,0)</f>
        <v>#N/A</v>
      </c>
      <c r="AI549" s="44" t="e">
        <f aca="false">IF(AE549=1,(AA549-J$1030)^2,0)</f>
        <v>#N/A</v>
      </c>
    </row>
    <row r="550" customFormat="false" ht="12" hidden="false" customHeight="false" outlineLevel="0" collapsed="false">
      <c r="A550" s="29" t="n">
        <v>533</v>
      </c>
      <c r="B550" s="45" t="n">
        <f aca="true">IF(RAND()&lt;$D$8,1,0)</f>
        <v>1</v>
      </c>
      <c r="C550" s="34" t="n">
        <f aca="true">-LN(RAND())/$D$2</f>
        <v>0.664974994711427</v>
      </c>
      <c r="D550" s="46" t="n">
        <f aca="false">D549+C550</f>
        <v>842.564011803744</v>
      </c>
      <c r="E550" s="47" t="e">
        <f aca="false">MAX($D$3,(1+P549-VLOOKUP(VALUE(D550),$J$18:$Q549,7,TRUE()))*$D$3)</f>
        <v>#N/A</v>
      </c>
      <c r="F550" s="47" t="e">
        <f aca="false">MAX($D$4,(1+Q549-VLOOKUP(VALUE(D550),$M$18:$Q549,5,TRUE()))*$D$4)</f>
        <v>#N/A</v>
      </c>
      <c r="G550" s="48" t="n">
        <v>0.5</v>
      </c>
      <c r="H550" s="46" t="e">
        <f aca="true">IF((B550=1),(IF((F550&lt;E550),1,(IF((F550=E550),(IF(RAND()&lt;G550,1,0)),0)))),(IF((RAND()&lt;G550),1,0)))</f>
        <v>#N/A</v>
      </c>
      <c r="I550" s="46" t="e">
        <f aca="true">IF((H550=1),0,$D$3+$D$5*(RAND()-0.5))</f>
        <v>#N/A</v>
      </c>
      <c r="J550" s="46" t="e">
        <f aca="false">I550+MAX(D550,J549)</f>
        <v>#N/A</v>
      </c>
      <c r="K550" s="46" t="e">
        <f aca="false">IF((H550=0),J550-D550,0)</f>
        <v>#N/A</v>
      </c>
      <c r="L550" s="46" t="e">
        <f aca="true">IF(($H550=0),0,$D$4+$D$5*(RAND()-0.5))</f>
        <v>#N/A</v>
      </c>
      <c r="M550" s="46" t="e">
        <f aca="false">L550+MAX(D550,M549)</f>
        <v>#N/A</v>
      </c>
      <c r="N550" s="46" t="e">
        <f aca="false">IF((H550=1),M550-D550,0)</f>
        <v>#N/A</v>
      </c>
      <c r="O550" s="29" t="n">
        <v>533</v>
      </c>
      <c r="P550" s="49" t="e">
        <f aca="false">IF((Arterial=0),P549+1,P549)</f>
        <v>#N/A</v>
      </c>
      <c r="Q550" s="49" t="e">
        <f aca="false">IF((Arterial=1),Q549+1,Q549)</f>
        <v>#N/A</v>
      </c>
      <c r="R550" s="50" t="n">
        <f aca="false">IF((RESET=1),0,R550+K550)</f>
        <v>0</v>
      </c>
      <c r="S550" s="19" t="n">
        <f aca="false">IF(RESET=1,0,S550+N550)</f>
        <v>0</v>
      </c>
      <c r="T550" s="0" t="n">
        <f aca="false">IF(RESET=1,0,T550+IF(H550=0,1,0))</f>
        <v>0</v>
      </c>
      <c r="U550" s="0" t="n">
        <f aca="false">IF(RESET=1,0,U550+H550)</f>
        <v>0</v>
      </c>
      <c r="V550" s="19" t="n">
        <f aca="false">R550/(T550+0.00001)</f>
        <v>0</v>
      </c>
      <c r="W550" s="19" t="n">
        <f aca="false">S550/(U550+0.0001)</f>
        <v>0</v>
      </c>
      <c r="X550" s="47" t="e">
        <f aca="false">IF(Informed=1,K550,0)</f>
        <v>#N/A</v>
      </c>
      <c r="Y550" s="47" t="n">
        <f aca="false">IF(Informed=0,K550,0)</f>
        <v>0</v>
      </c>
      <c r="Z550" s="47" t="e">
        <f aca="false">IF(Informed=1,N550,0)</f>
        <v>#N/A</v>
      </c>
      <c r="AA550" s="47" t="n">
        <f aca="false">IF(Informed=0,N550,0)</f>
        <v>0</v>
      </c>
      <c r="AB550" s="51" t="e">
        <f aca="false">IF(Arterial=0,IF(Informed=1,1,0),0)</f>
        <v>#N/A</v>
      </c>
      <c r="AC550" s="51" t="e">
        <f aca="false">IF(Arterial=0,IF(Informed=0,1,0),0)</f>
        <v>#N/A</v>
      </c>
      <c r="AD550" s="51" t="e">
        <f aca="false">IF(Arterial=1,IF(Informed=1,1,0),0)</f>
        <v>#N/A</v>
      </c>
      <c r="AE550" s="51" t="e">
        <f aca="false">IF(Arterial=1,IF(Informed=0,1,0),0)</f>
        <v>#N/A</v>
      </c>
      <c r="AF550" s="44" t="e">
        <f aca="false">IF(AB550=1,(X550-G$1030)^2,0)</f>
        <v>#N/A</v>
      </c>
      <c r="AG550" s="44" t="e">
        <f aca="false">IF(AC550=1,(Y550-H$1030)^2,0)</f>
        <v>#N/A</v>
      </c>
      <c r="AH550" s="44" t="e">
        <f aca="false">IF(AD550=1,(Z550-I$1030)^2,0)</f>
        <v>#N/A</v>
      </c>
      <c r="AI550" s="44" t="e">
        <f aca="false">IF(AE550=1,(AA550-J$1030)^2,0)</f>
        <v>#N/A</v>
      </c>
    </row>
    <row r="551" customFormat="false" ht="12" hidden="false" customHeight="false" outlineLevel="0" collapsed="false">
      <c r="A551" s="29" t="n">
        <v>534</v>
      </c>
      <c r="B551" s="45" t="n">
        <f aca="true">IF(RAND()&lt;$D$8,1,0)</f>
        <v>1</v>
      </c>
      <c r="C551" s="34" t="n">
        <f aca="true">-LN(RAND())/$D$2</f>
        <v>0.852161417234038</v>
      </c>
      <c r="D551" s="46" t="n">
        <f aca="false">D550+C551</f>
        <v>843.416173220978</v>
      </c>
      <c r="E551" s="47" t="e">
        <f aca="false">MAX($D$3,(1+P550-VLOOKUP(VALUE(D551),$J$18:$Q550,7,TRUE()))*$D$3)</f>
        <v>#N/A</v>
      </c>
      <c r="F551" s="47" t="e">
        <f aca="false">MAX($D$4,(1+Q550-VLOOKUP(VALUE(D551),$M$18:$Q550,5,TRUE()))*$D$4)</f>
        <v>#N/A</v>
      </c>
      <c r="G551" s="48" t="n">
        <v>0.5</v>
      </c>
      <c r="H551" s="46" t="e">
        <f aca="true">IF((B551=1),(IF((F551&lt;E551),1,(IF((F551=E551),(IF(RAND()&lt;G551,1,0)),0)))),(IF((RAND()&lt;G551),1,0)))</f>
        <v>#N/A</v>
      </c>
      <c r="I551" s="46" t="e">
        <f aca="true">IF((H551=1),0,$D$3+$D$5*(RAND()-0.5))</f>
        <v>#N/A</v>
      </c>
      <c r="J551" s="46" t="e">
        <f aca="false">I551+MAX(D551,J550)</f>
        <v>#N/A</v>
      </c>
      <c r="K551" s="46" t="e">
        <f aca="false">IF((H551=0),J551-D551,0)</f>
        <v>#N/A</v>
      </c>
      <c r="L551" s="46" t="e">
        <f aca="true">IF(($H551=0),0,$D$4+$D$5*(RAND()-0.5))</f>
        <v>#N/A</v>
      </c>
      <c r="M551" s="46" t="e">
        <f aca="false">L551+MAX(D551,M550)</f>
        <v>#N/A</v>
      </c>
      <c r="N551" s="46" t="e">
        <f aca="false">IF((H551=1),M551-D551,0)</f>
        <v>#N/A</v>
      </c>
      <c r="O551" s="29" t="n">
        <v>534</v>
      </c>
      <c r="P551" s="49" t="e">
        <f aca="false">IF((Arterial=0),P550+1,P550)</f>
        <v>#N/A</v>
      </c>
      <c r="Q551" s="49" t="e">
        <f aca="false">IF((Arterial=1),Q550+1,Q550)</f>
        <v>#N/A</v>
      </c>
      <c r="R551" s="50" t="n">
        <f aca="false">IF((RESET=1),0,R551+K551)</f>
        <v>0</v>
      </c>
      <c r="S551" s="19" t="n">
        <f aca="false">IF(RESET=1,0,S551+N551)</f>
        <v>0</v>
      </c>
      <c r="T551" s="0" t="n">
        <f aca="false">IF(RESET=1,0,T551+IF(H551=0,1,0))</f>
        <v>0</v>
      </c>
      <c r="U551" s="0" t="n">
        <f aca="false">IF(RESET=1,0,U551+H551)</f>
        <v>0</v>
      </c>
      <c r="V551" s="19" t="n">
        <f aca="false">R551/(T551+0.00001)</f>
        <v>0</v>
      </c>
      <c r="W551" s="19" t="n">
        <f aca="false">S551/(U551+0.0001)</f>
        <v>0</v>
      </c>
      <c r="X551" s="47" t="e">
        <f aca="false">IF(Informed=1,K551,0)</f>
        <v>#N/A</v>
      </c>
      <c r="Y551" s="47" t="n">
        <f aca="false">IF(Informed=0,K551,0)</f>
        <v>0</v>
      </c>
      <c r="Z551" s="47" t="e">
        <f aca="false">IF(Informed=1,N551,0)</f>
        <v>#N/A</v>
      </c>
      <c r="AA551" s="47" t="n">
        <f aca="false">IF(Informed=0,N551,0)</f>
        <v>0</v>
      </c>
      <c r="AB551" s="51" t="e">
        <f aca="false">IF(Arterial=0,IF(Informed=1,1,0),0)</f>
        <v>#N/A</v>
      </c>
      <c r="AC551" s="51" t="e">
        <f aca="false">IF(Arterial=0,IF(Informed=0,1,0),0)</f>
        <v>#N/A</v>
      </c>
      <c r="AD551" s="51" t="e">
        <f aca="false">IF(Arterial=1,IF(Informed=1,1,0),0)</f>
        <v>#N/A</v>
      </c>
      <c r="AE551" s="51" t="e">
        <f aca="false">IF(Arterial=1,IF(Informed=0,1,0),0)</f>
        <v>#N/A</v>
      </c>
      <c r="AF551" s="44" t="e">
        <f aca="false">IF(AB551=1,(X551-G$1030)^2,0)</f>
        <v>#N/A</v>
      </c>
      <c r="AG551" s="44" t="e">
        <f aca="false">IF(AC551=1,(Y551-H$1030)^2,0)</f>
        <v>#N/A</v>
      </c>
      <c r="AH551" s="44" t="e">
        <f aca="false">IF(AD551=1,(Z551-I$1030)^2,0)</f>
        <v>#N/A</v>
      </c>
      <c r="AI551" s="44" t="e">
        <f aca="false">IF(AE551=1,(AA551-J$1030)^2,0)</f>
        <v>#N/A</v>
      </c>
    </row>
    <row r="552" customFormat="false" ht="12" hidden="false" customHeight="false" outlineLevel="0" collapsed="false">
      <c r="A552" s="29" t="n">
        <v>535</v>
      </c>
      <c r="B552" s="45" t="n">
        <f aca="true">IF(RAND()&lt;$D$8,1,0)</f>
        <v>1</v>
      </c>
      <c r="C552" s="34" t="n">
        <f aca="true">-LN(RAND())/$D$2</f>
        <v>0.115838676246543</v>
      </c>
      <c r="D552" s="46" t="n">
        <f aca="false">D551+C552</f>
        <v>843.532011897225</v>
      </c>
      <c r="E552" s="47" t="e">
        <f aca="false">MAX($D$3,(1+P551-VLOOKUP(VALUE(D552),$J$18:$Q551,7,TRUE()))*$D$3)</f>
        <v>#N/A</v>
      </c>
      <c r="F552" s="47" t="e">
        <f aca="false">MAX($D$4,(1+Q551-VLOOKUP(VALUE(D552),$M$18:$Q551,5,TRUE()))*$D$4)</f>
        <v>#N/A</v>
      </c>
      <c r="G552" s="48" t="n">
        <v>0.5</v>
      </c>
      <c r="H552" s="46" t="e">
        <f aca="true">IF((B552=1),(IF((F552&lt;E552),1,(IF((F552=E552),(IF(RAND()&lt;G552,1,0)),0)))),(IF((RAND()&lt;G552),1,0)))</f>
        <v>#N/A</v>
      </c>
      <c r="I552" s="46" t="e">
        <f aca="true">IF((H552=1),0,$D$3+$D$5*(RAND()-0.5))</f>
        <v>#N/A</v>
      </c>
      <c r="J552" s="46" t="e">
        <f aca="false">I552+MAX(D552,J551)</f>
        <v>#N/A</v>
      </c>
      <c r="K552" s="46" t="e">
        <f aca="false">IF((H552=0),J552-D552,0)</f>
        <v>#N/A</v>
      </c>
      <c r="L552" s="46" t="e">
        <f aca="true">IF(($H552=0),0,$D$4+$D$5*(RAND()-0.5))</f>
        <v>#N/A</v>
      </c>
      <c r="M552" s="46" t="e">
        <f aca="false">L552+MAX(D552,M551)</f>
        <v>#N/A</v>
      </c>
      <c r="N552" s="46" t="e">
        <f aca="false">IF((H552=1),M552-D552,0)</f>
        <v>#N/A</v>
      </c>
      <c r="O552" s="29" t="n">
        <v>535</v>
      </c>
      <c r="P552" s="49" t="e">
        <f aca="false">IF((Arterial=0),P551+1,P551)</f>
        <v>#N/A</v>
      </c>
      <c r="Q552" s="49" t="e">
        <f aca="false">IF((Arterial=1),Q551+1,Q551)</f>
        <v>#N/A</v>
      </c>
      <c r="R552" s="50" t="n">
        <f aca="false">IF((RESET=1),0,R552+K552)</f>
        <v>0</v>
      </c>
      <c r="S552" s="19" t="n">
        <f aca="false">IF(RESET=1,0,S552+N552)</f>
        <v>0</v>
      </c>
      <c r="T552" s="0" t="n">
        <f aca="false">IF(RESET=1,0,T552+IF(H552=0,1,0))</f>
        <v>0</v>
      </c>
      <c r="U552" s="0" t="n">
        <f aca="false">IF(RESET=1,0,U552+H552)</f>
        <v>0</v>
      </c>
      <c r="V552" s="19" t="n">
        <f aca="false">R552/(T552+0.00001)</f>
        <v>0</v>
      </c>
      <c r="W552" s="19" t="n">
        <f aca="false">S552/(U552+0.0001)</f>
        <v>0</v>
      </c>
      <c r="X552" s="47" t="e">
        <f aca="false">IF(Informed=1,K552,0)</f>
        <v>#N/A</v>
      </c>
      <c r="Y552" s="47" t="n">
        <f aca="false">IF(Informed=0,K552,0)</f>
        <v>0</v>
      </c>
      <c r="Z552" s="47" t="e">
        <f aca="false">IF(Informed=1,N552,0)</f>
        <v>#N/A</v>
      </c>
      <c r="AA552" s="47" t="n">
        <f aca="false">IF(Informed=0,N552,0)</f>
        <v>0</v>
      </c>
      <c r="AB552" s="51" t="e">
        <f aca="false">IF(Arterial=0,IF(Informed=1,1,0),0)</f>
        <v>#N/A</v>
      </c>
      <c r="AC552" s="51" t="e">
        <f aca="false">IF(Arterial=0,IF(Informed=0,1,0),0)</f>
        <v>#N/A</v>
      </c>
      <c r="AD552" s="51" t="e">
        <f aca="false">IF(Arterial=1,IF(Informed=1,1,0),0)</f>
        <v>#N/A</v>
      </c>
      <c r="AE552" s="51" t="e">
        <f aca="false">IF(Arterial=1,IF(Informed=0,1,0),0)</f>
        <v>#N/A</v>
      </c>
      <c r="AF552" s="44" t="e">
        <f aca="false">IF(AB552=1,(X552-G$1030)^2,0)</f>
        <v>#N/A</v>
      </c>
      <c r="AG552" s="44" t="e">
        <f aca="false">IF(AC552=1,(Y552-H$1030)^2,0)</f>
        <v>#N/A</v>
      </c>
      <c r="AH552" s="44" t="e">
        <f aca="false">IF(AD552=1,(Z552-I$1030)^2,0)</f>
        <v>#N/A</v>
      </c>
      <c r="AI552" s="44" t="e">
        <f aca="false">IF(AE552=1,(AA552-J$1030)^2,0)</f>
        <v>#N/A</v>
      </c>
    </row>
    <row r="553" customFormat="false" ht="12" hidden="false" customHeight="false" outlineLevel="0" collapsed="false">
      <c r="A553" s="29" t="n">
        <v>536</v>
      </c>
      <c r="B553" s="45" t="n">
        <f aca="true">IF(RAND()&lt;$D$8,1,0)</f>
        <v>1</v>
      </c>
      <c r="C553" s="34" t="n">
        <f aca="true">-LN(RAND())/$D$2</f>
        <v>0.498310650664861</v>
      </c>
      <c r="D553" s="46" t="n">
        <f aca="false">D552+C553</f>
        <v>844.030322547889</v>
      </c>
      <c r="E553" s="47" t="e">
        <f aca="false">MAX($D$3,(1+P552-VLOOKUP(VALUE(D553),$J$18:$Q552,7,TRUE()))*$D$3)</f>
        <v>#N/A</v>
      </c>
      <c r="F553" s="47" t="e">
        <f aca="false">MAX($D$4,(1+Q552-VLOOKUP(VALUE(D553),$M$18:$Q552,5,TRUE()))*$D$4)</f>
        <v>#N/A</v>
      </c>
      <c r="G553" s="48" t="n">
        <v>0.5</v>
      </c>
      <c r="H553" s="46" t="e">
        <f aca="true">IF((B553=1),(IF((F553&lt;E553),1,(IF((F553=E553),(IF(RAND()&lt;G553,1,0)),0)))),(IF((RAND()&lt;G553),1,0)))</f>
        <v>#N/A</v>
      </c>
      <c r="I553" s="46" t="e">
        <f aca="true">IF((H553=1),0,$D$3+$D$5*(RAND()-0.5))</f>
        <v>#N/A</v>
      </c>
      <c r="J553" s="46" t="e">
        <f aca="false">I553+MAX(D553,J552)</f>
        <v>#N/A</v>
      </c>
      <c r="K553" s="46" t="e">
        <f aca="false">IF((H553=0),J553-D553,0)</f>
        <v>#N/A</v>
      </c>
      <c r="L553" s="46" t="e">
        <f aca="true">IF(($H553=0),0,$D$4+$D$5*(RAND()-0.5))</f>
        <v>#N/A</v>
      </c>
      <c r="M553" s="46" t="e">
        <f aca="false">L553+MAX(D553,M552)</f>
        <v>#N/A</v>
      </c>
      <c r="N553" s="46" t="e">
        <f aca="false">IF((H553=1),M553-D553,0)</f>
        <v>#N/A</v>
      </c>
      <c r="O553" s="29" t="n">
        <v>536</v>
      </c>
      <c r="P553" s="49" t="e">
        <f aca="false">IF((Arterial=0),P552+1,P552)</f>
        <v>#N/A</v>
      </c>
      <c r="Q553" s="49" t="e">
        <f aca="false">IF((Arterial=1),Q552+1,Q552)</f>
        <v>#N/A</v>
      </c>
      <c r="R553" s="50" t="n">
        <f aca="false">IF((RESET=1),0,R553+K553)</f>
        <v>0</v>
      </c>
      <c r="S553" s="19" t="n">
        <f aca="false">IF(RESET=1,0,S553+N553)</f>
        <v>0</v>
      </c>
      <c r="T553" s="0" t="n">
        <f aca="false">IF(RESET=1,0,T553+IF(H553=0,1,0))</f>
        <v>0</v>
      </c>
      <c r="U553" s="0" t="n">
        <f aca="false">IF(RESET=1,0,U553+H553)</f>
        <v>0</v>
      </c>
      <c r="V553" s="19" t="n">
        <f aca="false">R553/(T553+0.00001)</f>
        <v>0</v>
      </c>
      <c r="W553" s="19" t="n">
        <f aca="false">S553/(U553+0.0001)</f>
        <v>0</v>
      </c>
      <c r="X553" s="47" t="e">
        <f aca="false">IF(Informed=1,K553,0)</f>
        <v>#N/A</v>
      </c>
      <c r="Y553" s="47" t="n">
        <f aca="false">IF(Informed=0,K553,0)</f>
        <v>0</v>
      </c>
      <c r="Z553" s="47" t="e">
        <f aca="false">IF(Informed=1,N553,0)</f>
        <v>#N/A</v>
      </c>
      <c r="AA553" s="47" t="n">
        <f aca="false">IF(Informed=0,N553,0)</f>
        <v>0</v>
      </c>
      <c r="AB553" s="51" t="e">
        <f aca="false">IF(Arterial=0,IF(Informed=1,1,0),0)</f>
        <v>#N/A</v>
      </c>
      <c r="AC553" s="51" t="e">
        <f aca="false">IF(Arterial=0,IF(Informed=0,1,0),0)</f>
        <v>#N/A</v>
      </c>
      <c r="AD553" s="51" t="e">
        <f aca="false">IF(Arterial=1,IF(Informed=1,1,0),0)</f>
        <v>#N/A</v>
      </c>
      <c r="AE553" s="51" t="e">
        <f aca="false">IF(Arterial=1,IF(Informed=0,1,0),0)</f>
        <v>#N/A</v>
      </c>
      <c r="AF553" s="44" t="e">
        <f aca="false">IF(AB553=1,(X553-G$1030)^2,0)</f>
        <v>#N/A</v>
      </c>
      <c r="AG553" s="44" t="e">
        <f aca="false">IF(AC553=1,(Y553-H$1030)^2,0)</f>
        <v>#N/A</v>
      </c>
      <c r="AH553" s="44" t="e">
        <f aca="false">IF(AD553=1,(Z553-I$1030)^2,0)</f>
        <v>#N/A</v>
      </c>
      <c r="AI553" s="44" t="e">
        <f aca="false">IF(AE553=1,(AA553-J$1030)^2,0)</f>
        <v>#N/A</v>
      </c>
    </row>
    <row r="554" customFormat="false" ht="12" hidden="false" customHeight="false" outlineLevel="0" collapsed="false">
      <c r="A554" s="29" t="n">
        <v>537</v>
      </c>
      <c r="B554" s="45" t="n">
        <f aca="true">IF(RAND()&lt;$D$8,1,0)</f>
        <v>1</v>
      </c>
      <c r="C554" s="34" t="n">
        <f aca="true">-LN(RAND())/$D$2</f>
        <v>0.359636310343667</v>
      </c>
      <c r="D554" s="46" t="n">
        <f aca="false">D553+C554</f>
        <v>844.389958858233</v>
      </c>
      <c r="E554" s="47" t="e">
        <f aca="false">MAX($D$3,(1+P553-VLOOKUP(VALUE(D554),$J$18:$Q553,7,TRUE()))*$D$3)</f>
        <v>#N/A</v>
      </c>
      <c r="F554" s="47" t="e">
        <f aca="false">MAX($D$4,(1+Q553-VLOOKUP(VALUE(D554),$M$18:$Q553,5,TRUE()))*$D$4)</f>
        <v>#N/A</v>
      </c>
      <c r="G554" s="48" t="n">
        <v>0.5</v>
      </c>
      <c r="H554" s="46" t="e">
        <f aca="true">IF((B554=1),(IF((F554&lt;E554),1,(IF((F554=E554),(IF(RAND()&lt;G554,1,0)),0)))),(IF((RAND()&lt;G554),1,0)))</f>
        <v>#N/A</v>
      </c>
      <c r="I554" s="46" t="e">
        <f aca="true">IF((H554=1),0,$D$3+$D$5*(RAND()-0.5))</f>
        <v>#N/A</v>
      </c>
      <c r="J554" s="46" t="e">
        <f aca="false">I554+MAX(D554,J553)</f>
        <v>#N/A</v>
      </c>
      <c r="K554" s="46" t="e">
        <f aca="false">IF((H554=0),J554-D554,0)</f>
        <v>#N/A</v>
      </c>
      <c r="L554" s="46" t="e">
        <f aca="true">IF(($H554=0),0,$D$4+$D$5*(RAND()-0.5))</f>
        <v>#N/A</v>
      </c>
      <c r="M554" s="46" t="e">
        <f aca="false">L554+MAX(D554,M553)</f>
        <v>#N/A</v>
      </c>
      <c r="N554" s="46" t="e">
        <f aca="false">IF((H554=1),M554-D554,0)</f>
        <v>#N/A</v>
      </c>
      <c r="O554" s="29" t="n">
        <v>537</v>
      </c>
      <c r="P554" s="49" t="e">
        <f aca="false">IF((Arterial=0),P553+1,P553)</f>
        <v>#N/A</v>
      </c>
      <c r="Q554" s="49" t="e">
        <f aca="false">IF((Arterial=1),Q553+1,Q553)</f>
        <v>#N/A</v>
      </c>
      <c r="R554" s="50" t="n">
        <f aca="false">IF((RESET=1),0,R554+K554)</f>
        <v>0</v>
      </c>
      <c r="S554" s="19" t="n">
        <f aca="false">IF(RESET=1,0,S554+N554)</f>
        <v>0</v>
      </c>
      <c r="T554" s="0" t="n">
        <f aca="false">IF(RESET=1,0,T554+IF(H554=0,1,0))</f>
        <v>0</v>
      </c>
      <c r="U554" s="0" t="n">
        <f aca="false">IF(RESET=1,0,U554+H554)</f>
        <v>0</v>
      </c>
      <c r="V554" s="19" t="n">
        <f aca="false">R554/(T554+0.00001)</f>
        <v>0</v>
      </c>
      <c r="W554" s="19" t="n">
        <f aca="false">S554/(U554+0.0001)</f>
        <v>0</v>
      </c>
      <c r="X554" s="47" t="e">
        <f aca="false">IF(Informed=1,K554,0)</f>
        <v>#N/A</v>
      </c>
      <c r="Y554" s="47" t="n">
        <f aca="false">IF(Informed=0,K554,0)</f>
        <v>0</v>
      </c>
      <c r="Z554" s="47" t="e">
        <f aca="false">IF(Informed=1,N554,0)</f>
        <v>#N/A</v>
      </c>
      <c r="AA554" s="47" t="n">
        <f aca="false">IF(Informed=0,N554,0)</f>
        <v>0</v>
      </c>
      <c r="AB554" s="51" t="e">
        <f aca="false">IF(Arterial=0,IF(Informed=1,1,0),0)</f>
        <v>#N/A</v>
      </c>
      <c r="AC554" s="51" t="e">
        <f aca="false">IF(Arterial=0,IF(Informed=0,1,0),0)</f>
        <v>#N/A</v>
      </c>
      <c r="AD554" s="51" t="e">
        <f aca="false">IF(Arterial=1,IF(Informed=1,1,0),0)</f>
        <v>#N/A</v>
      </c>
      <c r="AE554" s="51" t="e">
        <f aca="false">IF(Arterial=1,IF(Informed=0,1,0),0)</f>
        <v>#N/A</v>
      </c>
      <c r="AF554" s="44" t="e">
        <f aca="false">IF(AB554=1,(X554-G$1030)^2,0)</f>
        <v>#N/A</v>
      </c>
      <c r="AG554" s="44" t="e">
        <f aca="false">IF(AC554=1,(Y554-H$1030)^2,0)</f>
        <v>#N/A</v>
      </c>
      <c r="AH554" s="44" t="e">
        <f aca="false">IF(AD554=1,(Z554-I$1030)^2,0)</f>
        <v>#N/A</v>
      </c>
      <c r="AI554" s="44" t="e">
        <f aca="false">IF(AE554=1,(AA554-J$1030)^2,0)</f>
        <v>#N/A</v>
      </c>
    </row>
    <row r="555" customFormat="false" ht="12" hidden="false" customHeight="false" outlineLevel="0" collapsed="false">
      <c r="A555" s="29" t="n">
        <v>538</v>
      </c>
      <c r="B555" s="45" t="n">
        <f aca="true">IF(RAND()&lt;$D$8,1,0)</f>
        <v>1</v>
      </c>
      <c r="C555" s="34" t="n">
        <f aca="true">-LN(RAND())/$D$2</f>
        <v>0.446879983652079</v>
      </c>
      <c r="D555" s="46" t="n">
        <f aca="false">D554+C555</f>
        <v>844.836838841885</v>
      </c>
      <c r="E555" s="47" t="e">
        <f aca="false">MAX($D$3,(1+P554-VLOOKUP(VALUE(D555),$J$18:$Q554,7,TRUE()))*$D$3)</f>
        <v>#N/A</v>
      </c>
      <c r="F555" s="47" t="e">
        <f aca="false">MAX($D$4,(1+Q554-VLOOKUP(VALUE(D555),$M$18:$Q554,5,TRUE()))*$D$4)</f>
        <v>#N/A</v>
      </c>
      <c r="G555" s="48" t="n">
        <v>0.5</v>
      </c>
      <c r="H555" s="46" t="e">
        <f aca="true">IF((B555=1),(IF((F555&lt;E555),1,(IF((F555=E555),(IF(RAND()&lt;G555,1,0)),0)))),(IF((RAND()&lt;G555),1,0)))</f>
        <v>#N/A</v>
      </c>
      <c r="I555" s="46" t="e">
        <f aca="true">IF((H555=1),0,$D$3+$D$5*(RAND()-0.5))</f>
        <v>#N/A</v>
      </c>
      <c r="J555" s="46" t="e">
        <f aca="false">I555+MAX(D555,J554)</f>
        <v>#N/A</v>
      </c>
      <c r="K555" s="46" t="e">
        <f aca="false">IF((H555=0),J555-D555,0)</f>
        <v>#N/A</v>
      </c>
      <c r="L555" s="46" t="e">
        <f aca="true">IF(($H555=0),0,$D$4+$D$5*(RAND()-0.5))</f>
        <v>#N/A</v>
      </c>
      <c r="M555" s="46" t="e">
        <f aca="false">L555+MAX(D555,M554)</f>
        <v>#N/A</v>
      </c>
      <c r="N555" s="46" t="e">
        <f aca="false">IF((H555=1),M555-D555,0)</f>
        <v>#N/A</v>
      </c>
      <c r="O555" s="29" t="n">
        <v>538</v>
      </c>
      <c r="P555" s="49" t="e">
        <f aca="false">IF((Arterial=0),P554+1,P554)</f>
        <v>#N/A</v>
      </c>
      <c r="Q555" s="49" t="e">
        <f aca="false">IF((Arterial=1),Q554+1,Q554)</f>
        <v>#N/A</v>
      </c>
      <c r="R555" s="50" t="n">
        <f aca="false">IF((RESET=1),0,R555+K555)</f>
        <v>0</v>
      </c>
      <c r="S555" s="19" t="n">
        <f aca="false">IF(RESET=1,0,S555+N555)</f>
        <v>0</v>
      </c>
      <c r="T555" s="0" t="n">
        <f aca="false">IF(RESET=1,0,T555+IF(H555=0,1,0))</f>
        <v>0</v>
      </c>
      <c r="U555" s="0" t="n">
        <f aca="false">IF(RESET=1,0,U555+H555)</f>
        <v>0</v>
      </c>
      <c r="V555" s="19" t="n">
        <f aca="false">R555/(T555+0.00001)</f>
        <v>0</v>
      </c>
      <c r="W555" s="19" t="n">
        <f aca="false">S555/(U555+0.0001)</f>
        <v>0</v>
      </c>
      <c r="X555" s="47" t="e">
        <f aca="false">IF(Informed=1,K555,0)</f>
        <v>#N/A</v>
      </c>
      <c r="Y555" s="47" t="n">
        <f aca="false">IF(Informed=0,K555,0)</f>
        <v>0</v>
      </c>
      <c r="Z555" s="47" t="e">
        <f aca="false">IF(Informed=1,N555,0)</f>
        <v>#N/A</v>
      </c>
      <c r="AA555" s="47" t="n">
        <f aca="false">IF(Informed=0,N555,0)</f>
        <v>0</v>
      </c>
      <c r="AB555" s="51" t="e">
        <f aca="false">IF(Arterial=0,IF(Informed=1,1,0),0)</f>
        <v>#N/A</v>
      </c>
      <c r="AC555" s="51" t="e">
        <f aca="false">IF(Arterial=0,IF(Informed=0,1,0),0)</f>
        <v>#N/A</v>
      </c>
      <c r="AD555" s="51" t="e">
        <f aca="false">IF(Arterial=1,IF(Informed=1,1,0),0)</f>
        <v>#N/A</v>
      </c>
      <c r="AE555" s="51" t="e">
        <f aca="false">IF(Arterial=1,IF(Informed=0,1,0),0)</f>
        <v>#N/A</v>
      </c>
      <c r="AF555" s="44" t="e">
        <f aca="false">IF(AB555=1,(X555-G$1030)^2,0)</f>
        <v>#N/A</v>
      </c>
      <c r="AG555" s="44" t="e">
        <f aca="false">IF(AC555=1,(Y555-H$1030)^2,0)</f>
        <v>#N/A</v>
      </c>
      <c r="AH555" s="44" t="e">
        <f aca="false">IF(AD555=1,(Z555-I$1030)^2,0)</f>
        <v>#N/A</v>
      </c>
      <c r="AI555" s="44" t="e">
        <f aca="false">IF(AE555=1,(AA555-J$1030)^2,0)</f>
        <v>#N/A</v>
      </c>
    </row>
    <row r="556" customFormat="false" ht="12" hidden="false" customHeight="false" outlineLevel="0" collapsed="false">
      <c r="A556" s="29" t="n">
        <v>539</v>
      </c>
      <c r="B556" s="45" t="n">
        <f aca="true">IF(RAND()&lt;$D$8,1,0)</f>
        <v>1</v>
      </c>
      <c r="C556" s="34" t="n">
        <f aca="true">-LN(RAND())/$D$2</f>
        <v>0.395452536073424</v>
      </c>
      <c r="D556" s="46" t="n">
        <f aca="false">D555+C556</f>
        <v>845.232291377959</v>
      </c>
      <c r="E556" s="47" t="e">
        <f aca="false">MAX($D$3,(1+P555-VLOOKUP(VALUE(D556),$J$18:$Q555,7,TRUE()))*$D$3)</f>
        <v>#N/A</v>
      </c>
      <c r="F556" s="47" t="e">
        <f aca="false">MAX($D$4,(1+Q555-VLOOKUP(VALUE(D556),$M$18:$Q555,5,TRUE()))*$D$4)</f>
        <v>#N/A</v>
      </c>
      <c r="G556" s="48" t="n">
        <v>0.5</v>
      </c>
      <c r="H556" s="46" t="e">
        <f aca="true">IF((B556=1),(IF((F556&lt;E556),1,(IF((F556=E556),(IF(RAND()&lt;G556,1,0)),0)))),(IF((RAND()&lt;G556),1,0)))</f>
        <v>#N/A</v>
      </c>
      <c r="I556" s="46" t="e">
        <f aca="true">IF((H556=1),0,$D$3+$D$5*(RAND()-0.5))</f>
        <v>#N/A</v>
      </c>
      <c r="J556" s="46" t="e">
        <f aca="false">I556+MAX(D556,J555)</f>
        <v>#N/A</v>
      </c>
      <c r="K556" s="46" t="e">
        <f aca="false">IF((H556=0),J556-D556,0)</f>
        <v>#N/A</v>
      </c>
      <c r="L556" s="46" t="e">
        <f aca="true">IF(($H556=0),0,$D$4+$D$5*(RAND()-0.5))</f>
        <v>#N/A</v>
      </c>
      <c r="M556" s="46" t="e">
        <f aca="false">L556+MAX(D556,M555)</f>
        <v>#N/A</v>
      </c>
      <c r="N556" s="46" t="e">
        <f aca="false">IF((H556=1),M556-D556,0)</f>
        <v>#N/A</v>
      </c>
      <c r="O556" s="29" t="n">
        <v>539</v>
      </c>
      <c r="P556" s="49" t="e">
        <f aca="false">IF((Arterial=0),P555+1,P555)</f>
        <v>#N/A</v>
      </c>
      <c r="Q556" s="49" t="e">
        <f aca="false">IF((Arterial=1),Q555+1,Q555)</f>
        <v>#N/A</v>
      </c>
      <c r="R556" s="50" t="n">
        <f aca="false">IF((RESET=1),0,R556+K556)</f>
        <v>0</v>
      </c>
      <c r="S556" s="19" t="n">
        <f aca="false">IF(RESET=1,0,S556+N556)</f>
        <v>0</v>
      </c>
      <c r="T556" s="0" t="n">
        <f aca="false">IF(RESET=1,0,T556+IF(H556=0,1,0))</f>
        <v>0</v>
      </c>
      <c r="U556" s="0" t="n">
        <f aca="false">IF(RESET=1,0,U556+H556)</f>
        <v>0</v>
      </c>
      <c r="V556" s="19" t="n">
        <f aca="false">R556/(T556+0.00001)</f>
        <v>0</v>
      </c>
      <c r="W556" s="19" t="n">
        <f aca="false">S556/(U556+0.0001)</f>
        <v>0</v>
      </c>
      <c r="X556" s="47" t="e">
        <f aca="false">IF(Informed=1,K556,0)</f>
        <v>#N/A</v>
      </c>
      <c r="Y556" s="47" t="n">
        <f aca="false">IF(Informed=0,K556,0)</f>
        <v>0</v>
      </c>
      <c r="Z556" s="47" t="e">
        <f aca="false">IF(Informed=1,N556,0)</f>
        <v>#N/A</v>
      </c>
      <c r="AA556" s="47" t="n">
        <f aca="false">IF(Informed=0,N556,0)</f>
        <v>0</v>
      </c>
      <c r="AB556" s="51" t="e">
        <f aca="false">IF(Arterial=0,IF(Informed=1,1,0),0)</f>
        <v>#N/A</v>
      </c>
      <c r="AC556" s="51" t="e">
        <f aca="false">IF(Arterial=0,IF(Informed=0,1,0),0)</f>
        <v>#N/A</v>
      </c>
      <c r="AD556" s="51" t="e">
        <f aca="false">IF(Arterial=1,IF(Informed=1,1,0),0)</f>
        <v>#N/A</v>
      </c>
      <c r="AE556" s="51" t="e">
        <f aca="false">IF(Arterial=1,IF(Informed=0,1,0),0)</f>
        <v>#N/A</v>
      </c>
      <c r="AF556" s="44" t="e">
        <f aca="false">IF(AB556=1,(X556-G$1030)^2,0)</f>
        <v>#N/A</v>
      </c>
      <c r="AG556" s="44" t="e">
        <f aca="false">IF(AC556=1,(Y556-H$1030)^2,0)</f>
        <v>#N/A</v>
      </c>
      <c r="AH556" s="44" t="e">
        <f aca="false">IF(AD556=1,(Z556-I$1030)^2,0)</f>
        <v>#N/A</v>
      </c>
      <c r="AI556" s="44" t="e">
        <f aca="false">IF(AE556=1,(AA556-J$1030)^2,0)</f>
        <v>#N/A</v>
      </c>
    </row>
    <row r="557" customFormat="false" ht="12" hidden="false" customHeight="false" outlineLevel="0" collapsed="false">
      <c r="A557" s="29" t="n">
        <v>540</v>
      </c>
      <c r="B557" s="45" t="n">
        <f aca="true">IF(RAND()&lt;$D$8,1,0)</f>
        <v>1</v>
      </c>
      <c r="C557" s="34" t="n">
        <f aca="true">-LN(RAND())/$D$2</f>
        <v>0.0267939679558643</v>
      </c>
      <c r="D557" s="46" t="n">
        <f aca="false">D556+C557</f>
        <v>845.259085345914</v>
      </c>
      <c r="E557" s="47" t="e">
        <f aca="false">MAX($D$3,(1+P556-VLOOKUP(VALUE(D557),$J$18:$Q556,7,TRUE()))*$D$3)</f>
        <v>#N/A</v>
      </c>
      <c r="F557" s="47" t="e">
        <f aca="false">MAX($D$4,(1+Q556-VLOOKUP(VALUE(D557),$M$18:$Q556,5,TRUE()))*$D$4)</f>
        <v>#N/A</v>
      </c>
      <c r="G557" s="48" t="n">
        <v>0.5</v>
      </c>
      <c r="H557" s="46" t="e">
        <f aca="true">IF((B557=1),(IF((F557&lt;E557),1,(IF((F557=E557),(IF(RAND()&lt;G557,1,0)),0)))),(IF((RAND()&lt;G557),1,0)))</f>
        <v>#N/A</v>
      </c>
      <c r="I557" s="46" t="e">
        <f aca="true">IF((H557=1),0,$D$3+$D$5*(RAND()-0.5))</f>
        <v>#N/A</v>
      </c>
      <c r="J557" s="46" t="e">
        <f aca="false">I557+MAX(D557,J556)</f>
        <v>#N/A</v>
      </c>
      <c r="K557" s="46" t="e">
        <f aca="false">IF((H557=0),J557-D557,0)</f>
        <v>#N/A</v>
      </c>
      <c r="L557" s="46" t="e">
        <f aca="true">IF(($H557=0),0,$D$4+$D$5*(RAND()-0.5))</f>
        <v>#N/A</v>
      </c>
      <c r="M557" s="46" t="e">
        <f aca="false">L557+MAX(D557,M556)</f>
        <v>#N/A</v>
      </c>
      <c r="N557" s="46" t="e">
        <f aca="false">IF((H557=1),M557-D557,0)</f>
        <v>#N/A</v>
      </c>
      <c r="O557" s="29" t="n">
        <v>540</v>
      </c>
      <c r="P557" s="49" t="e">
        <f aca="false">IF((Arterial=0),P556+1,P556)</f>
        <v>#N/A</v>
      </c>
      <c r="Q557" s="49" t="e">
        <f aca="false">IF((Arterial=1),Q556+1,Q556)</f>
        <v>#N/A</v>
      </c>
      <c r="R557" s="50" t="n">
        <f aca="false">IF((RESET=1),0,R557+K557)</f>
        <v>0</v>
      </c>
      <c r="S557" s="19" t="n">
        <f aca="false">IF(RESET=1,0,S557+N557)</f>
        <v>0</v>
      </c>
      <c r="T557" s="0" t="n">
        <f aca="false">IF(RESET=1,0,T557+IF(H557=0,1,0))</f>
        <v>0</v>
      </c>
      <c r="U557" s="0" t="n">
        <f aca="false">IF(RESET=1,0,U557+H557)</f>
        <v>0</v>
      </c>
      <c r="V557" s="19" t="n">
        <f aca="false">R557/(T557+0.00001)</f>
        <v>0</v>
      </c>
      <c r="W557" s="19" t="n">
        <f aca="false">S557/(U557+0.0001)</f>
        <v>0</v>
      </c>
      <c r="X557" s="47" t="e">
        <f aca="false">IF(Informed=1,K557,0)</f>
        <v>#N/A</v>
      </c>
      <c r="Y557" s="47" t="n">
        <f aca="false">IF(Informed=0,K557,0)</f>
        <v>0</v>
      </c>
      <c r="Z557" s="47" t="e">
        <f aca="false">IF(Informed=1,N557,0)</f>
        <v>#N/A</v>
      </c>
      <c r="AA557" s="47" t="n">
        <f aca="false">IF(Informed=0,N557,0)</f>
        <v>0</v>
      </c>
      <c r="AB557" s="51" t="e">
        <f aca="false">IF(Arterial=0,IF(Informed=1,1,0),0)</f>
        <v>#N/A</v>
      </c>
      <c r="AC557" s="51" t="e">
        <f aca="false">IF(Arterial=0,IF(Informed=0,1,0),0)</f>
        <v>#N/A</v>
      </c>
      <c r="AD557" s="51" t="e">
        <f aca="false">IF(Arterial=1,IF(Informed=1,1,0),0)</f>
        <v>#N/A</v>
      </c>
      <c r="AE557" s="51" t="e">
        <f aca="false">IF(Arterial=1,IF(Informed=0,1,0),0)</f>
        <v>#N/A</v>
      </c>
      <c r="AF557" s="44" t="e">
        <f aca="false">IF(AB557=1,(X557-G$1030)^2,0)</f>
        <v>#N/A</v>
      </c>
      <c r="AG557" s="44" t="e">
        <f aca="false">IF(AC557=1,(Y557-H$1030)^2,0)</f>
        <v>#N/A</v>
      </c>
      <c r="AH557" s="44" t="e">
        <f aca="false">IF(AD557=1,(Z557-I$1030)^2,0)</f>
        <v>#N/A</v>
      </c>
      <c r="AI557" s="44" t="e">
        <f aca="false">IF(AE557=1,(AA557-J$1030)^2,0)</f>
        <v>#N/A</v>
      </c>
    </row>
    <row r="558" customFormat="false" ht="12" hidden="false" customHeight="false" outlineLevel="0" collapsed="false">
      <c r="A558" s="29" t="n">
        <v>541</v>
      </c>
      <c r="B558" s="45" t="n">
        <f aca="true">IF(RAND()&lt;$D$8,1,0)</f>
        <v>1</v>
      </c>
      <c r="C558" s="34" t="n">
        <f aca="true">-LN(RAND())/$D$2</f>
        <v>0.107907006485515</v>
      </c>
      <c r="D558" s="46" t="n">
        <f aca="false">D557+C558</f>
        <v>845.3669923524</v>
      </c>
      <c r="E558" s="47" t="e">
        <f aca="false">MAX($D$3,(1+P557-VLOOKUP(VALUE(D558),$J$18:$Q557,7,TRUE()))*$D$3)</f>
        <v>#N/A</v>
      </c>
      <c r="F558" s="47" t="e">
        <f aca="false">MAX($D$4,(1+Q557-VLOOKUP(VALUE(D558),$M$18:$Q557,5,TRUE()))*$D$4)</f>
        <v>#N/A</v>
      </c>
      <c r="G558" s="48" t="n">
        <v>0.5</v>
      </c>
      <c r="H558" s="46" t="e">
        <f aca="true">IF((B558=1),(IF((F558&lt;E558),1,(IF((F558=E558),(IF(RAND()&lt;G558,1,0)),0)))),(IF((RAND()&lt;G558),1,0)))</f>
        <v>#N/A</v>
      </c>
      <c r="I558" s="46" t="e">
        <f aca="true">IF((H558=1),0,$D$3+$D$5*(RAND()-0.5))</f>
        <v>#N/A</v>
      </c>
      <c r="J558" s="46" t="e">
        <f aca="false">I558+MAX(D558,J557)</f>
        <v>#N/A</v>
      </c>
      <c r="K558" s="46" t="e">
        <f aca="false">IF((H558=0),J558-D558,0)</f>
        <v>#N/A</v>
      </c>
      <c r="L558" s="46" t="e">
        <f aca="true">IF(($H558=0),0,$D$4+$D$5*(RAND()-0.5))</f>
        <v>#N/A</v>
      </c>
      <c r="M558" s="46" t="e">
        <f aca="false">L558+MAX(D558,M557)</f>
        <v>#N/A</v>
      </c>
      <c r="N558" s="46" t="e">
        <f aca="false">IF((H558=1),M558-D558,0)</f>
        <v>#N/A</v>
      </c>
      <c r="O558" s="29" t="n">
        <v>541</v>
      </c>
      <c r="P558" s="49" t="e">
        <f aca="false">IF((Arterial=0),P557+1,P557)</f>
        <v>#N/A</v>
      </c>
      <c r="Q558" s="49" t="e">
        <f aca="false">IF((Arterial=1),Q557+1,Q557)</f>
        <v>#N/A</v>
      </c>
      <c r="R558" s="50" t="n">
        <f aca="false">IF((RESET=1),0,R558+K558)</f>
        <v>0</v>
      </c>
      <c r="S558" s="19" t="n">
        <f aca="false">IF(RESET=1,0,S558+N558)</f>
        <v>0</v>
      </c>
      <c r="T558" s="0" t="n">
        <f aca="false">IF(RESET=1,0,T558+IF(H558=0,1,0))</f>
        <v>0</v>
      </c>
      <c r="U558" s="0" t="n">
        <f aca="false">IF(RESET=1,0,U558+H558)</f>
        <v>0</v>
      </c>
      <c r="V558" s="19" t="n">
        <f aca="false">R558/(T558+0.00001)</f>
        <v>0</v>
      </c>
      <c r="W558" s="19" t="n">
        <f aca="false">S558/(U558+0.0001)</f>
        <v>0</v>
      </c>
      <c r="X558" s="47" t="e">
        <f aca="false">IF(Informed=1,K558,0)</f>
        <v>#N/A</v>
      </c>
      <c r="Y558" s="47" t="n">
        <f aca="false">IF(Informed=0,K558,0)</f>
        <v>0</v>
      </c>
      <c r="Z558" s="47" t="e">
        <f aca="false">IF(Informed=1,N558,0)</f>
        <v>#N/A</v>
      </c>
      <c r="AA558" s="47" t="n">
        <f aca="false">IF(Informed=0,N558,0)</f>
        <v>0</v>
      </c>
      <c r="AB558" s="51" t="e">
        <f aca="false">IF(Arterial=0,IF(Informed=1,1,0),0)</f>
        <v>#N/A</v>
      </c>
      <c r="AC558" s="51" t="e">
        <f aca="false">IF(Arterial=0,IF(Informed=0,1,0),0)</f>
        <v>#N/A</v>
      </c>
      <c r="AD558" s="51" t="e">
        <f aca="false">IF(Arterial=1,IF(Informed=1,1,0),0)</f>
        <v>#N/A</v>
      </c>
      <c r="AE558" s="51" t="e">
        <f aca="false">IF(Arterial=1,IF(Informed=0,1,0),0)</f>
        <v>#N/A</v>
      </c>
      <c r="AF558" s="44" t="e">
        <f aca="false">IF(AB558=1,(X558-G$1030)^2,0)</f>
        <v>#N/A</v>
      </c>
      <c r="AG558" s="44" t="e">
        <f aca="false">IF(AC558=1,(Y558-H$1030)^2,0)</f>
        <v>#N/A</v>
      </c>
      <c r="AH558" s="44" t="e">
        <f aca="false">IF(AD558=1,(Z558-I$1030)^2,0)</f>
        <v>#N/A</v>
      </c>
      <c r="AI558" s="44" t="e">
        <f aca="false">IF(AE558=1,(AA558-J$1030)^2,0)</f>
        <v>#N/A</v>
      </c>
    </row>
    <row r="559" customFormat="false" ht="12" hidden="false" customHeight="false" outlineLevel="0" collapsed="false">
      <c r="A559" s="29" t="n">
        <v>542</v>
      </c>
      <c r="B559" s="45" t="n">
        <f aca="true">IF(RAND()&lt;$D$8,1,0)</f>
        <v>1</v>
      </c>
      <c r="C559" s="34" t="n">
        <f aca="true">-LN(RAND())/$D$2</f>
        <v>3.99935688801773</v>
      </c>
      <c r="D559" s="46" t="n">
        <f aca="false">D558+C559</f>
        <v>849.366349240418</v>
      </c>
      <c r="E559" s="47" t="e">
        <f aca="false">MAX($D$3,(1+P558-VLOOKUP(VALUE(D559),$J$18:$Q558,7,TRUE()))*$D$3)</f>
        <v>#N/A</v>
      </c>
      <c r="F559" s="47" t="e">
        <f aca="false">MAX($D$4,(1+Q558-VLOOKUP(VALUE(D559),$M$18:$Q558,5,TRUE()))*$D$4)</f>
        <v>#N/A</v>
      </c>
      <c r="G559" s="48" t="n">
        <v>0.5</v>
      </c>
      <c r="H559" s="46" t="e">
        <f aca="true">IF((B559=1),(IF((F559&lt;E559),1,(IF((F559=E559),(IF(RAND()&lt;G559,1,0)),0)))),(IF((RAND()&lt;G559),1,0)))</f>
        <v>#N/A</v>
      </c>
      <c r="I559" s="46" t="e">
        <f aca="true">IF((H559=1),0,$D$3+$D$5*(RAND()-0.5))</f>
        <v>#N/A</v>
      </c>
      <c r="J559" s="46" t="e">
        <f aca="false">I559+MAX(D559,J558)</f>
        <v>#N/A</v>
      </c>
      <c r="K559" s="46" t="e">
        <f aca="false">IF((H559=0),J559-D559,0)</f>
        <v>#N/A</v>
      </c>
      <c r="L559" s="46" t="e">
        <f aca="true">IF(($H559=0),0,$D$4+$D$5*(RAND()-0.5))</f>
        <v>#N/A</v>
      </c>
      <c r="M559" s="46" t="e">
        <f aca="false">L559+MAX(D559,M558)</f>
        <v>#N/A</v>
      </c>
      <c r="N559" s="46" t="e">
        <f aca="false">IF((H559=1),M559-D559,0)</f>
        <v>#N/A</v>
      </c>
      <c r="O559" s="29" t="n">
        <v>542</v>
      </c>
      <c r="P559" s="49" t="e">
        <f aca="false">IF((Arterial=0),P558+1,P558)</f>
        <v>#N/A</v>
      </c>
      <c r="Q559" s="49" t="e">
        <f aca="false">IF((Arterial=1),Q558+1,Q558)</f>
        <v>#N/A</v>
      </c>
      <c r="R559" s="50" t="n">
        <f aca="false">IF((RESET=1),0,R559+K559)</f>
        <v>0</v>
      </c>
      <c r="S559" s="19" t="n">
        <f aca="false">IF(RESET=1,0,S559+N559)</f>
        <v>0</v>
      </c>
      <c r="T559" s="0" t="n">
        <f aca="false">IF(RESET=1,0,T559+IF(H559=0,1,0))</f>
        <v>0</v>
      </c>
      <c r="U559" s="0" t="n">
        <f aca="false">IF(RESET=1,0,U559+H559)</f>
        <v>0</v>
      </c>
      <c r="V559" s="19" t="n">
        <f aca="false">R559/(T559+0.00001)</f>
        <v>0</v>
      </c>
      <c r="W559" s="19" t="n">
        <f aca="false">S559/(U559+0.0001)</f>
        <v>0</v>
      </c>
      <c r="X559" s="47" t="e">
        <f aca="false">IF(Informed=1,K559,0)</f>
        <v>#N/A</v>
      </c>
      <c r="Y559" s="47" t="n">
        <f aca="false">IF(Informed=0,K559,0)</f>
        <v>0</v>
      </c>
      <c r="Z559" s="47" t="e">
        <f aca="false">IF(Informed=1,N559,0)</f>
        <v>#N/A</v>
      </c>
      <c r="AA559" s="47" t="n">
        <f aca="false">IF(Informed=0,N559,0)</f>
        <v>0</v>
      </c>
      <c r="AB559" s="51" t="e">
        <f aca="false">IF(Arterial=0,IF(Informed=1,1,0),0)</f>
        <v>#N/A</v>
      </c>
      <c r="AC559" s="51" t="e">
        <f aca="false">IF(Arterial=0,IF(Informed=0,1,0),0)</f>
        <v>#N/A</v>
      </c>
      <c r="AD559" s="51" t="e">
        <f aca="false">IF(Arterial=1,IF(Informed=1,1,0),0)</f>
        <v>#N/A</v>
      </c>
      <c r="AE559" s="51" t="e">
        <f aca="false">IF(Arterial=1,IF(Informed=0,1,0),0)</f>
        <v>#N/A</v>
      </c>
      <c r="AF559" s="44" t="e">
        <f aca="false">IF(AB559=1,(X559-G$1030)^2,0)</f>
        <v>#N/A</v>
      </c>
      <c r="AG559" s="44" t="e">
        <f aca="false">IF(AC559=1,(Y559-H$1030)^2,0)</f>
        <v>#N/A</v>
      </c>
      <c r="AH559" s="44" t="e">
        <f aca="false">IF(AD559=1,(Z559-I$1030)^2,0)</f>
        <v>#N/A</v>
      </c>
      <c r="AI559" s="44" t="e">
        <f aca="false">IF(AE559=1,(AA559-J$1030)^2,0)</f>
        <v>#N/A</v>
      </c>
    </row>
    <row r="560" customFormat="false" ht="12" hidden="false" customHeight="false" outlineLevel="0" collapsed="false">
      <c r="A560" s="29" t="n">
        <v>543</v>
      </c>
      <c r="B560" s="45" t="n">
        <f aca="true">IF(RAND()&lt;$D$8,1,0)</f>
        <v>1</v>
      </c>
      <c r="C560" s="34" t="n">
        <f aca="true">-LN(RAND())/$D$2</f>
        <v>2.65683481445508</v>
      </c>
      <c r="D560" s="46" t="n">
        <f aca="false">D559+C560</f>
        <v>852.023184054873</v>
      </c>
      <c r="E560" s="47" t="e">
        <f aca="false">MAX($D$3,(1+P559-VLOOKUP(VALUE(D560),$J$18:$Q559,7,TRUE()))*$D$3)</f>
        <v>#N/A</v>
      </c>
      <c r="F560" s="47" t="e">
        <f aca="false">MAX($D$4,(1+Q559-VLOOKUP(VALUE(D560),$M$18:$Q559,5,TRUE()))*$D$4)</f>
        <v>#N/A</v>
      </c>
      <c r="G560" s="48" t="n">
        <v>0.5</v>
      </c>
      <c r="H560" s="46" t="e">
        <f aca="true">IF((B560=1),(IF((F560&lt;E560),1,(IF((F560=E560),(IF(RAND()&lt;G560,1,0)),0)))),(IF((RAND()&lt;G560),1,0)))</f>
        <v>#N/A</v>
      </c>
      <c r="I560" s="46" t="e">
        <f aca="true">IF((H560=1),0,$D$3+$D$5*(RAND()-0.5))</f>
        <v>#N/A</v>
      </c>
      <c r="J560" s="46" t="e">
        <f aca="false">I560+MAX(D560,J559)</f>
        <v>#N/A</v>
      </c>
      <c r="K560" s="46" t="e">
        <f aca="false">IF((H560=0),J560-D560,0)</f>
        <v>#N/A</v>
      </c>
      <c r="L560" s="46" t="e">
        <f aca="true">IF(($H560=0),0,$D$4+$D$5*(RAND()-0.5))</f>
        <v>#N/A</v>
      </c>
      <c r="M560" s="46" t="e">
        <f aca="false">L560+MAX(D560,M559)</f>
        <v>#N/A</v>
      </c>
      <c r="N560" s="46" t="e">
        <f aca="false">IF((H560=1),M560-D560,0)</f>
        <v>#N/A</v>
      </c>
      <c r="O560" s="29" t="n">
        <v>543</v>
      </c>
      <c r="P560" s="49" t="e">
        <f aca="false">IF((Arterial=0),P559+1,P559)</f>
        <v>#N/A</v>
      </c>
      <c r="Q560" s="49" t="e">
        <f aca="false">IF((Arterial=1),Q559+1,Q559)</f>
        <v>#N/A</v>
      </c>
      <c r="R560" s="50" t="n">
        <f aca="false">IF((RESET=1),0,R560+K560)</f>
        <v>0</v>
      </c>
      <c r="S560" s="19" t="n">
        <f aca="false">IF(RESET=1,0,S560+N560)</f>
        <v>0</v>
      </c>
      <c r="T560" s="0" t="n">
        <f aca="false">IF(RESET=1,0,T560+IF(H560=0,1,0))</f>
        <v>0</v>
      </c>
      <c r="U560" s="0" t="n">
        <f aca="false">IF(RESET=1,0,U560+H560)</f>
        <v>0</v>
      </c>
      <c r="V560" s="19" t="n">
        <f aca="false">R560/(T560+0.00001)</f>
        <v>0</v>
      </c>
      <c r="W560" s="19" t="n">
        <f aca="false">S560/(U560+0.0001)</f>
        <v>0</v>
      </c>
      <c r="X560" s="47" t="e">
        <f aca="false">IF(Informed=1,K560,0)</f>
        <v>#N/A</v>
      </c>
      <c r="Y560" s="47" t="n">
        <f aca="false">IF(Informed=0,K560,0)</f>
        <v>0</v>
      </c>
      <c r="Z560" s="47" t="e">
        <f aca="false">IF(Informed=1,N560,0)</f>
        <v>#N/A</v>
      </c>
      <c r="AA560" s="47" t="n">
        <f aca="false">IF(Informed=0,N560,0)</f>
        <v>0</v>
      </c>
      <c r="AB560" s="51" t="e">
        <f aca="false">IF(Arterial=0,IF(Informed=1,1,0),0)</f>
        <v>#N/A</v>
      </c>
      <c r="AC560" s="51" t="e">
        <f aca="false">IF(Arterial=0,IF(Informed=0,1,0),0)</f>
        <v>#N/A</v>
      </c>
      <c r="AD560" s="51" t="e">
        <f aca="false">IF(Arterial=1,IF(Informed=1,1,0),0)</f>
        <v>#N/A</v>
      </c>
      <c r="AE560" s="51" t="e">
        <f aca="false">IF(Arterial=1,IF(Informed=0,1,0),0)</f>
        <v>#N/A</v>
      </c>
      <c r="AF560" s="44" t="e">
        <f aca="false">IF(AB560=1,(X560-G$1030)^2,0)</f>
        <v>#N/A</v>
      </c>
      <c r="AG560" s="44" t="e">
        <f aca="false">IF(AC560=1,(Y560-H$1030)^2,0)</f>
        <v>#N/A</v>
      </c>
      <c r="AH560" s="44" t="e">
        <f aca="false">IF(AD560=1,(Z560-I$1030)^2,0)</f>
        <v>#N/A</v>
      </c>
      <c r="AI560" s="44" t="e">
        <f aca="false">IF(AE560=1,(AA560-J$1030)^2,0)</f>
        <v>#N/A</v>
      </c>
    </row>
    <row r="561" customFormat="false" ht="12" hidden="false" customHeight="false" outlineLevel="0" collapsed="false">
      <c r="A561" s="29" t="n">
        <v>544</v>
      </c>
      <c r="B561" s="45" t="n">
        <f aca="true">IF(RAND()&lt;$D$8,1,0)</f>
        <v>1</v>
      </c>
      <c r="C561" s="34" t="n">
        <f aca="true">-LN(RAND())/$D$2</f>
        <v>3.04527795124314</v>
      </c>
      <c r="D561" s="46" t="n">
        <f aca="false">D560+C561</f>
        <v>855.068462006116</v>
      </c>
      <c r="E561" s="47" t="e">
        <f aca="false">MAX($D$3,(1+P560-VLOOKUP(VALUE(D561),$J$18:$Q560,7,TRUE()))*$D$3)</f>
        <v>#N/A</v>
      </c>
      <c r="F561" s="47" t="e">
        <f aca="false">MAX($D$4,(1+Q560-VLOOKUP(VALUE(D561),$M$18:$Q560,5,TRUE()))*$D$4)</f>
        <v>#N/A</v>
      </c>
      <c r="G561" s="48" t="n">
        <v>0.5</v>
      </c>
      <c r="H561" s="46" t="e">
        <f aca="true">IF((B561=1),(IF((F561&lt;E561),1,(IF((F561=E561),(IF(RAND()&lt;G561,1,0)),0)))),(IF((RAND()&lt;G561),1,0)))</f>
        <v>#N/A</v>
      </c>
      <c r="I561" s="46" t="e">
        <f aca="true">IF((H561=1),0,$D$3+$D$5*(RAND()-0.5))</f>
        <v>#N/A</v>
      </c>
      <c r="J561" s="46" t="e">
        <f aca="false">I561+MAX(D561,J560)</f>
        <v>#N/A</v>
      </c>
      <c r="K561" s="46" t="e">
        <f aca="false">IF((H561=0),J561-D561,0)</f>
        <v>#N/A</v>
      </c>
      <c r="L561" s="46" t="e">
        <f aca="true">IF(($H561=0),0,$D$4+$D$5*(RAND()-0.5))</f>
        <v>#N/A</v>
      </c>
      <c r="M561" s="46" t="e">
        <f aca="false">L561+MAX(D561,M560)</f>
        <v>#N/A</v>
      </c>
      <c r="N561" s="46" t="e">
        <f aca="false">IF((H561=1),M561-D561,0)</f>
        <v>#N/A</v>
      </c>
      <c r="O561" s="29" t="n">
        <v>544</v>
      </c>
      <c r="P561" s="49" t="e">
        <f aca="false">IF((Arterial=0),P560+1,P560)</f>
        <v>#N/A</v>
      </c>
      <c r="Q561" s="49" t="e">
        <f aca="false">IF((Arterial=1),Q560+1,Q560)</f>
        <v>#N/A</v>
      </c>
      <c r="R561" s="50" t="n">
        <f aca="false">IF((RESET=1),0,R561+K561)</f>
        <v>0</v>
      </c>
      <c r="S561" s="19" t="n">
        <f aca="false">IF(RESET=1,0,S561+N561)</f>
        <v>0</v>
      </c>
      <c r="T561" s="0" t="n">
        <f aca="false">IF(RESET=1,0,T561+IF(H561=0,1,0))</f>
        <v>0</v>
      </c>
      <c r="U561" s="0" t="n">
        <f aca="false">IF(RESET=1,0,U561+H561)</f>
        <v>0</v>
      </c>
      <c r="V561" s="19" t="n">
        <f aca="false">R561/(T561+0.00001)</f>
        <v>0</v>
      </c>
      <c r="W561" s="19" t="n">
        <f aca="false">S561/(U561+0.0001)</f>
        <v>0</v>
      </c>
      <c r="X561" s="47" t="e">
        <f aca="false">IF(Informed=1,K561,0)</f>
        <v>#N/A</v>
      </c>
      <c r="Y561" s="47" t="n">
        <f aca="false">IF(Informed=0,K561,0)</f>
        <v>0</v>
      </c>
      <c r="Z561" s="47" t="e">
        <f aca="false">IF(Informed=1,N561,0)</f>
        <v>#N/A</v>
      </c>
      <c r="AA561" s="47" t="n">
        <f aca="false">IF(Informed=0,N561,0)</f>
        <v>0</v>
      </c>
      <c r="AB561" s="51" t="e">
        <f aca="false">IF(Arterial=0,IF(Informed=1,1,0),0)</f>
        <v>#N/A</v>
      </c>
      <c r="AC561" s="51" t="e">
        <f aca="false">IF(Arterial=0,IF(Informed=0,1,0),0)</f>
        <v>#N/A</v>
      </c>
      <c r="AD561" s="51" t="e">
        <f aca="false">IF(Arterial=1,IF(Informed=1,1,0),0)</f>
        <v>#N/A</v>
      </c>
      <c r="AE561" s="51" t="e">
        <f aca="false">IF(Arterial=1,IF(Informed=0,1,0),0)</f>
        <v>#N/A</v>
      </c>
      <c r="AF561" s="44" t="e">
        <f aca="false">IF(AB561=1,(X561-G$1030)^2,0)</f>
        <v>#N/A</v>
      </c>
      <c r="AG561" s="44" t="e">
        <f aca="false">IF(AC561=1,(Y561-H$1030)^2,0)</f>
        <v>#N/A</v>
      </c>
      <c r="AH561" s="44" t="e">
        <f aca="false">IF(AD561=1,(Z561-I$1030)^2,0)</f>
        <v>#N/A</v>
      </c>
      <c r="AI561" s="44" t="e">
        <f aca="false">IF(AE561=1,(AA561-J$1030)^2,0)</f>
        <v>#N/A</v>
      </c>
    </row>
    <row r="562" customFormat="false" ht="12" hidden="false" customHeight="false" outlineLevel="0" collapsed="false">
      <c r="A562" s="29" t="n">
        <v>545</v>
      </c>
      <c r="B562" s="45" t="n">
        <f aca="true">IF(RAND()&lt;$D$8,1,0)</f>
        <v>1</v>
      </c>
      <c r="C562" s="34" t="n">
        <f aca="true">-LN(RAND())/$D$2</f>
        <v>2.4462861204007</v>
      </c>
      <c r="D562" s="46" t="n">
        <f aca="false">D561+C562</f>
        <v>857.514748126517</v>
      </c>
      <c r="E562" s="47" t="e">
        <f aca="false">MAX($D$3,(1+P561-VLOOKUP(VALUE(D562),$J$18:$Q561,7,TRUE()))*$D$3)</f>
        <v>#N/A</v>
      </c>
      <c r="F562" s="47" t="e">
        <f aca="false">MAX($D$4,(1+Q561-VLOOKUP(VALUE(D562),$M$18:$Q561,5,TRUE()))*$D$4)</f>
        <v>#N/A</v>
      </c>
      <c r="G562" s="48" t="n">
        <v>0.5</v>
      </c>
      <c r="H562" s="46" t="e">
        <f aca="true">IF((B562=1),(IF((F562&lt;E562),1,(IF((F562=E562),(IF(RAND()&lt;G562,1,0)),0)))),(IF((RAND()&lt;G562),1,0)))</f>
        <v>#N/A</v>
      </c>
      <c r="I562" s="46" t="e">
        <f aca="true">IF((H562=1),0,$D$3+$D$5*(RAND()-0.5))</f>
        <v>#N/A</v>
      </c>
      <c r="J562" s="46" t="e">
        <f aca="false">I562+MAX(D562,J561)</f>
        <v>#N/A</v>
      </c>
      <c r="K562" s="46" t="e">
        <f aca="false">IF((H562=0),J562-D562,0)</f>
        <v>#N/A</v>
      </c>
      <c r="L562" s="46" t="e">
        <f aca="true">IF(($H562=0),0,$D$4+$D$5*(RAND()-0.5))</f>
        <v>#N/A</v>
      </c>
      <c r="M562" s="46" t="e">
        <f aca="false">L562+MAX(D562,M561)</f>
        <v>#N/A</v>
      </c>
      <c r="N562" s="46" t="e">
        <f aca="false">IF((H562=1),M562-D562,0)</f>
        <v>#N/A</v>
      </c>
      <c r="O562" s="29" t="n">
        <v>545</v>
      </c>
      <c r="P562" s="49" t="e">
        <f aca="false">IF((Arterial=0),P561+1,P561)</f>
        <v>#N/A</v>
      </c>
      <c r="Q562" s="49" t="e">
        <f aca="false">IF((Arterial=1),Q561+1,Q561)</f>
        <v>#N/A</v>
      </c>
      <c r="R562" s="50" t="n">
        <f aca="false">IF((RESET=1),0,R562+K562)</f>
        <v>0</v>
      </c>
      <c r="S562" s="19" t="n">
        <f aca="false">IF(RESET=1,0,S562+N562)</f>
        <v>0</v>
      </c>
      <c r="T562" s="0" t="n">
        <f aca="false">IF(RESET=1,0,T562+IF(H562=0,1,0))</f>
        <v>0</v>
      </c>
      <c r="U562" s="0" t="n">
        <f aca="false">IF(RESET=1,0,U562+H562)</f>
        <v>0</v>
      </c>
      <c r="V562" s="19" t="n">
        <f aca="false">R562/(T562+0.00001)</f>
        <v>0</v>
      </c>
      <c r="W562" s="19" t="n">
        <f aca="false">S562/(U562+0.0001)</f>
        <v>0</v>
      </c>
      <c r="X562" s="47" t="e">
        <f aca="false">IF(Informed=1,K562,0)</f>
        <v>#N/A</v>
      </c>
      <c r="Y562" s="47" t="n">
        <f aca="false">IF(Informed=0,K562,0)</f>
        <v>0</v>
      </c>
      <c r="Z562" s="47" t="e">
        <f aca="false">IF(Informed=1,N562,0)</f>
        <v>#N/A</v>
      </c>
      <c r="AA562" s="47" t="n">
        <f aca="false">IF(Informed=0,N562,0)</f>
        <v>0</v>
      </c>
      <c r="AB562" s="51" t="e">
        <f aca="false">IF(Arterial=0,IF(Informed=1,1,0),0)</f>
        <v>#N/A</v>
      </c>
      <c r="AC562" s="51" t="e">
        <f aca="false">IF(Arterial=0,IF(Informed=0,1,0),0)</f>
        <v>#N/A</v>
      </c>
      <c r="AD562" s="51" t="e">
        <f aca="false">IF(Arterial=1,IF(Informed=1,1,0),0)</f>
        <v>#N/A</v>
      </c>
      <c r="AE562" s="51" t="e">
        <f aca="false">IF(Arterial=1,IF(Informed=0,1,0),0)</f>
        <v>#N/A</v>
      </c>
      <c r="AF562" s="44" t="e">
        <f aca="false">IF(AB562=1,(X562-G$1030)^2,0)</f>
        <v>#N/A</v>
      </c>
      <c r="AG562" s="44" t="e">
        <f aca="false">IF(AC562=1,(Y562-H$1030)^2,0)</f>
        <v>#N/A</v>
      </c>
      <c r="AH562" s="44" t="e">
        <f aca="false">IF(AD562=1,(Z562-I$1030)^2,0)</f>
        <v>#N/A</v>
      </c>
      <c r="AI562" s="44" t="e">
        <f aca="false">IF(AE562=1,(AA562-J$1030)^2,0)</f>
        <v>#N/A</v>
      </c>
    </row>
    <row r="563" customFormat="false" ht="12" hidden="false" customHeight="false" outlineLevel="0" collapsed="false">
      <c r="A563" s="29" t="n">
        <v>546</v>
      </c>
      <c r="B563" s="45" t="n">
        <f aca="true">IF(RAND()&lt;$D$8,1,0)</f>
        <v>1</v>
      </c>
      <c r="C563" s="34" t="n">
        <f aca="true">-LN(RAND())/$D$2</f>
        <v>1.46582009291069</v>
      </c>
      <c r="D563" s="46" t="n">
        <f aca="false">D562+C563</f>
        <v>858.980568219427</v>
      </c>
      <c r="E563" s="47" t="e">
        <f aca="false">MAX($D$3,(1+P562-VLOOKUP(VALUE(D563),$J$18:$Q562,7,TRUE()))*$D$3)</f>
        <v>#N/A</v>
      </c>
      <c r="F563" s="47" t="e">
        <f aca="false">MAX($D$4,(1+Q562-VLOOKUP(VALUE(D563),$M$18:$Q562,5,TRUE()))*$D$4)</f>
        <v>#N/A</v>
      </c>
      <c r="G563" s="48" t="n">
        <v>0.5</v>
      </c>
      <c r="H563" s="46" t="e">
        <f aca="true">IF((B563=1),(IF((F563&lt;E563),1,(IF((F563=E563),(IF(RAND()&lt;G563,1,0)),0)))),(IF((RAND()&lt;G563),1,0)))</f>
        <v>#N/A</v>
      </c>
      <c r="I563" s="46" t="e">
        <f aca="true">IF((H563=1),0,$D$3+$D$5*(RAND()-0.5))</f>
        <v>#N/A</v>
      </c>
      <c r="J563" s="46" t="e">
        <f aca="false">I563+MAX(D563,J562)</f>
        <v>#N/A</v>
      </c>
      <c r="K563" s="46" t="e">
        <f aca="false">IF((H563=0),J563-D563,0)</f>
        <v>#N/A</v>
      </c>
      <c r="L563" s="46" t="e">
        <f aca="true">IF(($H563=0),0,$D$4+$D$5*(RAND()-0.5))</f>
        <v>#N/A</v>
      </c>
      <c r="M563" s="46" t="e">
        <f aca="false">L563+MAX(D563,M562)</f>
        <v>#N/A</v>
      </c>
      <c r="N563" s="46" t="e">
        <f aca="false">IF((H563=1),M563-D563,0)</f>
        <v>#N/A</v>
      </c>
      <c r="O563" s="29" t="n">
        <v>546</v>
      </c>
      <c r="P563" s="49" t="e">
        <f aca="false">IF((Arterial=0),P562+1,P562)</f>
        <v>#N/A</v>
      </c>
      <c r="Q563" s="49" t="e">
        <f aca="false">IF((Arterial=1),Q562+1,Q562)</f>
        <v>#N/A</v>
      </c>
      <c r="R563" s="50" t="n">
        <f aca="false">IF((RESET=1),0,R563+K563)</f>
        <v>0</v>
      </c>
      <c r="S563" s="19" t="n">
        <f aca="false">IF(RESET=1,0,S563+N563)</f>
        <v>0</v>
      </c>
      <c r="T563" s="0" t="n">
        <f aca="false">IF(RESET=1,0,T563+IF(H563=0,1,0))</f>
        <v>0</v>
      </c>
      <c r="U563" s="0" t="n">
        <f aca="false">IF(RESET=1,0,U563+H563)</f>
        <v>0</v>
      </c>
      <c r="V563" s="19" t="n">
        <f aca="false">R563/(T563+0.00001)</f>
        <v>0</v>
      </c>
      <c r="W563" s="19" t="n">
        <f aca="false">S563/(U563+0.0001)</f>
        <v>0</v>
      </c>
      <c r="X563" s="47" t="e">
        <f aca="false">IF(Informed=1,K563,0)</f>
        <v>#N/A</v>
      </c>
      <c r="Y563" s="47" t="n">
        <f aca="false">IF(Informed=0,K563,0)</f>
        <v>0</v>
      </c>
      <c r="Z563" s="47" t="e">
        <f aca="false">IF(Informed=1,N563,0)</f>
        <v>#N/A</v>
      </c>
      <c r="AA563" s="47" t="n">
        <f aca="false">IF(Informed=0,N563,0)</f>
        <v>0</v>
      </c>
      <c r="AB563" s="51" t="e">
        <f aca="false">IF(Arterial=0,IF(Informed=1,1,0),0)</f>
        <v>#N/A</v>
      </c>
      <c r="AC563" s="51" t="e">
        <f aca="false">IF(Arterial=0,IF(Informed=0,1,0),0)</f>
        <v>#N/A</v>
      </c>
      <c r="AD563" s="51" t="e">
        <f aca="false">IF(Arterial=1,IF(Informed=1,1,0),0)</f>
        <v>#N/A</v>
      </c>
      <c r="AE563" s="51" t="e">
        <f aca="false">IF(Arterial=1,IF(Informed=0,1,0),0)</f>
        <v>#N/A</v>
      </c>
      <c r="AF563" s="44" t="e">
        <f aca="false">IF(AB563=1,(X563-G$1030)^2,0)</f>
        <v>#N/A</v>
      </c>
      <c r="AG563" s="44" t="e">
        <f aca="false">IF(AC563=1,(Y563-H$1030)^2,0)</f>
        <v>#N/A</v>
      </c>
      <c r="AH563" s="44" t="e">
        <f aca="false">IF(AD563=1,(Z563-I$1030)^2,0)</f>
        <v>#N/A</v>
      </c>
      <c r="AI563" s="44" t="e">
        <f aca="false">IF(AE563=1,(AA563-J$1030)^2,0)</f>
        <v>#N/A</v>
      </c>
    </row>
    <row r="564" customFormat="false" ht="12" hidden="false" customHeight="false" outlineLevel="0" collapsed="false">
      <c r="A564" s="29" t="n">
        <v>547</v>
      </c>
      <c r="B564" s="45" t="n">
        <f aca="true">IF(RAND()&lt;$D$8,1,0)</f>
        <v>1</v>
      </c>
      <c r="C564" s="34" t="n">
        <f aca="true">-LN(RAND())/$D$2</f>
        <v>0.825403155036206</v>
      </c>
      <c r="D564" s="46" t="n">
        <f aca="false">D563+C564</f>
        <v>859.805971374464</v>
      </c>
      <c r="E564" s="47" t="e">
        <f aca="false">MAX($D$3,(1+P563-VLOOKUP(VALUE(D564),$J$18:$Q563,7,TRUE()))*$D$3)</f>
        <v>#N/A</v>
      </c>
      <c r="F564" s="47" t="e">
        <f aca="false">MAX($D$4,(1+Q563-VLOOKUP(VALUE(D564),$M$18:$Q563,5,TRUE()))*$D$4)</f>
        <v>#N/A</v>
      </c>
      <c r="G564" s="48" t="n">
        <v>0.5</v>
      </c>
      <c r="H564" s="46" t="e">
        <f aca="true">IF((B564=1),(IF((F564&lt;E564),1,(IF((F564=E564),(IF(RAND()&lt;G564,1,0)),0)))),(IF((RAND()&lt;G564),1,0)))</f>
        <v>#N/A</v>
      </c>
      <c r="I564" s="46" t="e">
        <f aca="true">IF((H564=1),0,$D$3+$D$5*(RAND()-0.5))</f>
        <v>#N/A</v>
      </c>
      <c r="J564" s="46" t="e">
        <f aca="false">I564+MAX(D564,J563)</f>
        <v>#N/A</v>
      </c>
      <c r="K564" s="46" t="e">
        <f aca="false">IF((H564=0),J564-D564,0)</f>
        <v>#N/A</v>
      </c>
      <c r="L564" s="46" t="e">
        <f aca="true">IF(($H564=0),0,$D$4+$D$5*(RAND()-0.5))</f>
        <v>#N/A</v>
      </c>
      <c r="M564" s="46" t="e">
        <f aca="false">L564+MAX(D564,M563)</f>
        <v>#N/A</v>
      </c>
      <c r="N564" s="46" t="e">
        <f aca="false">IF((H564=1),M564-D564,0)</f>
        <v>#N/A</v>
      </c>
      <c r="O564" s="29" t="n">
        <v>547</v>
      </c>
      <c r="P564" s="49" t="e">
        <f aca="false">IF((Arterial=0),P563+1,P563)</f>
        <v>#N/A</v>
      </c>
      <c r="Q564" s="49" t="e">
        <f aca="false">IF((Arterial=1),Q563+1,Q563)</f>
        <v>#N/A</v>
      </c>
      <c r="R564" s="50" t="n">
        <f aca="false">IF((RESET=1),0,R564+K564)</f>
        <v>0</v>
      </c>
      <c r="S564" s="19" t="n">
        <f aca="false">IF(RESET=1,0,S564+N564)</f>
        <v>0</v>
      </c>
      <c r="T564" s="0" t="n">
        <f aca="false">IF(RESET=1,0,T564+IF(H564=0,1,0))</f>
        <v>0</v>
      </c>
      <c r="U564" s="0" t="n">
        <f aca="false">IF(RESET=1,0,U564+H564)</f>
        <v>0</v>
      </c>
      <c r="V564" s="19" t="n">
        <f aca="false">R564/(T564+0.00001)</f>
        <v>0</v>
      </c>
      <c r="W564" s="19" t="n">
        <f aca="false">S564/(U564+0.0001)</f>
        <v>0</v>
      </c>
      <c r="X564" s="47" t="e">
        <f aca="false">IF(Informed=1,K564,0)</f>
        <v>#N/A</v>
      </c>
      <c r="Y564" s="47" t="n">
        <f aca="false">IF(Informed=0,K564,0)</f>
        <v>0</v>
      </c>
      <c r="Z564" s="47" t="e">
        <f aca="false">IF(Informed=1,N564,0)</f>
        <v>#N/A</v>
      </c>
      <c r="AA564" s="47" t="n">
        <f aca="false">IF(Informed=0,N564,0)</f>
        <v>0</v>
      </c>
      <c r="AB564" s="51" t="e">
        <f aca="false">IF(Arterial=0,IF(Informed=1,1,0),0)</f>
        <v>#N/A</v>
      </c>
      <c r="AC564" s="51" t="e">
        <f aca="false">IF(Arterial=0,IF(Informed=0,1,0),0)</f>
        <v>#N/A</v>
      </c>
      <c r="AD564" s="51" t="e">
        <f aca="false">IF(Arterial=1,IF(Informed=1,1,0),0)</f>
        <v>#N/A</v>
      </c>
      <c r="AE564" s="51" t="e">
        <f aca="false">IF(Arterial=1,IF(Informed=0,1,0),0)</f>
        <v>#N/A</v>
      </c>
      <c r="AF564" s="44" t="e">
        <f aca="false">IF(AB564=1,(X564-G$1030)^2,0)</f>
        <v>#N/A</v>
      </c>
      <c r="AG564" s="44" t="e">
        <f aca="false">IF(AC564=1,(Y564-H$1030)^2,0)</f>
        <v>#N/A</v>
      </c>
      <c r="AH564" s="44" t="e">
        <f aca="false">IF(AD564=1,(Z564-I$1030)^2,0)</f>
        <v>#N/A</v>
      </c>
      <c r="AI564" s="44" t="e">
        <f aca="false">IF(AE564=1,(AA564-J$1030)^2,0)</f>
        <v>#N/A</v>
      </c>
    </row>
    <row r="565" customFormat="false" ht="12" hidden="false" customHeight="false" outlineLevel="0" collapsed="false">
      <c r="A565" s="29" t="n">
        <v>548</v>
      </c>
      <c r="B565" s="45" t="n">
        <f aca="true">IF(RAND()&lt;$D$8,1,0)</f>
        <v>1</v>
      </c>
      <c r="C565" s="34" t="n">
        <f aca="true">-LN(RAND())/$D$2</f>
        <v>0.26542844805148</v>
      </c>
      <c r="D565" s="46" t="n">
        <f aca="false">D564+C565</f>
        <v>860.071399822515</v>
      </c>
      <c r="E565" s="47" t="e">
        <f aca="false">MAX($D$3,(1+P564-VLOOKUP(VALUE(D565),$J$18:$Q564,7,TRUE()))*$D$3)</f>
        <v>#N/A</v>
      </c>
      <c r="F565" s="47" t="e">
        <f aca="false">MAX($D$4,(1+Q564-VLOOKUP(VALUE(D565),$M$18:$Q564,5,TRUE()))*$D$4)</f>
        <v>#N/A</v>
      </c>
      <c r="G565" s="48" t="n">
        <v>0.5</v>
      </c>
      <c r="H565" s="46" t="e">
        <f aca="true">IF((B565=1),(IF((F565&lt;E565),1,(IF((F565=E565),(IF(RAND()&lt;G565,1,0)),0)))),(IF((RAND()&lt;G565),1,0)))</f>
        <v>#N/A</v>
      </c>
      <c r="I565" s="46" t="e">
        <f aca="true">IF((H565=1),0,$D$3+$D$5*(RAND()-0.5))</f>
        <v>#N/A</v>
      </c>
      <c r="J565" s="46" t="e">
        <f aca="false">I565+MAX(D565,J564)</f>
        <v>#N/A</v>
      </c>
      <c r="K565" s="46" t="e">
        <f aca="false">IF((H565=0),J565-D565,0)</f>
        <v>#N/A</v>
      </c>
      <c r="L565" s="46" t="e">
        <f aca="true">IF(($H565=0),0,$D$4+$D$5*(RAND()-0.5))</f>
        <v>#N/A</v>
      </c>
      <c r="M565" s="46" t="e">
        <f aca="false">L565+MAX(D565,M564)</f>
        <v>#N/A</v>
      </c>
      <c r="N565" s="46" t="e">
        <f aca="false">IF((H565=1),M565-D565,0)</f>
        <v>#N/A</v>
      </c>
      <c r="O565" s="29" t="n">
        <v>548</v>
      </c>
      <c r="P565" s="49" t="e">
        <f aca="false">IF((Arterial=0),P564+1,P564)</f>
        <v>#N/A</v>
      </c>
      <c r="Q565" s="49" t="e">
        <f aca="false">IF((Arterial=1),Q564+1,Q564)</f>
        <v>#N/A</v>
      </c>
      <c r="R565" s="50" t="n">
        <f aca="false">IF((RESET=1),0,R565+K565)</f>
        <v>0</v>
      </c>
      <c r="S565" s="19" t="n">
        <f aca="false">IF(RESET=1,0,S565+N565)</f>
        <v>0</v>
      </c>
      <c r="T565" s="0" t="n">
        <f aca="false">IF(RESET=1,0,T565+IF(H565=0,1,0))</f>
        <v>0</v>
      </c>
      <c r="U565" s="0" t="n">
        <f aca="false">IF(RESET=1,0,U565+H565)</f>
        <v>0</v>
      </c>
      <c r="V565" s="19" t="n">
        <f aca="false">R565/(T565+0.00001)</f>
        <v>0</v>
      </c>
      <c r="W565" s="19" t="n">
        <f aca="false">S565/(U565+0.0001)</f>
        <v>0</v>
      </c>
      <c r="X565" s="47" t="e">
        <f aca="false">IF(Informed=1,K565,0)</f>
        <v>#N/A</v>
      </c>
      <c r="Y565" s="47" t="n">
        <f aca="false">IF(Informed=0,K565,0)</f>
        <v>0</v>
      </c>
      <c r="Z565" s="47" t="e">
        <f aca="false">IF(Informed=1,N565,0)</f>
        <v>#N/A</v>
      </c>
      <c r="AA565" s="47" t="n">
        <f aca="false">IF(Informed=0,N565,0)</f>
        <v>0</v>
      </c>
      <c r="AB565" s="51" t="e">
        <f aca="false">IF(Arterial=0,IF(Informed=1,1,0),0)</f>
        <v>#N/A</v>
      </c>
      <c r="AC565" s="51" t="e">
        <f aca="false">IF(Arterial=0,IF(Informed=0,1,0),0)</f>
        <v>#N/A</v>
      </c>
      <c r="AD565" s="51" t="e">
        <f aca="false">IF(Arterial=1,IF(Informed=1,1,0),0)</f>
        <v>#N/A</v>
      </c>
      <c r="AE565" s="51" t="e">
        <f aca="false">IF(Arterial=1,IF(Informed=0,1,0),0)</f>
        <v>#N/A</v>
      </c>
      <c r="AF565" s="44" t="e">
        <f aca="false">IF(AB565=1,(X565-G$1030)^2,0)</f>
        <v>#N/A</v>
      </c>
      <c r="AG565" s="44" t="e">
        <f aca="false">IF(AC565=1,(Y565-H$1030)^2,0)</f>
        <v>#N/A</v>
      </c>
      <c r="AH565" s="44" t="e">
        <f aca="false">IF(AD565=1,(Z565-I$1030)^2,0)</f>
        <v>#N/A</v>
      </c>
      <c r="AI565" s="44" t="e">
        <f aca="false">IF(AE565=1,(AA565-J$1030)^2,0)</f>
        <v>#N/A</v>
      </c>
    </row>
    <row r="566" customFormat="false" ht="12" hidden="false" customHeight="false" outlineLevel="0" collapsed="false">
      <c r="A566" s="29" t="n">
        <v>549</v>
      </c>
      <c r="B566" s="45" t="n">
        <f aca="true">IF(RAND()&lt;$D$8,1,0)</f>
        <v>1</v>
      </c>
      <c r="C566" s="34" t="n">
        <f aca="true">-LN(RAND())/$D$2</f>
        <v>3.0771399530486</v>
      </c>
      <c r="D566" s="46" t="n">
        <f aca="false">D565+C566</f>
        <v>863.148539775564</v>
      </c>
      <c r="E566" s="47" t="e">
        <f aca="false">MAX($D$3,(1+P565-VLOOKUP(VALUE(D566),$J$18:$Q565,7,TRUE()))*$D$3)</f>
        <v>#N/A</v>
      </c>
      <c r="F566" s="47" t="e">
        <f aca="false">MAX($D$4,(1+Q565-VLOOKUP(VALUE(D566),$M$18:$Q565,5,TRUE()))*$D$4)</f>
        <v>#N/A</v>
      </c>
      <c r="G566" s="48" t="n">
        <v>0.5</v>
      </c>
      <c r="H566" s="46" t="e">
        <f aca="true">IF((B566=1),(IF((F566&lt;E566),1,(IF((F566=E566),(IF(RAND()&lt;G566,1,0)),0)))),(IF((RAND()&lt;G566),1,0)))</f>
        <v>#N/A</v>
      </c>
      <c r="I566" s="46" t="e">
        <f aca="true">IF((H566=1),0,$D$3+$D$5*(RAND()-0.5))</f>
        <v>#N/A</v>
      </c>
      <c r="J566" s="46" t="e">
        <f aca="false">I566+MAX(D566,J565)</f>
        <v>#N/A</v>
      </c>
      <c r="K566" s="46" t="e">
        <f aca="false">IF((H566=0),J566-D566,0)</f>
        <v>#N/A</v>
      </c>
      <c r="L566" s="46" t="e">
        <f aca="true">IF(($H566=0),0,$D$4+$D$5*(RAND()-0.5))</f>
        <v>#N/A</v>
      </c>
      <c r="M566" s="46" t="e">
        <f aca="false">L566+MAX(D566,M565)</f>
        <v>#N/A</v>
      </c>
      <c r="N566" s="46" t="e">
        <f aca="false">IF((H566=1),M566-D566,0)</f>
        <v>#N/A</v>
      </c>
      <c r="O566" s="29" t="n">
        <v>549</v>
      </c>
      <c r="P566" s="49" t="e">
        <f aca="false">IF((Arterial=0),P565+1,P565)</f>
        <v>#N/A</v>
      </c>
      <c r="Q566" s="49" t="e">
        <f aca="false">IF((Arterial=1),Q565+1,Q565)</f>
        <v>#N/A</v>
      </c>
      <c r="R566" s="50" t="n">
        <f aca="false">IF((RESET=1),0,R566+K566)</f>
        <v>0</v>
      </c>
      <c r="S566" s="19" t="n">
        <f aca="false">IF(RESET=1,0,S566+N566)</f>
        <v>0</v>
      </c>
      <c r="T566" s="0" t="n">
        <f aca="false">IF(RESET=1,0,T566+IF(H566=0,1,0))</f>
        <v>0</v>
      </c>
      <c r="U566" s="0" t="n">
        <f aca="false">IF(RESET=1,0,U566+H566)</f>
        <v>0</v>
      </c>
      <c r="V566" s="19" t="n">
        <f aca="false">R566/(T566+0.00001)</f>
        <v>0</v>
      </c>
      <c r="W566" s="19" t="n">
        <f aca="false">S566/(U566+0.0001)</f>
        <v>0</v>
      </c>
      <c r="X566" s="47" t="e">
        <f aca="false">IF(Informed=1,K566,0)</f>
        <v>#N/A</v>
      </c>
      <c r="Y566" s="47" t="n">
        <f aca="false">IF(Informed=0,K566,0)</f>
        <v>0</v>
      </c>
      <c r="Z566" s="47" t="e">
        <f aca="false">IF(Informed=1,N566,0)</f>
        <v>#N/A</v>
      </c>
      <c r="AA566" s="47" t="n">
        <f aca="false">IF(Informed=0,N566,0)</f>
        <v>0</v>
      </c>
      <c r="AB566" s="51" t="e">
        <f aca="false">IF(Arterial=0,IF(Informed=1,1,0),0)</f>
        <v>#N/A</v>
      </c>
      <c r="AC566" s="51" t="e">
        <f aca="false">IF(Arterial=0,IF(Informed=0,1,0),0)</f>
        <v>#N/A</v>
      </c>
      <c r="AD566" s="51" t="e">
        <f aca="false">IF(Arterial=1,IF(Informed=1,1,0),0)</f>
        <v>#N/A</v>
      </c>
      <c r="AE566" s="51" t="e">
        <f aca="false">IF(Arterial=1,IF(Informed=0,1,0),0)</f>
        <v>#N/A</v>
      </c>
      <c r="AF566" s="44" t="e">
        <f aca="false">IF(AB566=1,(X566-G$1030)^2,0)</f>
        <v>#N/A</v>
      </c>
      <c r="AG566" s="44" t="e">
        <f aca="false">IF(AC566=1,(Y566-H$1030)^2,0)</f>
        <v>#N/A</v>
      </c>
      <c r="AH566" s="44" t="e">
        <f aca="false">IF(AD566=1,(Z566-I$1030)^2,0)</f>
        <v>#N/A</v>
      </c>
      <c r="AI566" s="44" t="e">
        <f aca="false">IF(AE566=1,(AA566-J$1030)^2,0)</f>
        <v>#N/A</v>
      </c>
    </row>
    <row r="567" customFormat="false" ht="12" hidden="false" customHeight="false" outlineLevel="0" collapsed="false">
      <c r="A567" s="29" t="n">
        <v>550</v>
      </c>
      <c r="B567" s="45" t="n">
        <f aca="true">IF(RAND()&lt;$D$8,1,0)</f>
        <v>1</v>
      </c>
      <c r="C567" s="34" t="n">
        <f aca="true">-LN(RAND())/$D$2</f>
        <v>1.78747770211249</v>
      </c>
      <c r="D567" s="46" t="n">
        <f aca="false">D566+C567</f>
        <v>864.936017477676</v>
      </c>
      <c r="E567" s="47" t="e">
        <f aca="false">MAX($D$3,(1+P566-VLOOKUP(VALUE(D567),$J$18:$Q566,7,TRUE()))*$D$3)</f>
        <v>#N/A</v>
      </c>
      <c r="F567" s="47" t="e">
        <f aca="false">MAX($D$4,(1+Q566-VLOOKUP(VALUE(D567),$M$18:$Q566,5,TRUE()))*$D$4)</f>
        <v>#N/A</v>
      </c>
      <c r="G567" s="48" t="n">
        <v>0.5</v>
      </c>
      <c r="H567" s="46" t="e">
        <f aca="true">IF((B567=1),(IF((F567&lt;E567),1,(IF((F567=E567),(IF(RAND()&lt;G567,1,0)),0)))),(IF((RAND()&lt;G567),1,0)))</f>
        <v>#N/A</v>
      </c>
      <c r="I567" s="46" t="e">
        <f aca="true">IF((H567=1),0,$D$3+$D$5*(RAND()-0.5))</f>
        <v>#N/A</v>
      </c>
      <c r="J567" s="46" t="e">
        <f aca="false">I567+MAX(D567,J566)</f>
        <v>#N/A</v>
      </c>
      <c r="K567" s="46" t="e">
        <f aca="false">IF((H567=0),J567-D567,0)</f>
        <v>#N/A</v>
      </c>
      <c r="L567" s="46" t="e">
        <f aca="true">IF(($H567=0),0,$D$4+$D$5*(RAND()-0.5))</f>
        <v>#N/A</v>
      </c>
      <c r="M567" s="46" t="e">
        <f aca="false">L567+MAX(D567,M566)</f>
        <v>#N/A</v>
      </c>
      <c r="N567" s="46" t="e">
        <f aca="false">IF((H567=1),M567-D567,0)</f>
        <v>#N/A</v>
      </c>
      <c r="O567" s="29" t="n">
        <v>550</v>
      </c>
      <c r="P567" s="49" t="e">
        <f aca="false">IF((Arterial=0),P566+1,P566)</f>
        <v>#N/A</v>
      </c>
      <c r="Q567" s="49" t="e">
        <f aca="false">IF((Arterial=1),Q566+1,Q566)</f>
        <v>#N/A</v>
      </c>
      <c r="R567" s="50" t="n">
        <f aca="false">IF((RESET=1),0,R567+K567)</f>
        <v>0</v>
      </c>
      <c r="S567" s="19" t="n">
        <f aca="false">IF(RESET=1,0,S567+N567)</f>
        <v>0</v>
      </c>
      <c r="T567" s="0" t="n">
        <f aca="false">IF(RESET=1,0,T567+IF(H567=0,1,0))</f>
        <v>0</v>
      </c>
      <c r="U567" s="0" t="n">
        <f aca="false">IF(RESET=1,0,U567+H567)</f>
        <v>0</v>
      </c>
      <c r="V567" s="19" t="n">
        <f aca="false">R567/(T567+0.00001)</f>
        <v>0</v>
      </c>
      <c r="W567" s="19" t="n">
        <f aca="false">S567/(U567+0.0001)</f>
        <v>0</v>
      </c>
      <c r="X567" s="47" t="e">
        <f aca="false">IF(Informed=1,K567,0)</f>
        <v>#N/A</v>
      </c>
      <c r="Y567" s="47" t="n">
        <f aca="false">IF(Informed=0,K567,0)</f>
        <v>0</v>
      </c>
      <c r="Z567" s="47" t="e">
        <f aca="false">IF(Informed=1,N567,0)</f>
        <v>#N/A</v>
      </c>
      <c r="AA567" s="47" t="n">
        <f aca="false">IF(Informed=0,N567,0)</f>
        <v>0</v>
      </c>
      <c r="AB567" s="51" t="e">
        <f aca="false">IF(Arterial=0,IF(Informed=1,1,0),0)</f>
        <v>#N/A</v>
      </c>
      <c r="AC567" s="51" t="e">
        <f aca="false">IF(Arterial=0,IF(Informed=0,1,0),0)</f>
        <v>#N/A</v>
      </c>
      <c r="AD567" s="51" t="e">
        <f aca="false">IF(Arterial=1,IF(Informed=1,1,0),0)</f>
        <v>#N/A</v>
      </c>
      <c r="AE567" s="51" t="e">
        <f aca="false">IF(Arterial=1,IF(Informed=0,1,0),0)</f>
        <v>#N/A</v>
      </c>
      <c r="AF567" s="44" t="e">
        <f aca="false">IF(AB567=1,(X567-G$1030)^2,0)</f>
        <v>#N/A</v>
      </c>
      <c r="AG567" s="44" t="e">
        <f aca="false">IF(AC567=1,(Y567-H$1030)^2,0)</f>
        <v>#N/A</v>
      </c>
      <c r="AH567" s="44" t="e">
        <f aca="false">IF(AD567=1,(Z567-I$1030)^2,0)</f>
        <v>#N/A</v>
      </c>
      <c r="AI567" s="44" t="e">
        <f aca="false">IF(AE567=1,(AA567-J$1030)^2,0)</f>
        <v>#N/A</v>
      </c>
    </row>
    <row r="568" customFormat="false" ht="12" hidden="false" customHeight="false" outlineLevel="0" collapsed="false">
      <c r="A568" s="29" t="n">
        <v>551</v>
      </c>
      <c r="B568" s="45" t="n">
        <f aca="true">IF(RAND()&lt;$D$8,1,0)</f>
        <v>1</v>
      </c>
      <c r="C568" s="34" t="n">
        <f aca="true">-LN(RAND())/$D$2</f>
        <v>0.459998967280351</v>
      </c>
      <c r="D568" s="46" t="n">
        <f aca="false">D567+C568</f>
        <v>865.396016444956</v>
      </c>
      <c r="E568" s="47" t="e">
        <f aca="false">MAX($D$3,(1+P567-VLOOKUP(VALUE(D568),$J$18:$Q567,7,TRUE()))*$D$3)</f>
        <v>#N/A</v>
      </c>
      <c r="F568" s="47" t="e">
        <f aca="false">MAX($D$4,(1+Q567-VLOOKUP(VALUE(D568),$M$18:$Q567,5,TRUE()))*$D$4)</f>
        <v>#N/A</v>
      </c>
      <c r="G568" s="48" t="n">
        <v>0.5</v>
      </c>
      <c r="H568" s="46" t="e">
        <f aca="true">IF((B568=1),(IF((F568&lt;E568),1,(IF((F568=E568),(IF(RAND()&lt;G568,1,0)),0)))),(IF((RAND()&lt;G568),1,0)))</f>
        <v>#N/A</v>
      </c>
      <c r="I568" s="46" t="e">
        <f aca="true">IF((H568=1),0,$D$3+$D$5*(RAND()-0.5))</f>
        <v>#N/A</v>
      </c>
      <c r="J568" s="46" t="e">
        <f aca="false">I568+MAX(D568,J567)</f>
        <v>#N/A</v>
      </c>
      <c r="K568" s="46" t="e">
        <f aca="false">IF((H568=0),J568-D568,0)</f>
        <v>#N/A</v>
      </c>
      <c r="L568" s="46" t="e">
        <f aca="true">IF(($H568=0),0,$D$4+$D$5*(RAND()-0.5))</f>
        <v>#N/A</v>
      </c>
      <c r="M568" s="46" t="e">
        <f aca="false">L568+MAX(D568,M567)</f>
        <v>#N/A</v>
      </c>
      <c r="N568" s="46" t="e">
        <f aca="false">IF((H568=1),M568-D568,0)</f>
        <v>#N/A</v>
      </c>
      <c r="O568" s="29" t="n">
        <v>551</v>
      </c>
      <c r="P568" s="49" t="e">
        <f aca="false">IF((Arterial=0),P567+1,P567)</f>
        <v>#N/A</v>
      </c>
      <c r="Q568" s="49" t="e">
        <f aca="false">IF((Arterial=1),Q567+1,Q567)</f>
        <v>#N/A</v>
      </c>
      <c r="R568" s="50" t="n">
        <f aca="false">IF((RESET=1),0,R568+K568)</f>
        <v>0</v>
      </c>
      <c r="S568" s="19" t="n">
        <f aca="false">IF(RESET=1,0,S568+N568)</f>
        <v>0</v>
      </c>
      <c r="T568" s="0" t="n">
        <f aca="false">IF(RESET=1,0,T568+IF(H568=0,1,0))</f>
        <v>0</v>
      </c>
      <c r="U568" s="0" t="n">
        <f aca="false">IF(RESET=1,0,U568+H568)</f>
        <v>0</v>
      </c>
      <c r="V568" s="19" t="n">
        <f aca="false">R568/(T568+0.00001)</f>
        <v>0</v>
      </c>
      <c r="W568" s="19" t="n">
        <f aca="false">S568/(U568+0.0001)</f>
        <v>0</v>
      </c>
      <c r="X568" s="47" t="e">
        <f aca="false">IF(Informed=1,K568,0)</f>
        <v>#N/A</v>
      </c>
      <c r="Y568" s="47" t="n">
        <f aca="false">IF(Informed=0,K568,0)</f>
        <v>0</v>
      </c>
      <c r="Z568" s="47" t="e">
        <f aca="false">IF(Informed=1,N568,0)</f>
        <v>#N/A</v>
      </c>
      <c r="AA568" s="47" t="n">
        <f aca="false">IF(Informed=0,N568,0)</f>
        <v>0</v>
      </c>
      <c r="AB568" s="51" t="e">
        <f aca="false">IF(Arterial=0,IF(Informed=1,1,0),0)</f>
        <v>#N/A</v>
      </c>
      <c r="AC568" s="51" t="e">
        <f aca="false">IF(Arterial=0,IF(Informed=0,1,0),0)</f>
        <v>#N/A</v>
      </c>
      <c r="AD568" s="51" t="e">
        <f aca="false">IF(Arterial=1,IF(Informed=1,1,0),0)</f>
        <v>#N/A</v>
      </c>
      <c r="AE568" s="51" t="e">
        <f aca="false">IF(Arterial=1,IF(Informed=0,1,0),0)</f>
        <v>#N/A</v>
      </c>
      <c r="AF568" s="44" t="e">
        <f aca="false">IF(AB568=1,(X568-G$1030)^2,0)</f>
        <v>#N/A</v>
      </c>
      <c r="AG568" s="44" t="e">
        <f aca="false">IF(AC568=1,(Y568-H$1030)^2,0)</f>
        <v>#N/A</v>
      </c>
      <c r="AH568" s="44" t="e">
        <f aca="false">IF(AD568=1,(Z568-I$1030)^2,0)</f>
        <v>#N/A</v>
      </c>
      <c r="AI568" s="44" t="e">
        <f aca="false">IF(AE568=1,(AA568-J$1030)^2,0)</f>
        <v>#N/A</v>
      </c>
    </row>
    <row r="569" customFormat="false" ht="12" hidden="false" customHeight="false" outlineLevel="0" collapsed="false">
      <c r="A569" s="29" t="n">
        <v>552</v>
      </c>
      <c r="B569" s="45" t="n">
        <f aca="true">IF(RAND()&lt;$D$8,1,0)</f>
        <v>1</v>
      </c>
      <c r="C569" s="34" t="n">
        <f aca="true">-LN(RAND())/$D$2</f>
        <v>0.467756111248719</v>
      </c>
      <c r="D569" s="46" t="n">
        <f aca="false">D568+C569</f>
        <v>865.863772556205</v>
      </c>
      <c r="E569" s="47" t="e">
        <f aca="false">MAX($D$3,(1+P568-VLOOKUP(VALUE(D569),$J$18:$Q568,7,TRUE()))*$D$3)</f>
        <v>#N/A</v>
      </c>
      <c r="F569" s="47" t="e">
        <f aca="false">MAX($D$4,(1+Q568-VLOOKUP(VALUE(D569),$M$18:$Q568,5,TRUE()))*$D$4)</f>
        <v>#N/A</v>
      </c>
      <c r="G569" s="48" t="n">
        <v>0.5</v>
      </c>
      <c r="H569" s="46" t="e">
        <f aca="true">IF((B569=1),(IF((F569&lt;E569),1,(IF((F569=E569),(IF(RAND()&lt;G569,1,0)),0)))),(IF((RAND()&lt;G569),1,0)))</f>
        <v>#N/A</v>
      </c>
      <c r="I569" s="46" t="e">
        <f aca="true">IF((H569=1),0,$D$3+$D$5*(RAND()-0.5))</f>
        <v>#N/A</v>
      </c>
      <c r="J569" s="46" t="e">
        <f aca="false">I569+MAX(D569,J568)</f>
        <v>#N/A</v>
      </c>
      <c r="K569" s="46" t="e">
        <f aca="false">IF((H569=0),J569-D569,0)</f>
        <v>#N/A</v>
      </c>
      <c r="L569" s="46" t="e">
        <f aca="true">IF(($H569=0),0,$D$4+$D$5*(RAND()-0.5))</f>
        <v>#N/A</v>
      </c>
      <c r="M569" s="46" t="e">
        <f aca="false">L569+MAX(D569,M568)</f>
        <v>#N/A</v>
      </c>
      <c r="N569" s="46" t="e">
        <f aca="false">IF((H569=1),M569-D569,0)</f>
        <v>#N/A</v>
      </c>
      <c r="O569" s="29" t="n">
        <v>552</v>
      </c>
      <c r="P569" s="49" t="e">
        <f aca="false">IF((Arterial=0),P568+1,P568)</f>
        <v>#N/A</v>
      </c>
      <c r="Q569" s="49" t="e">
        <f aca="false">IF((Arterial=1),Q568+1,Q568)</f>
        <v>#N/A</v>
      </c>
      <c r="R569" s="50" t="n">
        <f aca="false">IF((RESET=1),0,R569+K569)</f>
        <v>0</v>
      </c>
      <c r="S569" s="19" t="n">
        <f aca="false">IF(RESET=1,0,S569+N569)</f>
        <v>0</v>
      </c>
      <c r="T569" s="0" t="n">
        <f aca="false">IF(RESET=1,0,T569+IF(H569=0,1,0))</f>
        <v>0</v>
      </c>
      <c r="U569" s="0" t="n">
        <f aca="false">IF(RESET=1,0,U569+H569)</f>
        <v>0</v>
      </c>
      <c r="V569" s="19" t="n">
        <f aca="false">R569/(T569+0.00001)</f>
        <v>0</v>
      </c>
      <c r="W569" s="19" t="n">
        <f aca="false">S569/(U569+0.0001)</f>
        <v>0</v>
      </c>
      <c r="X569" s="47" t="e">
        <f aca="false">IF(Informed=1,K569,0)</f>
        <v>#N/A</v>
      </c>
      <c r="Y569" s="47" t="n">
        <f aca="false">IF(Informed=0,K569,0)</f>
        <v>0</v>
      </c>
      <c r="Z569" s="47" t="e">
        <f aca="false">IF(Informed=1,N569,0)</f>
        <v>#N/A</v>
      </c>
      <c r="AA569" s="47" t="n">
        <f aca="false">IF(Informed=0,N569,0)</f>
        <v>0</v>
      </c>
      <c r="AB569" s="51" t="e">
        <f aca="false">IF(Arterial=0,IF(Informed=1,1,0),0)</f>
        <v>#N/A</v>
      </c>
      <c r="AC569" s="51" t="e">
        <f aca="false">IF(Arterial=0,IF(Informed=0,1,0),0)</f>
        <v>#N/A</v>
      </c>
      <c r="AD569" s="51" t="e">
        <f aca="false">IF(Arterial=1,IF(Informed=1,1,0),0)</f>
        <v>#N/A</v>
      </c>
      <c r="AE569" s="51" t="e">
        <f aca="false">IF(Arterial=1,IF(Informed=0,1,0),0)</f>
        <v>#N/A</v>
      </c>
      <c r="AF569" s="44" t="e">
        <f aca="false">IF(AB569=1,(X569-G$1030)^2,0)</f>
        <v>#N/A</v>
      </c>
      <c r="AG569" s="44" t="e">
        <f aca="false">IF(AC569=1,(Y569-H$1030)^2,0)</f>
        <v>#N/A</v>
      </c>
      <c r="AH569" s="44" t="e">
        <f aca="false">IF(AD569=1,(Z569-I$1030)^2,0)</f>
        <v>#N/A</v>
      </c>
      <c r="AI569" s="44" t="e">
        <f aca="false">IF(AE569=1,(AA569-J$1030)^2,0)</f>
        <v>#N/A</v>
      </c>
    </row>
    <row r="570" customFormat="false" ht="12" hidden="false" customHeight="false" outlineLevel="0" collapsed="false">
      <c r="A570" s="29" t="n">
        <v>553</v>
      </c>
      <c r="B570" s="45" t="n">
        <f aca="true">IF(RAND()&lt;$D$8,1,0)</f>
        <v>1</v>
      </c>
      <c r="C570" s="34" t="n">
        <f aca="true">-LN(RAND())/$D$2</f>
        <v>1.8285974107523</v>
      </c>
      <c r="D570" s="46" t="n">
        <f aca="false">D569+C570</f>
        <v>867.692369966958</v>
      </c>
      <c r="E570" s="47" t="e">
        <f aca="false">MAX($D$3,(1+P569-VLOOKUP(VALUE(D570),$J$18:$Q569,7,TRUE()))*$D$3)</f>
        <v>#N/A</v>
      </c>
      <c r="F570" s="47" t="e">
        <f aca="false">MAX($D$4,(1+Q569-VLOOKUP(VALUE(D570),$M$18:$Q569,5,TRUE()))*$D$4)</f>
        <v>#N/A</v>
      </c>
      <c r="G570" s="48" t="n">
        <v>0.5</v>
      </c>
      <c r="H570" s="46" t="e">
        <f aca="true">IF((B570=1),(IF((F570&lt;E570),1,(IF((F570=E570),(IF(RAND()&lt;G570,1,0)),0)))),(IF((RAND()&lt;G570),1,0)))</f>
        <v>#N/A</v>
      </c>
      <c r="I570" s="46" t="e">
        <f aca="true">IF((H570=1),0,$D$3+$D$5*(RAND()-0.5))</f>
        <v>#N/A</v>
      </c>
      <c r="J570" s="46" t="e">
        <f aca="false">I570+MAX(D570,J569)</f>
        <v>#N/A</v>
      </c>
      <c r="K570" s="46" t="e">
        <f aca="false">IF((H570=0),J570-D570,0)</f>
        <v>#N/A</v>
      </c>
      <c r="L570" s="46" t="e">
        <f aca="true">IF(($H570=0),0,$D$4+$D$5*(RAND()-0.5))</f>
        <v>#N/A</v>
      </c>
      <c r="M570" s="46" t="e">
        <f aca="false">L570+MAX(D570,M569)</f>
        <v>#N/A</v>
      </c>
      <c r="N570" s="46" t="e">
        <f aca="false">IF((H570=1),M570-D570,0)</f>
        <v>#N/A</v>
      </c>
      <c r="O570" s="29" t="n">
        <v>553</v>
      </c>
      <c r="P570" s="49" t="e">
        <f aca="false">IF((Arterial=0),P569+1,P569)</f>
        <v>#N/A</v>
      </c>
      <c r="Q570" s="49" t="e">
        <f aca="false">IF((Arterial=1),Q569+1,Q569)</f>
        <v>#N/A</v>
      </c>
      <c r="R570" s="50" t="n">
        <f aca="false">IF((RESET=1),0,R570+K570)</f>
        <v>0</v>
      </c>
      <c r="S570" s="19" t="n">
        <f aca="false">IF(RESET=1,0,S570+N570)</f>
        <v>0</v>
      </c>
      <c r="T570" s="0" t="n">
        <f aca="false">IF(RESET=1,0,T570+IF(H570=0,1,0))</f>
        <v>0</v>
      </c>
      <c r="U570" s="0" t="n">
        <f aca="false">IF(RESET=1,0,U570+H570)</f>
        <v>0</v>
      </c>
      <c r="V570" s="19" t="n">
        <f aca="false">R570/(T570+0.00001)</f>
        <v>0</v>
      </c>
      <c r="W570" s="19" t="n">
        <f aca="false">S570/(U570+0.0001)</f>
        <v>0</v>
      </c>
      <c r="X570" s="47" t="e">
        <f aca="false">IF(Informed=1,K570,0)</f>
        <v>#N/A</v>
      </c>
      <c r="Y570" s="47" t="n">
        <f aca="false">IF(Informed=0,K570,0)</f>
        <v>0</v>
      </c>
      <c r="Z570" s="47" t="e">
        <f aca="false">IF(Informed=1,N570,0)</f>
        <v>#N/A</v>
      </c>
      <c r="AA570" s="47" t="n">
        <f aca="false">IF(Informed=0,N570,0)</f>
        <v>0</v>
      </c>
      <c r="AB570" s="51" t="e">
        <f aca="false">IF(Arterial=0,IF(Informed=1,1,0),0)</f>
        <v>#N/A</v>
      </c>
      <c r="AC570" s="51" t="e">
        <f aca="false">IF(Arterial=0,IF(Informed=0,1,0),0)</f>
        <v>#N/A</v>
      </c>
      <c r="AD570" s="51" t="e">
        <f aca="false">IF(Arterial=1,IF(Informed=1,1,0),0)</f>
        <v>#N/A</v>
      </c>
      <c r="AE570" s="51" t="e">
        <f aca="false">IF(Arterial=1,IF(Informed=0,1,0),0)</f>
        <v>#N/A</v>
      </c>
      <c r="AF570" s="44" t="e">
        <f aca="false">IF(AB570=1,(X570-G$1030)^2,0)</f>
        <v>#N/A</v>
      </c>
      <c r="AG570" s="44" t="e">
        <f aca="false">IF(AC570=1,(Y570-H$1030)^2,0)</f>
        <v>#N/A</v>
      </c>
      <c r="AH570" s="44" t="e">
        <f aca="false">IF(AD570=1,(Z570-I$1030)^2,0)</f>
        <v>#N/A</v>
      </c>
      <c r="AI570" s="44" t="e">
        <f aca="false">IF(AE570=1,(AA570-J$1030)^2,0)</f>
        <v>#N/A</v>
      </c>
    </row>
    <row r="571" customFormat="false" ht="12" hidden="false" customHeight="false" outlineLevel="0" collapsed="false">
      <c r="A571" s="29" t="n">
        <v>554</v>
      </c>
      <c r="B571" s="45" t="n">
        <f aca="true">IF(RAND()&lt;$D$8,1,0)</f>
        <v>1</v>
      </c>
      <c r="C571" s="34" t="n">
        <f aca="true">-LN(RAND())/$D$2</f>
        <v>0.310480397124509</v>
      </c>
      <c r="D571" s="46" t="n">
        <f aca="false">D570+C571</f>
        <v>868.002850364082</v>
      </c>
      <c r="E571" s="47" t="e">
        <f aca="false">MAX($D$3,(1+P570-VLOOKUP(VALUE(D571),$J$18:$Q570,7,TRUE()))*$D$3)</f>
        <v>#N/A</v>
      </c>
      <c r="F571" s="47" t="e">
        <f aca="false">MAX($D$4,(1+Q570-VLOOKUP(VALUE(D571),$M$18:$Q570,5,TRUE()))*$D$4)</f>
        <v>#N/A</v>
      </c>
      <c r="G571" s="48" t="n">
        <v>0.5</v>
      </c>
      <c r="H571" s="46" t="e">
        <f aca="true">IF((B571=1),(IF((F571&lt;E571),1,(IF((F571=E571),(IF(RAND()&lt;G571,1,0)),0)))),(IF((RAND()&lt;G571),1,0)))</f>
        <v>#N/A</v>
      </c>
      <c r="I571" s="46" t="e">
        <f aca="true">IF((H571=1),0,$D$3+$D$5*(RAND()-0.5))</f>
        <v>#N/A</v>
      </c>
      <c r="J571" s="46" t="e">
        <f aca="false">I571+MAX(D571,J570)</f>
        <v>#N/A</v>
      </c>
      <c r="K571" s="46" t="e">
        <f aca="false">IF((H571=0),J571-D571,0)</f>
        <v>#N/A</v>
      </c>
      <c r="L571" s="46" t="e">
        <f aca="true">IF(($H571=0),0,$D$4+$D$5*(RAND()-0.5))</f>
        <v>#N/A</v>
      </c>
      <c r="M571" s="46" t="e">
        <f aca="false">L571+MAX(D571,M570)</f>
        <v>#N/A</v>
      </c>
      <c r="N571" s="46" t="e">
        <f aca="false">IF((H571=1),M571-D571,0)</f>
        <v>#N/A</v>
      </c>
      <c r="O571" s="29" t="n">
        <v>554</v>
      </c>
      <c r="P571" s="49" t="e">
        <f aca="false">IF((Arterial=0),P570+1,P570)</f>
        <v>#N/A</v>
      </c>
      <c r="Q571" s="49" t="e">
        <f aca="false">IF((Arterial=1),Q570+1,Q570)</f>
        <v>#N/A</v>
      </c>
      <c r="R571" s="50" t="n">
        <f aca="false">IF((RESET=1),0,R571+K571)</f>
        <v>0</v>
      </c>
      <c r="S571" s="19" t="n">
        <f aca="false">IF(RESET=1,0,S571+N571)</f>
        <v>0</v>
      </c>
      <c r="T571" s="0" t="n">
        <f aca="false">IF(RESET=1,0,T571+IF(H571=0,1,0))</f>
        <v>0</v>
      </c>
      <c r="U571" s="0" t="n">
        <f aca="false">IF(RESET=1,0,U571+H571)</f>
        <v>0</v>
      </c>
      <c r="V571" s="19" t="n">
        <f aca="false">R571/(T571+0.00001)</f>
        <v>0</v>
      </c>
      <c r="W571" s="19" t="n">
        <f aca="false">S571/(U571+0.0001)</f>
        <v>0</v>
      </c>
      <c r="X571" s="47" t="e">
        <f aca="false">IF(Informed=1,K571,0)</f>
        <v>#N/A</v>
      </c>
      <c r="Y571" s="47" t="n">
        <f aca="false">IF(Informed=0,K571,0)</f>
        <v>0</v>
      </c>
      <c r="Z571" s="47" t="e">
        <f aca="false">IF(Informed=1,N571,0)</f>
        <v>#N/A</v>
      </c>
      <c r="AA571" s="47" t="n">
        <f aca="false">IF(Informed=0,N571,0)</f>
        <v>0</v>
      </c>
      <c r="AB571" s="51" t="e">
        <f aca="false">IF(Arterial=0,IF(Informed=1,1,0),0)</f>
        <v>#N/A</v>
      </c>
      <c r="AC571" s="51" t="e">
        <f aca="false">IF(Arterial=0,IF(Informed=0,1,0),0)</f>
        <v>#N/A</v>
      </c>
      <c r="AD571" s="51" t="e">
        <f aca="false">IF(Arterial=1,IF(Informed=1,1,0),0)</f>
        <v>#N/A</v>
      </c>
      <c r="AE571" s="51" t="e">
        <f aca="false">IF(Arterial=1,IF(Informed=0,1,0),0)</f>
        <v>#N/A</v>
      </c>
      <c r="AF571" s="44" t="e">
        <f aca="false">IF(AB571=1,(X571-G$1030)^2,0)</f>
        <v>#N/A</v>
      </c>
      <c r="AG571" s="44" t="e">
        <f aca="false">IF(AC571=1,(Y571-H$1030)^2,0)</f>
        <v>#N/A</v>
      </c>
      <c r="AH571" s="44" t="e">
        <f aca="false">IF(AD571=1,(Z571-I$1030)^2,0)</f>
        <v>#N/A</v>
      </c>
      <c r="AI571" s="44" t="e">
        <f aca="false">IF(AE571=1,(AA571-J$1030)^2,0)</f>
        <v>#N/A</v>
      </c>
    </row>
    <row r="572" customFormat="false" ht="12" hidden="false" customHeight="false" outlineLevel="0" collapsed="false">
      <c r="A572" s="29" t="n">
        <v>555</v>
      </c>
      <c r="B572" s="45" t="n">
        <f aca="true">IF(RAND()&lt;$D$8,1,0)</f>
        <v>1</v>
      </c>
      <c r="C572" s="34" t="n">
        <f aca="true">-LN(RAND())/$D$2</f>
        <v>3.16768100019539</v>
      </c>
      <c r="D572" s="46" t="n">
        <f aca="false">D571+C572</f>
        <v>871.170531364277</v>
      </c>
      <c r="E572" s="47" t="e">
        <f aca="false">MAX($D$3,(1+P571-VLOOKUP(VALUE(D572),$J$18:$Q571,7,TRUE()))*$D$3)</f>
        <v>#N/A</v>
      </c>
      <c r="F572" s="47" t="e">
        <f aca="false">MAX($D$4,(1+Q571-VLOOKUP(VALUE(D572),$M$18:$Q571,5,TRUE()))*$D$4)</f>
        <v>#N/A</v>
      </c>
      <c r="G572" s="48" t="n">
        <v>0.5</v>
      </c>
      <c r="H572" s="46" t="e">
        <f aca="true">IF((B572=1),(IF((F572&lt;E572),1,(IF((F572=E572),(IF(RAND()&lt;G572,1,0)),0)))),(IF((RAND()&lt;G572),1,0)))</f>
        <v>#N/A</v>
      </c>
      <c r="I572" s="46" t="e">
        <f aca="true">IF((H572=1),0,$D$3+$D$5*(RAND()-0.5))</f>
        <v>#N/A</v>
      </c>
      <c r="J572" s="46" t="e">
        <f aca="false">I572+MAX(D572,J571)</f>
        <v>#N/A</v>
      </c>
      <c r="K572" s="46" t="e">
        <f aca="false">IF((H572=0),J572-D572,0)</f>
        <v>#N/A</v>
      </c>
      <c r="L572" s="46" t="e">
        <f aca="true">IF(($H572=0),0,$D$4+$D$5*(RAND()-0.5))</f>
        <v>#N/A</v>
      </c>
      <c r="M572" s="46" t="e">
        <f aca="false">L572+MAX(D572,M571)</f>
        <v>#N/A</v>
      </c>
      <c r="N572" s="46" t="e">
        <f aca="false">IF((H572=1),M572-D572,0)</f>
        <v>#N/A</v>
      </c>
      <c r="O572" s="29" t="n">
        <v>555</v>
      </c>
      <c r="P572" s="49" t="e">
        <f aca="false">IF((Arterial=0),P571+1,P571)</f>
        <v>#N/A</v>
      </c>
      <c r="Q572" s="49" t="e">
        <f aca="false">IF((Arterial=1),Q571+1,Q571)</f>
        <v>#N/A</v>
      </c>
      <c r="R572" s="50" t="n">
        <f aca="false">IF((RESET=1),0,R572+K572)</f>
        <v>0</v>
      </c>
      <c r="S572" s="19" t="n">
        <f aca="false">IF(RESET=1,0,S572+N572)</f>
        <v>0</v>
      </c>
      <c r="T572" s="0" t="n">
        <f aca="false">IF(RESET=1,0,T572+IF(H572=0,1,0))</f>
        <v>0</v>
      </c>
      <c r="U572" s="0" t="n">
        <f aca="false">IF(RESET=1,0,U572+H572)</f>
        <v>0</v>
      </c>
      <c r="V572" s="19" t="n">
        <f aca="false">R572/(T572+0.00001)</f>
        <v>0</v>
      </c>
      <c r="W572" s="19" t="n">
        <f aca="false">S572/(U572+0.0001)</f>
        <v>0</v>
      </c>
      <c r="X572" s="47" t="e">
        <f aca="false">IF(Informed=1,K572,0)</f>
        <v>#N/A</v>
      </c>
      <c r="Y572" s="47" t="n">
        <f aca="false">IF(Informed=0,K572,0)</f>
        <v>0</v>
      </c>
      <c r="Z572" s="47" t="e">
        <f aca="false">IF(Informed=1,N572,0)</f>
        <v>#N/A</v>
      </c>
      <c r="AA572" s="47" t="n">
        <f aca="false">IF(Informed=0,N572,0)</f>
        <v>0</v>
      </c>
      <c r="AB572" s="51" t="e">
        <f aca="false">IF(Arterial=0,IF(Informed=1,1,0),0)</f>
        <v>#N/A</v>
      </c>
      <c r="AC572" s="51" t="e">
        <f aca="false">IF(Arterial=0,IF(Informed=0,1,0),0)</f>
        <v>#N/A</v>
      </c>
      <c r="AD572" s="51" t="e">
        <f aca="false">IF(Arterial=1,IF(Informed=1,1,0),0)</f>
        <v>#N/A</v>
      </c>
      <c r="AE572" s="51" t="e">
        <f aca="false">IF(Arterial=1,IF(Informed=0,1,0),0)</f>
        <v>#N/A</v>
      </c>
      <c r="AF572" s="44" t="e">
        <f aca="false">IF(AB572=1,(X572-G$1030)^2,0)</f>
        <v>#N/A</v>
      </c>
      <c r="AG572" s="44" t="e">
        <f aca="false">IF(AC572=1,(Y572-H$1030)^2,0)</f>
        <v>#N/A</v>
      </c>
      <c r="AH572" s="44" t="e">
        <f aca="false">IF(AD572=1,(Z572-I$1030)^2,0)</f>
        <v>#N/A</v>
      </c>
      <c r="AI572" s="44" t="e">
        <f aca="false">IF(AE572=1,(AA572-J$1030)^2,0)</f>
        <v>#N/A</v>
      </c>
    </row>
    <row r="573" customFormat="false" ht="12" hidden="false" customHeight="false" outlineLevel="0" collapsed="false">
      <c r="A573" s="29" t="n">
        <v>556</v>
      </c>
      <c r="B573" s="45" t="n">
        <f aca="true">IF(RAND()&lt;$D$8,1,0)</f>
        <v>1</v>
      </c>
      <c r="C573" s="34" t="n">
        <f aca="true">-LN(RAND())/$D$2</f>
        <v>4.72311150716052</v>
      </c>
      <c r="D573" s="46" t="n">
        <f aca="false">D572+C573</f>
        <v>875.893642871438</v>
      </c>
      <c r="E573" s="47" t="e">
        <f aca="false">MAX($D$3,(1+P572-VLOOKUP(VALUE(D573),$J$18:$Q572,7,TRUE()))*$D$3)</f>
        <v>#N/A</v>
      </c>
      <c r="F573" s="47" t="e">
        <f aca="false">MAX($D$4,(1+Q572-VLOOKUP(VALUE(D573),$M$18:$Q572,5,TRUE()))*$D$4)</f>
        <v>#N/A</v>
      </c>
      <c r="G573" s="48" t="n">
        <v>0.5</v>
      </c>
      <c r="H573" s="46" t="e">
        <f aca="true">IF((B573=1),(IF((F573&lt;E573),1,(IF((F573=E573),(IF(RAND()&lt;G573,1,0)),0)))),(IF((RAND()&lt;G573),1,0)))</f>
        <v>#N/A</v>
      </c>
      <c r="I573" s="46" t="e">
        <f aca="true">IF((H573=1),0,$D$3+$D$5*(RAND()-0.5))</f>
        <v>#N/A</v>
      </c>
      <c r="J573" s="46" t="e">
        <f aca="false">I573+MAX(D573,J572)</f>
        <v>#N/A</v>
      </c>
      <c r="K573" s="46" t="e">
        <f aca="false">IF((H573=0),J573-D573,0)</f>
        <v>#N/A</v>
      </c>
      <c r="L573" s="46" t="e">
        <f aca="true">IF(($H573=0),0,$D$4+$D$5*(RAND()-0.5))</f>
        <v>#N/A</v>
      </c>
      <c r="M573" s="46" t="e">
        <f aca="false">L573+MAX(D573,M572)</f>
        <v>#N/A</v>
      </c>
      <c r="N573" s="46" t="e">
        <f aca="false">IF((H573=1),M573-D573,0)</f>
        <v>#N/A</v>
      </c>
      <c r="O573" s="29" t="n">
        <v>556</v>
      </c>
      <c r="P573" s="49" t="e">
        <f aca="false">IF((Arterial=0),P572+1,P572)</f>
        <v>#N/A</v>
      </c>
      <c r="Q573" s="49" t="e">
        <f aca="false">IF((Arterial=1),Q572+1,Q572)</f>
        <v>#N/A</v>
      </c>
      <c r="R573" s="50" t="n">
        <f aca="false">IF((RESET=1),0,R573+K573)</f>
        <v>0</v>
      </c>
      <c r="S573" s="19" t="n">
        <f aca="false">IF(RESET=1,0,S573+N573)</f>
        <v>0</v>
      </c>
      <c r="T573" s="0" t="n">
        <f aca="false">IF(RESET=1,0,T573+IF(H573=0,1,0))</f>
        <v>0</v>
      </c>
      <c r="U573" s="0" t="n">
        <f aca="false">IF(RESET=1,0,U573+H573)</f>
        <v>0</v>
      </c>
      <c r="V573" s="19" t="n">
        <f aca="false">R573/(T573+0.00001)</f>
        <v>0</v>
      </c>
      <c r="W573" s="19" t="n">
        <f aca="false">S573/(U573+0.0001)</f>
        <v>0</v>
      </c>
      <c r="X573" s="47" t="e">
        <f aca="false">IF(Informed=1,K573,0)</f>
        <v>#N/A</v>
      </c>
      <c r="Y573" s="47" t="n">
        <f aca="false">IF(Informed=0,K573,0)</f>
        <v>0</v>
      </c>
      <c r="Z573" s="47" t="e">
        <f aca="false">IF(Informed=1,N573,0)</f>
        <v>#N/A</v>
      </c>
      <c r="AA573" s="47" t="n">
        <f aca="false">IF(Informed=0,N573,0)</f>
        <v>0</v>
      </c>
      <c r="AB573" s="51" t="e">
        <f aca="false">IF(Arterial=0,IF(Informed=1,1,0),0)</f>
        <v>#N/A</v>
      </c>
      <c r="AC573" s="51" t="e">
        <f aca="false">IF(Arterial=0,IF(Informed=0,1,0),0)</f>
        <v>#N/A</v>
      </c>
      <c r="AD573" s="51" t="e">
        <f aca="false">IF(Arterial=1,IF(Informed=1,1,0),0)</f>
        <v>#N/A</v>
      </c>
      <c r="AE573" s="51" t="e">
        <f aca="false">IF(Arterial=1,IF(Informed=0,1,0),0)</f>
        <v>#N/A</v>
      </c>
      <c r="AF573" s="44" t="e">
        <f aca="false">IF(AB573=1,(X573-G$1030)^2,0)</f>
        <v>#N/A</v>
      </c>
      <c r="AG573" s="44" t="e">
        <f aca="false">IF(AC573=1,(Y573-H$1030)^2,0)</f>
        <v>#N/A</v>
      </c>
      <c r="AH573" s="44" t="e">
        <f aca="false">IF(AD573=1,(Z573-I$1030)^2,0)</f>
        <v>#N/A</v>
      </c>
      <c r="AI573" s="44" t="e">
        <f aca="false">IF(AE573=1,(AA573-J$1030)^2,0)</f>
        <v>#N/A</v>
      </c>
    </row>
    <row r="574" customFormat="false" ht="12" hidden="false" customHeight="false" outlineLevel="0" collapsed="false">
      <c r="A574" s="29" t="n">
        <v>557</v>
      </c>
      <c r="B574" s="45" t="n">
        <f aca="true">IF(RAND()&lt;$D$8,1,0)</f>
        <v>1</v>
      </c>
      <c r="C574" s="34" t="n">
        <f aca="true">-LN(RAND())/$D$2</f>
        <v>0.596460937422752</v>
      </c>
      <c r="D574" s="46" t="n">
        <f aca="false">D573+C574</f>
        <v>876.490103808861</v>
      </c>
      <c r="E574" s="47" t="e">
        <f aca="false">MAX($D$3,(1+P573-VLOOKUP(VALUE(D574),$J$18:$Q573,7,TRUE()))*$D$3)</f>
        <v>#N/A</v>
      </c>
      <c r="F574" s="47" t="e">
        <f aca="false">MAX($D$4,(1+Q573-VLOOKUP(VALUE(D574),$M$18:$Q573,5,TRUE()))*$D$4)</f>
        <v>#N/A</v>
      </c>
      <c r="G574" s="48" t="n">
        <v>0.5</v>
      </c>
      <c r="H574" s="46" t="e">
        <f aca="true">IF((B574=1),(IF((F574&lt;E574),1,(IF((F574=E574),(IF(RAND()&lt;G574,1,0)),0)))),(IF((RAND()&lt;G574),1,0)))</f>
        <v>#N/A</v>
      </c>
      <c r="I574" s="46" t="e">
        <f aca="true">IF((H574=1),0,$D$3+$D$5*(RAND()-0.5))</f>
        <v>#N/A</v>
      </c>
      <c r="J574" s="46" t="e">
        <f aca="false">I574+MAX(D574,J573)</f>
        <v>#N/A</v>
      </c>
      <c r="K574" s="46" t="e">
        <f aca="false">IF((H574=0),J574-D574,0)</f>
        <v>#N/A</v>
      </c>
      <c r="L574" s="46" t="e">
        <f aca="true">IF(($H574=0),0,$D$4+$D$5*(RAND()-0.5))</f>
        <v>#N/A</v>
      </c>
      <c r="M574" s="46" t="e">
        <f aca="false">L574+MAX(D574,M573)</f>
        <v>#N/A</v>
      </c>
      <c r="N574" s="46" t="e">
        <f aca="false">IF((H574=1),M574-D574,0)</f>
        <v>#N/A</v>
      </c>
      <c r="O574" s="29" t="n">
        <v>557</v>
      </c>
      <c r="P574" s="49" t="e">
        <f aca="false">IF((Arterial=0),P573+1,P573)</f>
        <v>#N/A</v>
      </c>
      <c r="Q574" s="49" t="e">
        <f aca="false">IF((Arterial=1),Q573+1,Q573)</f>
        <v>#N/A</v>
      </c>
      <c r="R574" s="50" t="n">
        <f aca="false">IF((RESET=1),0,R574+K574)</f>
        <v>0</v>
      </c>
      <c r="S574" s="19" t="n">
        <f aca="false">IF(RESET=1,0,S574+N574)</f>
        <v>0</v>
      </c>
      <c r="T574" s="0" t="n">
        <f aca="false">IF(RESET=1,0,T574+IF(H574=0,1,0))</f>
        <v>0</v>
      </c>
      <c r="U574" s="0" t="n">
        <f aca="false">IF(RESET=1,0,U574+H574)</f>
        <v>0</v>
      </c>
      <c r="V574" s="19" t="n">
        <f aca="false">R574/(T574+0.00001)</f>
        <v>0</v>
      </c>
      <c r="W574" s="19" t="n">
        <f aca="false">S574/(U574+0.0001)</f>
        <v>0</v>
      </c>
      <c r="X574" s="47" t="e">
        <f aca="false">IF(Informed=1,K574,0)</f>
        <v>#N/A</v>
      </c>
      <c r="Y574" s="47" t="n">
        <f aca="false">IF(Informed=0,K574,0)</f>
        <v>0</v>
      </c>
      <c r="Z574" s="47" t="e">
        <f aca="false">IF(Informed=1,N574,0)</f>
        <v>#N/A</v>
      </c>
      <c r="AA574" s="47" t="n">
        <f aca="false">IF(Informed=0,N574,0)</f>
        <v>0</v>
      </c>
      <c r="AB574" s="51" t="e">
        <f aca="false">IF(Arterial=0,IF(Informed=1,1,0),0)</f>
        <v>#N/A</v>
      </c>
      <c r="AC574" s="51" t="e">
        <f aca="false">IF(Arterial=0,IF(Informed=0,1,0),0)</f>
        <v>#N/A</v>
      </c>
      <c r="AD574" s="51" t="e">
        <f aca="false">IF(Arterial=1,IF(Informed=1,1,0),0)</f>
        <v>#N/A</v>
      </c>
      <c r="AE574" s="51" t="e">
        <f aca="false">IF(Arterial=1,IF(Informed=0,1,0),0)</f>
        <v>#N/A</v>
      </c>
      <c r="AF574" s="44" t="e">
        <f aca="false">IF(AB574=1,(X574-G$1030)^2,0)</f>
        <v>#N/A</v>
      </c>
      <c r="AG574" s="44" t="e">
        <f aca="false">IF(AC574=1,(Y574-H$1030)^2,0)</f>
        <v>#N/A</v>
      </c>
      <c r="AH574" s="44" t="e">
        <f aca="false">IF(AD574=1,(Z574-I$1030)^2,0)</f>
        <v>#N/A</v>
      </c>
      <c r="AI574" s="44" t="e">
        <f aca="false">IF(AE574=1,(AA574-J$1030)^2,0)</f>
        <v>#N/A</v>
      </c>
    </row>
    <row r="575" customFormat="false" ht="12" hidden="false" customHeight="false" outlineLevel="0" collapsed="false">
      <c r="A575" s="29" t="n">
        <v>558</v>
      </c>
      <c r="B575" s="45" t="n">
        <f aca="true">IF(RAND()&lt;$D$8,1,0)</f>
        <v>1</v>
      </c>
      <c r="C575" s="34" t="n">
        <f aca="true">-LN(RAND())/$D$2</f>
        <v>0.654425680713238</v>
      </c>
      <c r="D575" s="46" t="n">
        <f aca="false">D574+C575</f>
        <v>877.144529489574</v>
      </c>
      <c r="E575" s="47" t="e">
        <f aca="false">MAX($D$3,(1+P574-VLOOKUP(VALUE(D575),$J$18:$Q574,7,TRUE()))*$D$3)</f>
        <v>#N/A</v>
      </c>
      <c r="F575" s="47" t="e">
        <f aca="false">MAX($D$4,(1+Q574-VLOOKUP(VALUE(D575),$M$18:$Q574,5,TRUE()))*$D$4)</f>
        <v>#N/A</v>
      </c>
      <c r="G575" s="48" t="n">
        <v>0.5</v>
      </c>
      <c r="H575" s="46" t="e">
        <f aca="true">IF((B575=1),(IF((F575&lt;E575),1,(IF((F575=E575),(IF(RAND()&lt;G575,1,0)),0)))),(IF((RAND()&lt;G575),1,0)))</f>
        <v>#N/A</v>
      </c>
      <c r="I575" s="46" t="e">
        <f aca="true">IF((H575=1),0,$D$3+$D$5*(RAND()-0.5))</f>
        <v>#N/A</v>
      </c>
      <c r="J575" s="46" t="e">
        <f aca="false">I575+MAX(D575,J574)</f>
        <v>#N/A</v>
      </c>
      <c r="K575" s="46" t="e">
        <f aca="false">IF((H575=0),J575-D575,0)</f>
        <v>#N/A</v>
      </c>
      <c r="L575" s="46" t="e">
        <f aca="true">IF(($H575=0),0,$D$4+$D$5*(RAND()-0.5))</f>
        <v>#N/A</v>
      </c>
      <c r="M575" s="46" t="e">
        <f aca="false">L575+MAX(D575,M574)</f>
        <v>#N/A</v>
      </c>
      <c r="N575" s="46" t="e">
        <f aca="false">IF((H575=1),M575-D575,0)</f>
        <v>#N/A</v>
      </c>
      <c r="O575" s="29" t="n">
        <v>558</v>
      </c>
      <c r="P575" s="49" t="e">
        <f aca="false">IF((Arterial=0),P574+1,P574)</f>
        <v>#N/A</v>
      </c>
      <c r="Q575" s="49" t="e">
        <f aca="false">IF((Arterial=1),Q574+1,Q574)</f>
        <v>#N/A</v>
      </c>
      <c r="R575" s="50" t="n">
        <f aca="false">IF((RESET=1),0,R575+K575)</f>
        <v>0</v>
      </c>
      <c r="S575" s="19" t="n">
        <f aca="false">IF(RESET=1,0,S575+N575)</f>
        <v>0</v>
      </c>
      <c r="T575" s="0" t="n">
        <f aca="false">IF(RESET=1,0,T575+IF(H575=0,1,0))</f>
        <v>0</v>
      </c>
      <c r="U575" s="0" t="n">
        <f aca="false">IF(RESET=1,0,U575+H575)</f>
        <v>0</v>
      </c>
      <c r="V575" s="19" t="n">
        <f aca="false">R575/(T575+0.00001)</f>
        <v>0</v>
      </c>
      <c r="W575" s="19" t="n">
        <f aca="false">S575/(U575+0.0001)</f>
        <v>0</v>
      </c>
      <c r="X575" s="47" t="e">
        <f aca="false">IF(Informed=1,K575,0)</f>
        <v>#N/A</v>
      </c>
      <c r="Y575" s="47" t="n">
        <f aca="false">IF(Informed=0,K575,0)</f>
        <v>0</v>
      </c>
      <c r="Z575" s="47" t="e">
        <f aca="false">IF(Informed=1,N575,0)</f>
        <v>#N/A</v>
      </c>
      <c r="AA575" s="47" t="n">
        <f aca="false">IF(Informed=0,N575,0)</f>
        <v>0</v>
      </c>
      <c r="AB575" s="51" t="e">
        <f aca="false">IF(Arterial=0,IF(Informed=1,1,0),0)</f>
        <v>#N/A</v>
      </c>
      <c r="AC575" s="51" t="e">
        <f aca="false">IF(Arterial=0,IF(Informed=0,1,0),0)</f>
        <v>#N/A</v>
      </c>
      <c r="AD575" s="51" t="e">
        <f aca="false">IF(Arterial=1,IF(Informed=1,1,0),0)</f>
        <v>#N/A</v>
      </c>
      <c r="AE575" s="51" t="e">
        <f aca="false">IF(Arterial=1,IF(Informed=0,1,0),0)</f>
        <v>#N/A</v>
      </c>
      <c r="AF575" s="44" t="e">
        <f aca="false">IF(AB575=1,(X575-G$1030)^2,0)</f>
        <v>#N/A</v>
      </c>
      <c r="AG575" s="44" t="e">
        <f aca="false">IF(AC575=1,(Y575-H$1030)^2,0)</f>
        <v>#N/A</v>
      </c>
      <c r="AH575" s="44" t="e">
        <f aca="false">IF(AD575=1,(Z575-I$1030)^2,0)</f>
        <v>#N/A</v>
      </c>
      <c r="AI575" s="44" t="e">
        <f aca="false">IF(AE575=1,(AA575-J$1030)^2,0)</f>
        <v>#N/A</v>
      </c>
    </row>
    <row r="576" customFormat="false" ht="12" hidden="false" customHeight="false" outlineLevel="0" collapsed="false">
      <c r="A576" s="29" t="n">
        <v>559</v>
      </c>
      <c r="B576" s="45" t="n">
        <f aca="true">IF(RAND()&lt;$D$8,1,0)</f>
        <v>1</v>
      </c>
      <c r="C576" s="34" t="n">
        <f aca="true">-LN(RAND())/$D$2</f>
        <v>0.642887743247008</v>
      </c>
      <c r="D576" s="46" t="n">
        <f aca="false">D575+C576</f>
        <v>877.787417232821</v>
      </c>
      <c r="E576" s="47" t="e">
        <f aca="false">MAX($D$3,(1+P575-VLOOKUP(VALUE(D576),$J$18:$Q575,7,TRUE()))*$D$3)</f>
        <v>#N/A</v>
      </c>
      <c r="F576" s="47" t="e">
        <f aca="false">MAX($D$4,(1+Q575-VLOOKUP(VALUE(D576),$M$18:$Q575,5,TRUE()))*$D$4)</f>
        <v>#N/A</v>
      </c>
      <c r="G576" s="48" t="n">
        <v>0.5</v>
      </c>
      <c r="H576" s="46" t="e">
        <f aca="true">IF((B576=1),(IF((F576&lt;E576),1,(IF((F576=E576),(IF(RAND()&lt;G576,1,0)),0)))),(IF((RAND()&lt;G576),1,0)))</f>
        <v>#N/A</v>
      </c>
      <c r="I576" s="46" t="e">
        <f aca="true">IF((H576=1),0,$D$3+$D$5*(RAND()-0.5))</f>
        <v>#N/A</v>
      </c>
      <c r="J576" s="46" t="e">
        <f aca="false">I576+MAX(D576,J575)</f>
        <v>#N/A</v>
      </c>
      <c r="K576" s="46" t="e">
        <f aca="false">IF((H576=0),J576-D576,0)</f>
        <v>#N/A</v>
      </c>
      <c r="L576" s="46" t="e">
        <f aca="true">IF(($H576=0),0,$D$4+$D$5*(RAND()-0.5))</f>
        <v>#N/A</v>
      </c>
      <c r="M576" s="46" t="e">
        <f aca="false">L576+MAX(D576,M575)</f>
        <v>#N/A</v>
      </c>
      <c r="N576" s="46" t="e">
        <f aca="false">IF((H576=1),M576-D576,0)</f>
        <v>#N/A</v>
      </c>
      <c r="O576" s="29" t="n">
        <v>559</v>
      </c>
      <c r="P576" s="49" t="e">
        <f aca="false">IF((Arterial=0),P575+1,P575)</f>
        <v>#N/A</v>
      </c>
      <c r="Q576" s="49" t="e">
        <f aca="false">IF((Arterial=1),Q575+1,Q575)</f>
        <v>#N/A</v>
      </c>
      <c r="R576" s="50" t="n">
        <f aca="false">IF((RESET=1),0,R576+K576)</f>
        <v>0</v>
      </c>
      <c r="S576" s="19" t="n">
        <f aca="false">IF(RESET=1,0,S576+N576)</f>
        <v>0</v>
      </c>
      <c r="T576" s="0" t="n">
        <f aca="false">IF(RESET=1,0,T576+IF(H576=0,1,0))</f>
        <v>0</v>
      </c>
      <c r="U576" s="0" t="n">
        <f aca="false">IF(RESET=1,0,U576+H576)</f>
        <v>0</v>
      </c>
      <c r="V576" s="19" t="n">
        <f aca="false">R576/(T576+0.00001)</f>
        <v>0</v>
      </c>
      <c r="W576" s="19" t="n">
        <f aca="false">S576/(U576+0.0001)</f>
        <v>0</v>
      </c>
      <c r="X576" s="47" t="e">
        <f aca="false">IF(Informed=1,K576,0)</f>
        <v>#N/A</v>
      </c>
      <c r="Y576" s="47" t="n">
        <f aca="false">IF(Informed=0,K576,0)</f>
        <v>0</v>
      </c>
      <c r="Z576" s="47" t="e">
        <f aca="false">IF(Informed=1,N576,0)</f>
        <v>#N/A</v>
      </c>
      <c r="AA576" s="47" t="n">
        <f aca="false">IF(Informed=0,N576,0)</f>
        <v>0</v>
      </c>
      <c r="AB576" s="51" t="e">
        <f aca="false">IF(Arterial=0,IF(Informed=1,1,0),0)</f>
        <v>#N/A</v>
      </c>
      <c r="AC576" s="51" t="e">
        <f aca="false">IF(Arterial=0,IF(Informed=0,1,0),0)</f>
        <v>#N/A</v>
      </c>
      <c r="AD576" s="51" t="e">
        <f aca="false">IF(Arterial=1,IF(Informed=1,1,0),0)</f>
        <v>#N/A</v>
      </c>
      <c r="AE576" s="51" t="e">
        <f aca="false">IF(Arterial=1,IF(Informed=0,1,0),0)</f>
        <v>#N/A</v>
      </c>
      <c r="AF576" s="44" t="e">
        <f aca="false">IF(AB576=1,(X576-G$1030)^2,0)</f>
        <v>#N/A</v>
      </c>
      <c r="AG576" s="44" t="e">
        <f aca="false">IF(AC576=1,(Y576-H$1030)^2,0)</f>
        <v>#N/A</v>
      </c>
      <c r="AH576" s="44" t="e">
        <f aca="false">IF(AD576=1,(Z576-I$1030)^2,0)</f>
        <v>#N/A</v>
      </c>
      <c r="AI576" s="44" t="e">
        <f aca="false">IF(AE576=1,(AA576-J$1030)^2,0)</f>
        <v>#N/A</v>
      </c>
    </row>
    <row r="577" customFormat="false" ht="12" hidden="false" customHeight="false" outlineLevel="0" collapsed="false">
      <c r="A577" s="29" t="n">
        <v>560</v>
      </c>
      <c r="B577" s="45" t="n">
        <f aca="true">IF(RAND()&lt;$D$8,1,0)</f>
        <v>1</v>
      </c>
      <c r="C577" s="34" t="n">
        <f aca="true">-LN(RAND())/$D$2</f>
        <v>0.0576563501504068</v>
      </c>
      <c r="D577" s="46" t="n">
        <f aca="false">D576+C577</f>
        <v>877.845073582971</v>
      </c>
      <c r="E577" s="47" t="e">
        <f aca="false">MAX($D$3,(1+P576-VLOOKUP(VALUE(D577),$J$18:$Q576,7,TRUE()))*$D$3)</f>
        <v>#N/A</v>
      </c>
      <c r="F577" s="47" t="e">
        <f aca="false">MAX($D$4,(1+Q576-VLOOKUP(VALUE(D577),$M$18:$Q576,5,TRUE()))*$D$4)</f>
        <v>#N/A</v>
      </c>
      <c r="G577" s="48" t="n">
        <v>0.5</v>
      </c>
      <c r="H577" s="46" t="e">
        <f aca="true">IF((B577=1),(IF((F577&lt;E577),1,(IF((F577=E577),(IF(RAND()&lt;G577,1,0)),0)))),(IF((RAND()&lt;G577),1,0)))</f>
        <v>#N/A</v>
      </c>
      <c r="I577" s="46" t="e">
        <f aca="true">IF((H577=1),0,$D$3+$D$5*(RAND()-0.5))</f>
        <v>#N/A</v>
      </c>
      <c r="J577" s="46" t="e">
        <f aca="false">I577+MAX(D577,J576)</f>
        <v>#N/A</v>
      </c>
      <c r="K577" s="46" t="e">
        <f aca="false">IF((H577=0),J577-D577,0)</f>
        <v>#N/A</v>
      </c>
      <c r="L577" s="46" t="e">
        <f aca="true">IF(($H577=0),0,$D$4+$D$5*(RAND()-0.5))</f>
        <v>#N/A</v>
      </c>
      <c r="M577" s="46" t="e">
        <f aca="false">L577+MAX(D577,M576)</f>
        <v>#N/A</v>
      </c>
      <c r="N577" s="46" t="e">
        <f aca="false">IF((H577=1),M577-D577,0)</f>
        <v>#N/A</v>
      </c>
      <c r="O577" s="29" t="n">
        <v>560</v>
      </c>
      <c r="P577" s="49" t="e">
        <f aca="false">IF((Arterial=0),P576+1,P576)</f>
        <v>#N/A</v>
      </c>
      <c r="Q577" s="49" t="e">
        <f aca="false">IF((Arterial=1),Q576+1,Q576)</f>
        <v>#N/A</v>
      </c>
      <c r="R577" s="50" t="n">
        <f aca="false">IF((RESET=1),0,R577+K577)</f>
        <v>0</v>
      </c>
      <c r="S577" s="19" t="n">
        <f aca="false">IF(RESET=1,0,S577+N577)</f>
        <v>0</v>
      </c>
      <c r="T577" s="0" t="n">
        <f aca="false">IF(RESET=1,0,T577+IF(H577=0,1,0))</f>
        <v>0</v>
      </c>
      <c r="U577" s="0" t="n">
        <f aca="false">IF(RESET=1,0,U577+H577)</f>
        <v>0</v>
      </c>
      <c r="V577" s="19" t="n">
        <f aca="false">R577/(T577+0.00001)</f>
        <v>0</v>
      </c>
      <c r="W577" s="19" t="n">
        <f aca="false">S577/(U577+0.0001)</f>
        <v>0</v>
      </c>
      <c r="X577" s="47" t="e">
        <f aca="false">IF(Informed=1,K577,0)</f>
        <v>#N/A</v>
      </c>
      <c r="Y577" s="47" t="n">
        <f aca="false">IF(Informed=0,K577,0)</f>
        <v>0</v>
      </c>
      <c r="Z577" s="47" t="e">
        <f aca="false">IF(Informed=1,N577,0)</f>
        <v>#N/A</v>
      </c>
      <c r="AA577" s="47" t="n">
        <f aca="false">IF(Informed=0,N577,0)</f>
        <v>0</v>
      </c>
      <c r="AB577" s="51" t="e">
        <f aca="false">IF(Arterial=0,IF(Informed=1,1,0),0)</f>
        <v>#N/A</v>
      </c>
      <c r="AC577" s="51" t="e">
        <f aca="false">IF(Arterial=0,IF(Informed=0,1,0),0)</f>
        <v>#N/A</v>
      </c>
      <c r="AD577" s="51" t="e">
        <f aca="false">IF(Arterial=1,IF(Informed=1,1,0),0)</f>
        <v>#N/A</v>
      </c>
      <c r="AE577" s="51" t="e">
        <f aca="false">IF(Arterial=1,IF(Informed=0,1,0),0)</f>
        <v>#N/A</v>
      </c>
      <c r="AF577" s="44" t="e">
        <f aca="false">IF(AB577=1,(X577-G$1030)^2,0)</f>
        <v>#N/A</v>
      </c>
      <c r="AG577" s="44" t="e">
        <f aca="false">IF(AC577=1,(Y577-H$1030)^2,0)</f>
        <v>#N/A</v>
      </c>
      <c r="AH577" s="44" t="e">
        <f aca="false">IF(AD577=1,(Z577-I$1030)^2,0)</f>
        <v>#N/A</v>
      </c>
      <c r="AI577" s="44" t="e">
        <f aca="false">IF(AE577=1,(AA577-J$1030)^2,0)</f>
        <v>#N/A</v>
      </c>
    </row>
    <row r="578" customFormat="false" ht="12" hidden="false" customHeight="false" outlineLevel="0" collapsed="false">
      <c r="A578" s="29" t="n">
        <v>561</v>
      </c>
      <c r="B578" s="45" t="n">
        <f aca="true">IF(RAND()&lt;$D$8,1,0)</f>
        <v>1</v>
      </c>
      <c r="C578" s="34" t="n">
        <f aca="true">-LN(RAND())/$D$2</f>
        <v>3.10883000665731</v>
      </c>
      <c r="D578" s="46" t="n">
        <f aca="false">D577+C578</f>
        <v>880.953903589629</v>
      </c>
      <c r="E578" s="47" t="e">
        <f aca="false">MAX($D$3,(1+P577-VLOOKUP(VALUE(D578),$J$18:$Q577,7,TRUE()))*$D$3)</f>
        <v>#N/A</v>
      </c>
      <c r="F578" s="47" t="e">
        <f aca="false">MAX($D$4,(1+Q577-VLOOKUP(VALUE(D578),$M$18:$Q577,5,TRUE()))*$D$4)</f>
        <v>#N/A</v>
      </c>
      <c r="G578" s="48" t="n">
        <v>0.5</v>
      </c>
      <c r="H578" s="46" t="e">
        <f aca="true">IF((B578=1),(IF((F578&lt;E578),1,(IF((F578=E578),(IF(RAND()&lt;G578,1,0)),0)))),(IF((RAND()&lt;G578),1,0)))</f>
        <v>#N/A</v>
      </c>
      <c r="I578" s="46" t="e">
        <f aca="true">IF((H578=1),0,$D$3+$D$5*(RAND()-0.5))</f>
        <v>#N/A</v>
      </c>
      <c r="J578" s="46" t="e">
        <f aca="false">I578+MAX(D578,J577)</f>
        <v>#N/A</v>
      </c>
      <c r="K578" s="46" t="e">
        <f aca="false">IF((H578=0),J578-D578,0)</f>
        <v>#N/A</v>
      </c>
      <c r="L578" s="46" t="e">
        <f aca="true">IF(($H578=0),0,$D$4+$D$5*(RAND()-0.5))</f>
        <v>#N/A</v>
      </c>
      <c r="M578" s="46" t="e">
        <f aca="false">L578+MAX(D578,M577)</f>
        <v>#N/A</v>
      </c>
      <c r="N578" s="46" t="e">
        <f aca="false">IF((H578=1),M578-D578,0)</f>
        <v>#N/A</v>
      </c>
      <c r="O578" s="29" t="n">
        <v>561</v>
      </c>
      <c r="P578" s="49" t="e">
        <f aca="false">IF((Arterial=0),P577+1,P577)</f>
        <v>#N/A</v>
      </c>
      <c r="Q578" s="49" t="e">
        <f aca="false">IF((Arterial=1),Q577+1,Q577)</f>
        <v>#N/A</v>
      </c>
      <c r="R578" s="50" t="n">
        <f aca="false">IF((RESET=1),0,R578+K578)</f>
        <v>0</v>
      </c>
      <c r="S578" s="19" t="n">
        <f aca="false">IF(RESET=1,0,S578+N578)</f>
        <v>0</v>
      </c>
      <c r="T578" s="0" t="n">
        <f aca="false">IF(RESET=1,0,T578+IF(H578=0,1,0))</f>
        <v>0</v>
      </c>
      <c r="U578" s="0" t="n">
        <f aca="false">IF(RESET=1,0,U578+H578)</f>
        <v>0</v>
      </c>
      <c r="V578" s="19" t="n">
        <f aca="false">R578/(T578+0.00001)</f>
        <v>0</v>
      </c>
      <c r="W578" s="19" t="n">
        <f aca="false">S578/(U578+0.0001)</f>
        <v>0</v>
      </c>
      <c r="X578" s="47" t="e">
        <f aca="false">IF(Informed=1,K578,0)</f>
        <v>#N/A</v>
      </c>
      <c r="Y578" s="47" t="n">
        <f aca="false">IF(Informed=0,K578,0)</f>
        <v>0</v>
      </c>
      <c r="Z578" s="47" t="e">
        <f aca="false">IF(Informed=1,N578,0)</f>
        <v>#N/A</v>
      </c>
      <c r="AA578" s="47" t="n">
        <f aca="false">IF(Informed=0,N578,0)</f>
        <v>0</v>
      </c>
      <c r="AB578" s="51" t="e">
        <f aca="false">IF(Arterial=0,IF(Informed=1,1,0),0)</f>
        <v>#N/A</v>
      </c>
      <c r="AC578" s="51" t="e">
        <f aca="false">IF(Arterial=0,IF(Informed=0,1,0),0)</f>
        <v>#N/A</v>
      </c>
      <c r="AD578" s="51" t="e">
        <f aca="false">IF(Arterial=1,IF(Informed=1,1,0),0)</f>
        <v>#N/A</v>
      </c>
      <c r="AE578" s="51" t="e">
        <f aca="false">IF(Arterial=1,IF(Informed=0,1,0),0)</f>
        <v>#N/A</v>
      </c>
      <c r="AF578" s="44" t="e">
        <f aca="false">IF(AB578=1,(X578-G$1030)^2,0)</f>
        <v>#N/A</v>
      </c>
      <c r="AG578" s="44" t="e">
        <f aca="false">IF(AC578=1,(Y578-H$1030)^2,0)</f>
        <v>#N/A</v>
      </c>
      <c r="AH578" s="44" t="e">
        <f aca="false">IF(AD578=1,(Z578-I$1030)^2,0)</f>
        <v>#N/A</v>
      </c>
      <c r="AI578" s="44" t="e">
        <f aca="false">IF(AE578=1,(AA578-J$1030)^2,0)</f>
        <v>#N/A</v>
      </c>
    </row>
    <row r="579" customFormat="false" ht="12" hidden="false" customHeight="false" outlineLevel="0" collapsed="false">
      <c r="A579" s="29" t="n">
        <v>562</v>
      </c>
      <c r="B579" s="45" t="n">
        <f aca="true">IF(RAND()&lt;$D$8,1,0)</f>
        <v>1</v>
      </c>
      <c r="C579" s="34" t="n">
        <f aca="true">-LN(RAND())/$D$2</f>
        <v>4.10767948007213</v>
      </c>
      <c r="D579" s="46" t="n">
        <f aca="false">D578+C579</f>
        <v>885.061583069701</v>
      </c>
      <c r="E579" s="47" t="e">
        <f aca="false">MAX($D$3,(1+P578-VLOOKUP(VALUE(D579),$J$18:$Q578,7,TRUE()))*$D$3)</f>
        <v>#N/A</v>
      </c>
      <c r="F579" s="47" t="e">
        <f aca="false">MAX($D$4,(1+Q578-VLOOKUP(VALUE(D579),$M$18:$Q578,5,TRUE()))*$D$4)</f>
        <v>#N/A</v>
      </c>
      <c r="G579" s="48" t="n">
        <v>0.5</v>
      </c>
      <c r="H579" s="46" t="e">
        <f aca="true">IF((B579=1),(IF((F579&lt;E579),1,(IF((F579=E579),(IF(RAND()&lt;G579,1,0)),0)))),(IF((RAND()&lt;G579),1,0)))</f>
        <v>#N/A</v>
      </c>
      <c r="I579" s="46" t="e">
        <f aca="true">IF((H579=1),0,$D$3+$D$5*(RAND()-0.5))</f>
        <v>#N/A</v>
      </c>
      <c r="J579" s="46" t="e">
        <f aca="false">I579+MAX(D579,J578)</f>
        <v>#N/A</v>
      </c>
      <c r="K579" s="46" t="e">
        <f aca="false">IF((H579=0),J579-D579,0)</f>
        <v>#N/A</v>
      </c>
      <c r="L579" s="46" t="e">
        <f aca="true">IF(($H579=0),0,$D$4+$D$5*(RAND()-0.5))</f>
        <v>#N/A</v>
      </c>
      <c r="M579" s="46" t="e">
        <f aca="false">L579+MAX(D579,M578)</f>
        <v>#N/A</v>
      </c>
      <c r="N579" s="46" t="e">
        <f aca="false">IF((H579=1),M579-D579,0)</f>
        <v>#N/A</v>
      </c>
      <c r="O579" s="29" t="n">
        <v>562</v>
      </c>
      <c r="P579" s="49" t="e">
        <f aca="false">IF((Arterial=0),P578+1,P578)</f>
        <v>#N/A</v>
      </c>
      <c r="Q579" s="49" t="e">
        <f aca="false">IF((Arterial=1),Q578+1,Q578)</f>
        <v>#N/A</v>
      </c>
      <c r="R579" s="50" t="n">
        <f aca="false">IF((RESET=1),0,R579+K579)</f>
        <v>0</v>
      </c>
      <c r="S579" s="19" t="n">
        <f aca="false">IF(RESET=1,0,S579+N579)</f>
        <v>0</v>
      </c>
      <c r="T579" s="0" t="n">
        <f aca="false">IF(RESET=1,0,T579+IF(H579=0,1,0))</f>
        <v>0</v>
      </c>
      <c r="U579" s="0" t="n">
        <f aca="false">IF(RESET=1,0,U579+H579)</f>
        <v>0</v>
      </c>
      <c r="V579" s="19" t="n">
        <f aca="false">R579/(T579+0.00001)</f>
        <v>0</v>
      </c>
      <c r="W579" s="19" t="n">
        <f aca="false">S579/(U579+0.0001)</f>
        <v>0</v>
      </c>
      <c r="X579" s="47" t="e">
        <f aca="false">IF(Informed=1,K579,0)</f>
        <v>#N/A</v>
      </c>
      <c r="Y579" s="47" t="n">
        <f aca="false">IF(Informed=0,K579,0)</f>
        <v>0</v>
      </c>
      <c r="Z579" s="47" t="e">
        <f aca="false">IF(Informed=1,N579,0)</f>
        <v>#N/A</v>
      </c>
      <c r="AA579" s="47" t="n">
        <f aca="false">IF(Informed=0,N579,0)</f>
        <v>0</v>
      </c>
      <c r="AB579" s="51" t="e">
        <f aca="false">IF(Arterial=0,IF(Informed=1,1,0),0)</f>
        <v>#N/A</v>
      </c>
      <c r="AC579" s="51" t="e">
        <f aca="false">IF(Arterial=0,IF(Informed=0,1,0),0)</f>
        <v>#N/A</v>
      </c>
      <c r="AD579" s="51" t="e">
        <f aca="false">IF(Arterial=1,IF(Informed=1,1,0),0)</f>
        <v>#N/A</v>
      </c>
      <c r="AE579" s="51" t="e">
        <f aca="false">IF(Arterial=1,IF(Informed=0,1,0),0)</f>
        <v>#N/A</v>
      </c>
      <c r="AF579" s="44" t="e">
        <f aca="false">IF(AB579=1,(X579-G$1030)^2,0)</f>
        <v>#N/A</v>
      </c>
      <c r="AG579" s="44" t="e">
        <f aca="false">IF(AC579=1,(Y579-H$1030)^2,0)</f>
        <v>#N/A</v>
      </c>
      <c r="AH579" s="44" t="e">
        <f aca="false">IF(AD579=1,(Z579-I$1030)^2,0)</f>
        <v>#N/A</v>
      </c>
      <c r="AI579" s="44" t="e">
        <f aca="false">IF(AE579=1,(AA579-J$1030)^2,0)</f>
        <v>#N/A</v>
      </c>
    </row>
    <row r="580" customFormat="false" ht="12" hidden="false" customHeight="false" outlineLevel="0" collapsed="false">
      <c r="A580" s="29" t="n">
        <v>563</v>
      </c>
      <c r="B580" s="45" t="n">
        <f aca="true">IF(RAND()&lt;$D$8,1,0)</f>
        <v>1</v>
      </c>
      <c r="C580" s="34" t="n">
        <f aca="true">-LN(RAND())/$D$2</f>
        <v>0.246353818344184</v>
      </c>
      <c r="D580" s="46" t="n">
        <f aca="false">D579+C580</f>
        <v>885.307936888045</v>
      </c>
      <c r="E580" s="47" t="e">
        <f aca="false">MAX($D$3,(1+P579-VLOOKUP(VALUE(D580),$J$18:$Q579,7,TRUE()))*$D$3)</f>
        <v>#N/A</v>
      </c>
      <c r="F580" s="47" t="e">
        <f aca="false">MAX($D$4,(1+Q579-VLOOKUP(VALUE(D580),$M$18:$Q579,5,TRUE()))*$D$4)</f>
        <v>#N/A</v>
      </c>
      <c r="G580" s="48" t="n">
        <v>0.5</v>
      </c>
      <c r="H580" s="46" t="e">
        <f aca="true">IF((B580=1),(IF((F580&lt;E580),1,(IF((F580=E580),(IF(RAND()&lt;G580,1,0)),0)))),(IF((RAND()&lt;G580),1,0)))</f>
        <v>#N/A</v>
      </c>
      <c r="I580" s="46" t="e">
        <f aca="true">IF((H580=1),0,$D$3+$D$5*(RAND()-0.5))</f>
        <v>#N/A</v>
      </c>
      <c r="J580" s="46" t="e">
        <f aca="false">I580+MAX(D580,J579)</f>
        <v>#N/A</v>
      </c>
      <c r="K580" s="46" t="e">
        <f aca="false">IF((H580=0),J580-D580,0)</f>
        <v>#N/A</v>
      </c>
      <c r="L580" s="46" t="e">
        <f aca="true">IF(($H580=0),0,$D$4+$D$5*(RAND()-0.5))</f>
        <v>#N/A</v>
      </c>
      <c r="M580" s="46" t="e">
        <f aca="false">L580+MAX(D580,M579)</f>
        <v>#N/A</v>
      </c>
      <c r="N580" s="46" t="e">
        <f aca="false">IF((H580=1),M580-D580,0)</f>
        <v>#N/A</v>
      </c>
      <c r="O580" s="29" t="n">
        <v>563</v>
      </c>
      <c r="P580" s="49" t="e">
        <f aca="false">IF((Arterial=0),P579+1,P579)</f>
        <v>#N/A</v>
      </c>
      <c r="Q580" s="49" t="e">
        <f aca="false">IF((Arterial=1),Q579+1,Q579)</f>
        <v>#N/A</v>
      </c>
      <c r="R580" s="50" t="n">
        <f aca="false">IF((RESET=1),0,R580+K580)</f>
        <v>0</v>
      </c>
      <c r="S580" s="19" t="n">
        <f aca="false">IF(RESET=1,0,S580+N580)</f>
        <v>0</v>
      </c>
      <c r="T580" s="0" t="n">
        <f aca="false">IF(RESET=1,0,T580+IF(H580=0,1,0))</f>
        <v>0</v>
      </c>
      <c r="U580" s="0" t="n">
        <f aca="false">IF(RESET=1,0,U580+H580)</f>
        <v>0</v>
      </c>
      <c r="V580" s="19" t="n">
        <f aca="false">R580/(T580+0.00001)</f>
        <v>0</v>
      </c>
      <c r="W580" s="19" t="n">
        <f aca="false">S580/(U580+0.0001)</f>
        <v>0</v>
      </c>
      <c r="X580" s="47" t="e">
        <f aca="false">IF(Informed=1,K580,0)</f>
        <v>#N/A</v>
      </c>
      <c r="Y580" s="47" t="n">
        <f aca="false">IF(Informed=0,K580,0)</f>
        <v>0</v>
      </c>
      <c r="Z580" s="47" t="e">
        <f aca="false">IF(Informed=1,N580,0)</f>
        <v>#N/A</v>
      </c>
      <c r="AA580" s="47" t="n">
        <f aca="false">IF(Informed=0,N580,0)</f>
        <v>0</v>
      </c>
      <c r="AB580" s="51" t="e">
        <f aca="false">IF(Arterial=0,IF(Informed=1,1,0),0)</f>
        <v>#N/A</v>
      </c>
      <c r="AC580" s="51" t="e">
        <f aca="false">IF(Arterial=0,IF(Informed=0,1,0),0)</f>
        <v>#N/A</v>
      </c>
      <c r="AD580" s="51" t="e">
        <f aca="false">IF(Arterial=1,IF(Informed=1,1,0),0)</f>
        <v>#N/A</v>
      </c>
      <c r="AE580" s="51" t="e">
        <f aca="false">IF(Arterial=1,IF(Informed=0,1,0),0)</f>
        <v>#N/A</v>
      </c>
      <c r="AF580" s="44" t="e">
        <f aca="false">IF(AB580=1,(X580-G$1030)^2,0)</f>
        <v>#N/A</v>
      </c>
      <c r="AG580" s="44" t="e">
        <f aca="false">IF(AC580=1,(Y580-H$1030)^2,0)</f>
        <v>#N/A</v>
      </c>
      <c r="AH580" s="44" t="e">
        <f aca="false">IF(AD580=1,(Z580-I$1030)^2,0)</f>
        <v>#N/A</v>
      </c>
      <c r="AI580" s="44" t="e">
        <f aca="false">IF(AE580=1,(AA580-J$1030)^2,0)</f>
        <v>#N/A</v>
      </c>
    </row>
    <row r="581" customFormat="false" ht="12" hidden="false" customHeight="false" outlineLevel="0" collapsed="false">
      <c r="A581" s="29" t="n">
        <v>564</v>
      </c>
      <c r="B581" s="45" t="n">
        <f aca="true">IF(RAND()&lt;$D$8,1,0)</f>
        <v>1</v>
      </c>
      <c r="C581" s="34" t="n">
        <f aca="true">-LN(RAND())/$D$2</f>
        <v>0.673358897790785</v>
      </c>
      <c r="D581" s="46" t="n">
        <f aca="false">D580+C581</f>
        <v>885.981295785836</v>
      </c>
      <c r="E581" s="47" t="e">
        <f aca="false">MAX($D$3,(1+P580-VLOOKUP(VALUE(D581),$J$18:$Q580,7,TRUE()))*$D$3)</f>
        <v>#N/A</v>
      </c>
      <c r="F581" s="47" t="e">
        <f aca="false">MAX($D$4,(1+Q580-VLOOKUP(VALUE(D581),$M$18:$Q580,5,TRUE()))*$D$4)</f>
        <v>#N/A</v>
      </c>
      <c r="G581" s="48" t="n">
        <v>0.5</v>
      </c>
      <c r="H581" s="46" t="e">
        <f aca="true">IF((B581=1),(IF((F581&lt;E581),1,(IF((F581=E581),(IF(RAND()&lt;G581,1,0)),0)))),(IF((RAND()&lt;G581),1,0)))</f>
        <v>#N/A</v>
      </c>
      <c r="I581" s="46" t="e">
        <f aca="true">IF((H581=1),0,$D$3+$D$5*(RAND()-0.5))</f>
        <v>#N/A</v>
      </c>
      <c r="J581" s="46" t="e">
        <f aca="false">I581+MAX(D581,J580)</f>
        <v>#N/A</v>
      </c>
      <c r="K581" s="46" t="e">
        <f aca="false">IF((H581=0),J581-D581,0)</f>
        <v>#N/A</v>
      </c>
      <c r="L581" s="46" t="e">
        <f aca="true">IF(($H581=0),0,$D$4+$D$5*(RAND()-0.5))</f>
        <v>#N/A</v>
      </c>
      <c r="M581" s="46" t="e">
        <f aca="false">L581+MAX(D581,M580)</f>
        <v>#N/A</v>
      </c>
      <c r="N581" s="46" t="e">
        <f aca="false">IF((H581=1),M581-D581,0)</f>
        <v>#N/A</v>
      </c>
      <c r="O581" s="29" t="n">
        <v>564</v>
      </c>
      <c r="P581" s="49" t="e">
        <f aca="false">IF((Arterial=0),P580+1,P580)</f>
        <v>#N/A</v>
      </c>
      <c r="Q581" s="49" t="e">
        <f aca="false">IF((Arterial=1),Q580+1,Q580)</f>
        <v>#N/A</v>
      </c>
      <c r="R581" s="50" t="n">
        <f aca="false">IF((RESET=1),0,R581+K581)</f>
        <v>0</v>
      </c>
      <c r="S581" s="19" t="n">
        <f aca="false">IF(RESET=1,0,S581+N581)</f>
        <v>0</v>
      </c>
      <c r="T581" s="0" t="n">
        <f aca="false">IF(RESET=1,0,T581+IF(H581=0,1,0))</f>
        <v>0</v>
      </c>
      <c r="U581" s="0" t="n">
        <f aca="false">IF(RESET=1,0,U581+H581)</f>
        <v>0</v>
      </c>
      <c r="V581" s="19" t="n">
        <f aca="false">R581/(T581+0.00001)</f>
        <v>0</v>
      </c>
      <c r="W581" s="19" t="n">
        <f aca="false">S581/(U581+0.0001)</f>
        <v>0</v>
      </c>
      <c r="X581" s="47" t="e">
        <f aca="false">IF(Informed=1,K581,0)</f>
        <v>#N/A</v>
      </c>
      <c r="Y581" s="47" t="n">
        <f aca="false">IF(Informed=0,K581,0)</f>
        <v>0</v>
      </c>
      <c r="Z581" s="47" t="e">
        <f aca="false">IF(Informed=1,N581,0)</f>
        <v>#N/A</v>
      </c>
      <c r="AA581" s="47" t="n">
        <f aca="false">IF(Informed=0,N581,0)</f>
        <v>0</v>
      </c>
      <c r="AB581" s="51" t="e">
        <f aca="false">IF(Arterial=0,IF(Informed=1,1,0),0)</f>
        <v>#N/A</v>
      </c>
      <c r="AC581" s="51" t="e">
        <f aca="false">IF(Arterial=0,IF(Informed=0,1,0),0)</f>
        <v>#N/A</v>
      </c>
      <c r="AD581" s="51" t="e">
        <f aca="false">IF(Arterial=1,IF(Informed=1,1,0),0)</f>
        <v>#N/A</v>
      </c>
      <c r="AE581" s="51" t="e">
        <f aca="false">IF(Arterial=1,IF(Informed=0,1,0),0)</f>
        <v>#N/A</v>
      </c>
      <c r="AF581" s="44" t="e">
        <f aca="false">IF(AB581=1,(X581-G$1030)^2,0)</f>
        <v>#N/A</v>
      </c>
      <c r="AG581" s="44" t="e">
        <f aca="false">IF(AC581=1,(Y581-H$1030)^2,0)</f>
        <v>#N/A</v>
      </c>
      <c r="AH581" s="44" t="e">
        <f aca="false">IF(AD581=1,(Z581-I$1030)^2,0)</f>
        <v>#N/A</v>
      </c>
      <c r="AI581" s="44" t="e">
        <f aca="false">IF(AE581=1,(AA581-J$1030)^2,0)</f>
        <v>#N/A</v>
      </c>
    </row>
    <row r="582" customFormat="false" ht="12" hidden="false" customHeight="false" outlineLevel="0" collapsed="false">
      <c r="A582" s="29" t="n">
        <v>565</v>
      </c>
      <c r="B582" s="45" t="n">
        <f aca="true">IF(RAND()&lt;$D$8,1,0)</f>
        <v>1</v>
      </c>
      <c r="C582" s="34" t="n">
        <f aca="true">-LN(RAND())/$D$2</f>
        <v>0.317833619767803</v>
      </c>
      <c r="D582" s="46" t="n">
        <f aca="false">D581+C582</f>
        <v>886.299129405603</v>
      </c>
      <c r="E582" s="47" t="e">
        <f aca="false">MAX($D$3,(1+P581-VLOOKUP(VALUE(D582),$J$18:$Q581,7,TRUE()))*$D$3)</f>
        <v>#N/A</v>
      </c>
      <c r="F582" s="47" t="e">
        <f aca="false">MAX($D$4,(1+Q581-VLOOKUP(VALUE(D582),$M$18:$Q581,5,TRUE()))*$D$4)</f>
        <v>#N/A</v>
      </c>
      <c r="G582" s="48" t="n">
        <v>0.5</v>
      </c>
      <c r="H582" s="46" t="e">
        <f aca="true">IF((B582=1),(IF((F582&lt;E582),1,(IF((F582=E582),(IF(RAND()&lt;G582,1,0)),0)))),(IF((RAND()&lt;G582),1,0)))</f>
        <v>#N/A</v>
      </c>
      <c r="I582" s="46" t="e">
        <f aca="true">IF((H582=1),0,$D$3+$D$5*(RAND()-0.5))</f>
        <v>#N/A</v>
      </c>
      <c r="J582" s="46" t="e">
        <f aca="false">I582+MAX(D582,J581)</f>
        <v>#N/A</v>
      </c>
      <c r="K582" s="46" t="e">
        <f aca="false">IF((H582=0),J582-D582,0)</f>
        <v>#N/A</v>
      </c>
      <c r="L582" s="46" t="e">
        <f aca="true">IF(($H582=0),0,$D$4+$D$5*(RAND()-0.5))</f>
        <v>#N/A</v>
      </c>
      <c r="M582" s="46" t="e">
        <f aca="false">L582+MAX(D582,M581)</f>
        <v>#N/A</v>
      </c>
      <c r="N582" s="46" t="e">
        <f aca="false">IF((H582=1),M582-D582,0)</f>
        <v>#N/A</v>
      </c>
      <c r="O582" s="29" t="n">
        <v>565</v>
      </c>
      <c r="P582" s="49" t="e">
        <f aca="false">IF((Arterial=0),P581+1,P581)</f>
        <v>#N/A</v>
      </c>
      <c r="Q582" s="49" t="e">
        <f aca="false">IF((Arterial=1),Q581+1,Q581)</f>
        <v>#N/A</v>
      </c>
      <c r="R582" s="50" t="n">
        <f aca="false">IF((RESET=1),0,R582+K582)</f>
        <v>0</v>
      </c>
      <c r="S582" s="19" t="n">
        <f aca="false">IF(RESET=1,0,S582+N582)</f>
        <v>0</v>
      </c>
      <c r="T582" s="0" t="n">
        <f aca="false">IF(RESET=1,0,T582+IF(H582=0,1,0))</f>
        <v>0</v>
      </c>
      <c r="U582" s="0" t="n">
        <f aca="false">IF(RESET=1,0,U582+H582)</f>
        <v>0</v>
      </c>
      <c r="V582" s="19" t="n">
        <f aca="false">R582/(T582+0.00001)</f>
        <v>0</v>
      </c>
      <c r="W582" s="19" t="n">
        <f aca="false">S582/(U582+0.0001)</f>
        <v>0</v>
      </c>
      <c r="X582" s="47" t="e">
        <f aca="false">IF(Informed=1,K582,0)</f>
        <v>#N/A</v>
      </c>
      <c r="Y582" s="47" t="n">
        <f aca="false">IF(Informed=0,K582,0)</f>
        <v>0</v>
      </c>
      <c r="Z582" s="47" t="e">
        <f aca="false">IF(Informed=1,N582,0)</f>
        <v>#N/A</v>
      </c>
      <c r="AA582" s="47" t="n">
        <f aca="false">IF(Informed=0,N582,0)</f>
        <v>0</v>
      </c>
      <c r="AB582" s="51" t="e">
        <f aca="false">IF(Arterial=0,IF(Informed=1,1,0),0)</f>
        <v>#N/A</v>
      </c>
      <c r="AC582" s="51" t="e">
        <f aca="false">IF(Arterial=0,IF(Informed=0,1,0),0)</f>
        <v>#N/A</v>
      </c>
      <c r="AD582" s="51" t="e">
        <f aca="false">IF(Arterial=1,IF(Informed=1,1,0),0)</f>
        <v>#N/A</v>
      </c>
      <c r="AE582" s="51" t="e">
        <f aca="false">IF(Arterial=1,IF(Informed=0,1,0),0)</f>
        <v>#N/A</v>
      </c>
      <c r="AF582" s="44" t="e">
        <f aca="false">IF(AB582=1,(X582-G$1030)^2,0)</f>
        <v>#N/A</v>
      </c>
      <c r="AG582" s="44" t="e">
        <f aca="false">IF(AC582=1,(Y582-H$1030)^2,0)</f>
        <v>#N/A</v>
      </c>
      <c r="AH582" s="44" t="e">
        <f aca="false">IF(AD582=1,(Z582-I$1030)^2,0)</f>
        <v>#N/A</v>
      </c>
      <c r="AI582" s="44" t="e">
        <f aca="false">IF(AE582=1,(AA582-J$1030)^2,0)</f>
        <v>#N/A</v>
      </c>
    </row>
    <row r="583" customFormat="false" ht="12" hidden="false" customHeight="false" outlineLevel="0" collapsed="false">
      <c r="A583" s="29" t="n">
        <v>566</v>
      </c>
      <c r="B583" s="45" t="n">
        <f aca="true">IF(RAND()&lt;$D$8,1,0)</f>
        <v>1</v>
      </c>
      <c r="C583" s="34" t="n">
        <f aca="true">-LN(RAND())/$D$2</f>
        <v>3.79390069269096</v>
      </c>
      <c r="D583" s="46" t="n">
        <f aca="false">D582+C583</f>
        <v>890.093030098294</v>
      </c>
      <c r="E583" s="47" t="e">
        <f aca="false">MAX($D$3,(1+P582-VLOOKUP(VALUE(D583),$J$18:$Q582,7,TRUE()))*$D$3)</f>
        <v>#N/A</v>
      </c>
      <c r="F583" s="47" t="e">
        <f aca="false">MAX($D$4,(1+Q582-VLOOKUP(VALUE(D583),$M$18:$Q582,5,TRUE()))*$D$4)</f>
        <v>#N/A</v>
      </c>
      <c r="G583" s="48" t="n">
        <v>0.5</v>
      </c>
      <c r="H583" s="46" t="e">
        <f aca="true">IF((B583=1),(IF((F583&lt;E583),1,(IF((F583=E583),(IF(RAND()&lt;G583,1,0)),0)))),(IF((RAND()&lt;G583),1,0)))</f>
        <v>#N/A</v>
      </c>
      <c r="I583" s="46" t="e">
        <f aca="true">IF((H583=1),0,$D$3+$D$5*(RAND()-0.5))</f>
        <v>#N/A</v>
      </c>
      <c r="J583" s="46" t="e">
        <f aca="false">I583+MAX(D583,J582)</f>
        <v>#N/A</v>
      </c>
      <c r="K583" s="46" t="e">
        <f aca="false">IF((H583=0),J583-D583,0)</f>
        <v>#N/A</v>
      </c>
      <c r="L583" s="46" t="e">
        <f aca="true">IF(($H583=0),0,$D$4+$D$5*(RAND()-0.5))</f>
        <v>#N/A</v>
      </c>
      <c r="M583" s="46" t="e">
        <f aca="false">L583+MAX(D583,M582)</f>
        <v>#N/A</v>
      </c>
      <c r="N583" s="46" t="e">
        <f aca="false">IF((H583=1),M583-D583,0)</f>
        <v>#N/A</v>
      </c>
      <c r="O583" s="29" t="n">
        <v>566</v>
      </c>
      <c r="P583" s="49" t="e">
        <f aca="false">IF((Arterial=0),P582+1,P582)</f>
        <v>#N/A</v>
      </c>
      <c r="Q583" s="49" t="e">
        <f aca="false">IF((Arterial=1),Q582+1,Q582)</f>
        <v>#N/A</v>
      </c>
      <c r="R583" s="50" t="n">
        <f aca="false">IF((RESET=1),0,R583+K583)</f>
        <v>0</v>
      </c>
      <c r="S583" s="19" t="n">
        <f aca="false">IF(RESET=1,0,S583+N583)</f>
        <v>0</v>
      </c>
      <c r="T583" s="0" t="n">
        <f aca="false">IF(RESET=1,0,T583+IF(H583=0,1,0))</f>
        <v>0</v>
      </c>
      <c r="U583" s="0" t="n">
        <f aca="false">IF(RESET=1,0,U583+H583)</f>
        <v>0</v>
      </c>
      <c r="V583" s="19" t="n">
        <f aca="false">R583/(T583+0.00001)</f>
        <v>0</v>
      </c>
      <c r="W583" s="19" t="n">
        <f aca="false">S583/(U583+0.0001)</f>
        <v>0</v>
      </c>
      <c r="X583" s="47" t="e">
        <f aca="false">IF(Informed=1,K583,0)</f>
        <v>#N/A</v>
      </c>
      <c r="Y583" s="47" t="n">
        <f aca="false">IF(Informed=0,K583,0)</f>
        <v>0</v>
      </c>
      <c r="Z583" s="47" t="e">
        <f aca="false">IF(Informed=1,N583,0)</f>
        <v>#N/A</v>
      </c>
      <c r="AA583" s="47" t="n">
        <f aca="false">IF(Informed=0,N583,0)</f>
        <v>0</v>
      </c>
      <c r="AB583" s="51" t="e">
        <f aca="false">IF(Arterial=0,IF(Informed=1,1,0),0)</f>
        <v>#N/A</v>
      </c>
      <c r="AC583" s="51" t="e">
        <f aca="false">IF(Arterial=0,IF(Informed=0,1,0),0)</f>
        <v>#N/A</v>
      </c>
      <c r="AD583" s="51" t="e">
        <f aca="false">IF(Arterial=1,IF(Informed=1,1,0),0)</f>
        <v>#N/A</v>
      </c>
      <c r="AE583" s="51" t="e">
        <f aca="false">IF(Arterial=1,IF(Informed=0,1,0),0)</f>
        <v>#N/A</v>
      </c>
      <c r="AF583" s="44" t="e">
        <f aca="false">IF(AB583=1,(X583-G$1030)^2,0)</f>
        <v>#N/A</v>
      </c>
      <c r="AG583" s="44" t="e">
        <f aca="false">IF(AC583=1,(Y583-H$1030)^2,0)</f>
        <v>#N/A</v>
      </c>
      <c r="AH583" s="44" t="e">
        <f aca="false">IF(AD583=1,(Z583-I$1030)^2,0)</f>
        <v>#N/A</v>
      </c>
      <c r="AI583" s="44" t="e">
        <f aca="false">IF(AE583=1,(AA583-J$1030)^2,0)</f>
        <v>#N/A</v>
      </c>
    </row>
    <row r="584" customFormat="false" ht="12" hidden="false" customHeight="false" outlineLevel="0" collapsed="false">
      <c r="A584" s="29" t="n">
        <v>567</v>
      </c>
      <c r="B584" s="45" t="n">
        <f aca="true">IF(RAND()&lt;$D$8,1,0)</f>
        <v>1</v>
      </c>
      <c r="C584" s="34" t="n">
        <f aca="true">-LN(RAND())/$D$2</f>
        <v>0.969527090774452</v>
      </c>
      <c r="D584" s="46" t="n">
        <f aca="false">D583+C584</f>
        <v>891.062557189069</v>
      </c>
      <c r="E584" s="47" t="e">
        <f aca="false">MAX($D$3,(1+P583-VLOOKUP(VALUE(D584),$J$18:$Q583,7,TRUE()))*$D$3)</f>
        <v>#N/A</v>
      </c>
      <c r="F584" s="47" t="e">
        <f aca="false">MAX($D$4,(1+Q583-VLOOKUP(VALUE(D584),$M$18:$Q583,5,TRUE()))*$D$4)</f>
        <v>#N/A</v>
      </c>
      <c r="G584" s="48" t="n">
        <v>0.5</v>
      </c>
      <c r="H584" s="46" t="e">
        <f aca="true">IF((B584=1),(IF((F584&lt;E584),1,(IF((F584=E584),(IF(RAND()&lt;G584,1,0)),0)))),(IF((RAND()&lt;G584),1,0)))</f>
        <v>#N/A</v>
      </c>
      <c r="I584" s="46" t="e">
        <f aca="true">IF((H584=1),0,$D$3+$D$5*(RAND()-0.5))</f>
        <v>#N/A</v>
      </c>
      <c r="J584" s="46" t="e">
        <f aca="false">I584+MAX(D584,J583)</f>
        <v>#N/A</v>
      </c>
      <c r="K584" s="46" t="e">
        <f aca="false">IF((H584=0),J584-D584,0)</f>
        <v>#N/A</v>
      </c>
      <c r="L584" s="46" t="e">
        <f aca="true">IF(($H584=0),0,$D$4+$D$5*(RAND()-0.5))</f>
        <v>#N/A</v>
      </c>
      <c r="M584" s="46" t="e">
        <f aca="false">L584+MAX(D584,M583)</f>
        <v>#N/A</v>
      </c>
      <c r="N584" s="46" t="e">
        <f aca="false">IF((H584=1),M584-D584,0)</f>
        <v>#N/A</v>
      </c>
      <c r="O584" s="29" t="n">
        <v>567</v>
      </c>
      <c r="P584" s="49" t="e">
        <f aca="false">IF((Arterial=0),P583+1,P583)</f>
        <v>#N/A</v>
      </c>
      <c r="Q584" s="49" t="e">
        <f aca="false">IF((Arterial=1),Q583+1,Q583)</f>
        <v>#N/A</v>
      </c>
      <c r="R584" s="50" t="n">
        <f aca="false">IF((RESET=1),0,R584+K584)</f>
        <v>0</v>
      </c>
      <c r="S584" s="19" t="n">
        <f aca="false">IF(RESET=1,0,S584+N584)</f>
        <v>0</v>
      </c>
      <c r="T584" s="0" t="n">
        <f aca="false">IF(RESET=1,0,T584+IF(H584=0,1,0))</f>
        <v>0</v>
      </c>
      <c r="U584" s="0" t="n">
        <f aca="false">IF(RESET=1,0,U584+H584)</f>
        <v>0</v>
      </c>
      <c r="V584" s="19" t="n">
        <f aca="false">R584/(T584+0.00001)</f>
        <v>0</v>
      </c>
      <c r="W584" s="19" t="n">
        <f aca="false">S584/(U584+0.0001)</f>
        <v>0</v>
      </c>
      <c r="X584" s="47" t="e">
        <f aca="false">IF(Informed=1,K584,0)</f>
        <v>#N/A</v>
      </c>
      <c r="Y584" s="47" t="n">
        <f aca="false">IF(Informed=0,K584,0)</f>
        <v>0</v>
      </c>
      <c r="Z584" s="47" t="e">
        <f aca="false">IF(Informed=1,N584,0)</f>
        <v>#N/A</v>
      </c>
      <c r="AA584" s="47" t="n">
        <f aca="false">IF(Informed=0,N584,0)</f>
        <v>0</v>
      </c>
      <c r="AB584" s="51" t="e">
        <f aca="false">IF(Arterial=0,IF(Informed=1,1,0),0)</f>
        <v>#N/A</v>
      </c>
      <c r="AC584" s="51" t="e">
        <f aca="false">IF(Arterial=0,IF(Informed=0,1,0),0)</f>
        <v>#N/A</v>
      </c>
      <c r="AD584" s="51" t="e">
        <f aca="false">IF(Arterial=1,IF(Informed=1,1,0),0)</f>
        <v>#N/A</v>
      </c>
      <c r="AE584" s="51" t="e">
        <f aca="false">IF(Arterial=1,IF(Informed=0,1,0),0)</f>
        <v>#N/A</v>
      </c>
      <c r="AF584" s="44" t="e">
        <f aca="false">IF(AB584=1,(X584-G$1030)^2,0)</f>
        <v>#N/A</v>
      </c>
      <c r="AG584" s="44" t="e">
        <f aca="false">IF(AC584=1,(Y584-H$1030)^2,0)</f>
        <v>#N/A</v>
      </c>
      <c r="AH584" s="44" t="e">
        <f aca="false">IF(AD584=1,(Z584-I$1030)^2,0)</f>
        <v>#N/A</v>
      </c>
      <c r="AI584" s="44" t="e">
        <f aca="false">IF(AE584=1,(AA584-J$1030)^2,0)</f>
        <v>#N/A</v>
      </c>
    </row>
    <row r="585" customFormat="false" ht="12" hidden="false" customHeight="false" outlineLevel="0" collapsed="false">
      <c r="A585" s="29" t="n">
        <v>568</v>
      </c>
      <c r="B585" s="45" t="n">
        <f aca="true">IF(RAND()&lt;$D$8,1,0)</f>
        <v>1</v>
      </c>
      <c r="C585" s="34" t="n">
        <f aca="true">-LN(RAND())/$D$2</f>
        <v>1.955518238613</v>
      </c>
      <c r="D585" s="46" t="n">
        <f aca="false">D584+C585</f>
        <v>893.018075427682</v>
      </c>
      <c r="E585" s="47" t="e">
        <f aca="false">MAX($D$3,(1+P584-VLOOKUP(VALUE(D585),$J$18:$Q584,7,TRUE()))*$D$3)</f>
        <v>#N/A</v>
      </c>
      <c r="F585" s="47" t="e">
        <f aca="false">MAX($D$4,(1+Q584-VLOOKUP(VALUE(D585),$M$18:$Q584,5,TRUE()))*$D$4)</f>
        <v>#N/A</v>
      </c>
      <c r="G585" s="48" t="n">
        <v>0.5</v>
      </c>
      <c r="H585" s="46" t="e">
        <f aca="true">IF((B585=1),(IF((F585&lt;E585),1,(IF((F585=E585),(IF(RAND()&lt;G585,1,0)),0)))),(IF((RAND()&lt;G585),1,0)))</f>
        <v>#N/A</v>
      </c>
      <c r="I585" s="46" t="e">
        <f aca="true">IF((H585=1),0,$D$3+$D$5*(RAND()-0.5))</f>
        <v>#N/A</v>
      </c>
      <c r="J585" s="46" t="e">
        <f aca="false">I585+MAX(D585,J584)</f>
        <v>#N/A</v>
      </c>
      <c r="K585" s="46" t="e">
        <f aca="false">IF((H585=0),J585-D585,0)</f>
        <v>#N/A</v>
      </c>
      <c r="L585" s="46" t="e">
        <f aca="true">IF(($H585=0),0,$D$4+$D$5*(RAND()-0.5))</f>
        <v>#N/A</v>
      </c>
      <c r="M585" s="46" t="e">
        <f aca="false">L585+MAX(D585,M584)</f>
        <v>#N/A</v>
      </c>
      <c r="N585" s="46" t="e">
        <f aca="false">IF((H585=1),M585-D585,0)</f>
        <v>#N/A</v>
      </c>
      <c r="O585" s="29" t="n">
        <v>568</v>
      </c>
      <c r="P585" s="49" t="e">
        <f aca="false">IF((Arterial=0),P584+1,P584)</f>
        <v>#N/A</v>
      </c>
      <c r="Q585" s="49" t="e">
        <f aca="false">IF((Arterial=1),Q584+1,Q584)</f>
        <v>#N/A</v>
      </c>
      <c r="R585" s="50" t="n">
        <f aca="false">IF((RESET=1),0,R585+K585)</f>
        <v>0</v>
      </c>
      <c r="S585" s="19" t="n">
        <f aca="false">IF(RESET=1,0,S585+N585)</f>
        <v>0</v>
      </c>
      <c r="T585" s="0" t="n">
        <f aca="false">IF(RESET=1,0,T585+IF(H585=0,1,0))</f>
        <v>0</v>
      </c>
      <c r="U585" s="0" t="n">
        <f aca="false">IF(RESET=1,0,U585+H585)</f>
        <v>0</v>
      </c>
      <c r="V585" s="19" t="n">
        <f aca="false">R585/(T585+0.00001)</f>
        <v>0</v>
      </c>
      <c r="W585" s="19" t="n">
        <f aca="false">S585/(U585+0.0001)</f>
        <v>0</v>
      </c>
      <c r="X585" s="47" t="e">
        <f aca="false">IF(Informed=1,K585,0)</f>
        <v>#N/A</v>
      </c>
      <c r="Y585" s="47" t="n">
        <f aca="false">IF(Informed=0,K585,0)</f>
        <v>0</v>
      </c>
      <c r="Z585" s="47" t="e">
        <f aca="false">IF(Informed=1,N585,0)</f>
        <v>#N/A</v>
      </c>
      <c r="AA585" s="47" t="n">
        <f aca="false">IF(Informed=0,N585,0)</f>
        <v>0</v>
      </c>
      <c r="AB585" s="51" t="e">
        <f aca="false">IF(Arterial=0,IF(Informed=1,1,0),0)</f>
        <v>#N/A</v>
      </c>
      <c r="AC585" s="51" t="e">
        <f aca="false">IF(Arterial=0,IF(Informed=0,1,0),0)</f>
        <v>#N/A</v>
      </c>
      <c r="AD585" s="51" t="e">
        <f aca="false">IF(Arterial=1,IF(Informed=1,1,0),0)</f>
        <v>#N/A</v>
      </c>
      <c r="AE585" s="51" t="e">
        <f aca="false">IF(Arterial=1,IF(Informed=0,1,0),0)</f>
        <v>#N/A</v>
      </c>
      <c r="AF585" s="44" t="e">
        <f aca="false">IF(AB585=1,(X585-G$1030)^2,0)</f>
        <v>#N/A</v>
      </c>
      <c r="AG585" s="44" t="e">
        <f aca="false">IF(AC585=1,(Y585-H$1030)^2,0)</f>
        <v>#N/A</v>
      </c>
      <c r="AH585" s="44" t="e">
        <f aca="false">IF(AD585=1,(Z585-I$1030)^2,0)</f>
        <v>#N/A</v>
      </c>
      <c r="AI585" s="44" t="e">
        <f aca="false">IF(AE585=1,(AA585-J$1030)^2,0)</f>
        <v>#N/A</v>
      </c>
    </row>
    <row r="586" customFormat="false" ht="12" hidden="false" customHeight="false" outlineLevel="0" collapsed="false">
      <c r="A586" s="29" t="n">
        <v>569</v>
      </c>
      <c r="B586" s="45" t="n">
        <f aca="true">IF(RAND()&lt;$D$8,1,0)</f>
        <v>1</v>
      </c>
      <c r="C586" s="34" t="n">
        <f aca="true">-LN(RAND())/$D$2</f>
        <v>1.27291617931885</v>
      </c>
      <c r="D586" s="46" t="n">
        <f aca="false">D585+C586</f>
        <v>894.290991607001</v>
      </c>
      <c r="E586" s="47" t="e">
        <f aca="false">MAX($D$3,(1+P585-VLOOKUP(VALUE(D586),$J$18:$Q585,7,TRUE()))*$D$3)</f>
        <v>#N/A</v>
      </c>
      <c r="F586" s="47" t="e">
        <f aca="false">MAX($D$4,(1+Q585-VLOOKUP(VALUE(D586),$M$18:$Q585,5,TRUE()))*$D$4)</f>
        <v>#N/A</v>
      </c>
      <c r="G586" s="48" t="n">
        <v>0.5</v>
      </c>
      <c r="H586" s="46" t="e">
        <f aca="true">IF((B586=1),(IF((F586&lt;E586),1,(IF((F586=E586),(IF(RAND()&lt;G586,1,0)),0)))),(IF((RAND()&lt;G586),1,0)))</f>
        <v>#N/A</v>
      </c>
      <c r="I586" s="46" t="e">
        <f aca="true">IF((H586=1),0,$D$3+$D$5*(RAND()-0.5))</f>
        <v>#N/A</v>
      </c>
      <c r="J586" s="46" t="e">
        <f aca="false">I586+MAX(D586,J585)</f>
        <v>#N/A</v>
      </c>
      <c r="K586" s="46" t="e">
        <f aca="false">IF((H586=0),J586-D586,0)</f>
        <v>#N/A</v>
      </c>
      <c r="L586" s="46" t="e">
        <f aca="true">IF(($H586=0),0,$D$4+$D$5*(RAND()-0.5))</f>
        <v>#N/A</v>
      </c>
      <c r="M586" s="46" t="e">
        <f aca="false">L586+MAX(D586,M585)</f>
        <v>#N/A</v>
      </c>
      <c r="N586" s="46" t="e">
        <f aca="false">IF((H586=1),M586-D586,0)</f>
        <v>#N/A</v>
      </c>
      <c r="O586" s="29" t="n">
        <v>569</v>
      </c>
      <c r="P586" s="49" t="e">
        <f aca="false">IF((Arterial=0),P585+1,P585)</f>
        <v>#N/A</v>
      </c>
      <c r="Q586" s="49" t="e">
        <f aca="false">IF((Arterial=1),Q585+1,Q585)</f>
        <v>#N/A</v>
      </c>
      <c r="R586" s="50" t="n">
        <f aca="false">IF((RESET=1),0,R586+K586)</f>
        <v>0</v>
      </c>
      <c r="S586" s="19" t="n">
        <f aca="false">IF(RESET=1,0,S586+N586)</f>
        <v>0</v>
      </c>
      <c r="T586" s="0" t="n">
        <f aca="false">IF(RESET=1,0,T586+IF(H586=0,1,0))</f>
        <v>0</v>
      </c>
      <c r="U586" s="0" t="n">
        <f aca="false">IF(RESET=1,0,U586+H586)</f>
        <v>0</v>
      </c>
      <c r="V586" s="19" t="n">
        <f aca="false">R586/(T586+0.00001)</f>
        <v>0</v>
      </c>
      <c r="W586" s="19" t="n">
        <f aca="false">S586/(U586+0.0001)</f>
        <v>0</v>
      </c>
      <c r="X586" s="47" t="e">
        <f aca="false">IF(Informed=1,K586,0)</f>
        <v>#N/A</v>
      </c>
      <c r="Y586" s="47" t="n">
        <f aca="false">IF(Informed=0,K586,0)</f>
        <v>0</v>
      </c>
      <c r="Z586" s="47" t="e">
        <f aca="false">IF(Informed=1,N586,0)</f>
        <v>#N/A</v>
      </c>
      <c r="AA586" s="47" t="n">
        <f aca="false">IF(Informed=0,N586,0)</f>
        <v>0</v>
      </c>
      <c r="AB586" s="51" t="e">
        <f aca="false">IF(Arterial=0,IF(Informed=1,1,0),0)</f>
        <v>#N/A</v>
      </c>
      <c r="AC586" s="51" t="e">
        <f aca="false">IF(Arterial=0,IF(Informed=0,1,0),0)</f>
        <v>#N/A</v>
      </c>
      <c r="AD586" s="51" t="e">
        <f aca="false">IF(Arterial=1,IF(Informed=1,1,0),0)</f>
        <v>#N/A</v>
      </c>
      <c r="AE586" s="51" t="e">
        <f aca="false">IF(Arterial=1,IF(Informed=0,1,0),0)</f>
        <v>#N/A</v>
      </c>
      <c r="AF586" s="44" t="e">
        <f aca="false">IF(AB586=1,(X586-G$1030)^2,0)</f>
        <v>#N/A</v>
      </c>
      <c r="AG586" s="44" t="e">
        <f aca="false">IF(AC586=1,(Y586-H$1030)^2,0)</f>
        <v>#N/A</v>
      </c>
      <c r="AH586" s="44" t="e">
        <f aca="false">IF(AD586=1,(Z586-I$1030)^2,0)</f>
        <v>#N/A</v>
      </c>
      <c r="AI586" s="44" t="e">
        <f aca="false">IF(AE586=1,(AA586-J$1030)^2,0)</f>
        <v>#N/A</v>
      </c>
    </row>
    <row r="587" customFormat="false" ht="12" hidden="false" customHeight="false" outlineLevel="0" collapsed="false">
      <c r="A587" s="29" t="n">
        <v>570</v>
      </c>
      <c r="B587" s="45" t="n">
        <f aca="true">IF(RAND()&lt;$D$8,1,0)</f>
        <v>1</v>
      </c>
      <c r="C587" s="34" t="n">
        <f aca="true">-LN(RAND())/$D$2</f>
        <v>3.84024524380963</v>
      </c>
      <c r="D587" s="46" t="n">
        <f aca="false">D586+C587</f>
        <v>898.13123685081</v>
      </c>
      <c r="E587" s="47" t="e">
        <f aca="false">MAX($D$3,(1+P586-VLOOKUP(VALUE(D587),$J$18:$Q586,7,TRUE()))*$D$3)</f>
        <v>#N/A</v>
      </c>
      <c r="F587" s="47" t="e">
        <f aca="false">MAX($D$4,(1+Q586-VLOOKUP(VALUE(D587),$M$18:$Q586,5,TRUE()))*$D$4)</f>
        <v>#N/A</v>
      </c>
      <c r="G587" s="48" t="n">
        <v>0.5</v>
      </c>
      <c r="H587" s="46" t="e">
        <f aca="true">IF((B587=1),(IF((F587&lt;E587),1,(IF((F587=E587),(IF(RAND()&lt;G587,1,0)),0)))),(IF((RAND()&lt;G587),1,0)))</f>
        <v>#N/A</v>
      </c>
      <c r="I587" s="46" t="e">
        <f aca="true">IF((H587=1),0,$D$3+$D$5*(RAND()-0.5))</f>
        <v>#N/A</v>
      </c>
      <c r="J587" s="46" t="e">
        <f aca="false">I587+MAX(D587,J586)</f>
        <v>#N/A</v>
      </c>
      <c r="K587" s="46" t="e">
        <f aca="false">IF((H587=0),J587-D587,0)</f>
        <v>#N/A</v>
      </c>
      <c r="L587" s="46" t="e">
        <f aca="true">IF(($H587=0),0,$D$4+$D$5*(RAND()-0.5))</f>
        <v>#N/A</v>
      </c>
      <c r="M587" s="46" t="e">
        <f aca="false">L587+MAX(D587,M586)</f>
        <v>#N/A</v>
      </c>
      <c r="N587" s="46" t="e">
        <f aca="false">IF((H587=1),M587-D587,0)</f>
        <v>#N/A</v>
      </c>
      <c r="O587" s="29" t="n">
        <v>570</v>
      </c>
      <c r="P587" s="49" t="e">
        <f aca="false">IF((Arterial=0),P586+1,P586)</f>
        <v>#N/A</v>
      </c>
      <c r="Q587" s="49" t="e">
        <f aca="false">IF((Arterial=1),Q586+1,Q586)</f>
        <v>#N/A</v>
      </c>
      <c r="R587" s="50" t="n">
        <f aca="false">IF((RESET=1),0,R587+K587)</f>
        <v>0</v>
      </c>
      <c r="S587" s="19" t="n">
        <f aca="false">IF(RESET=1,0,S587+N587)</f>
        <v>0</v>
      </c>
      <c r="T587" s="0" t="n">
        <f aca="false">IF(RESET=1,0,T587+IF(H587=0,1,0))</f>
        <v>0</v>
      </c>
      <c r="U587" s="0" t="n">
        <f aca="false">IF(RESET=1,0,U587+H587)</f>
        <v>0</v>
      </c>
      <c r="V587" s="19" t="n">
        <f aca="false">R587/(T587+0.00001)</f>
        <v>0</v>
      </c>
      <c r="W587" s="19" t="n">
        <f aca="false">S587/(U587+0.0001)</f>
        <v>0</v>
      </c>
      <c r="X587" s="47" t="e">
        <f aca="false">IF(Informed=1,K587,0)</f>
        <v>#N/A</v>
      </c>
      <c r="Y587" s="47" t="n">
        <f aca="false">IF(Informed=0,K587,0)</f>
        <v>0</v>
      </c>
      <c r="Z587" s="47" t="e">
        <f aca="false">IF(Informed=1,N587,0)</f>
        <v>#N/A</v>
      </c>
      <c r="AA587" s="47" t="n">
        <f aca="false">IF(Informed=0,N587,0)</f>
        <v>0</v>
      </c>
      <c r="AB587" s="51" t="e">
        <f aca="false">IF(Arterial=0,IF(Informed=1,1,0),0)</f>
        <v>#N/A</v>
      </c>
      <c r="AC587" s="51" t="e">
        <f aca="false">IF(Arterial=0,IF(Informed=0,1,0),0)</f>
        <v>#N/A</v>
      </c>
      <c r="AD587" s="51" t="e">
        <f aca="false">IF(Arterial=1,IF(Informed=1,1,0),0)</f>
        <v>#N/A</v>
      </c>
      <c r="AE587" s="51" t="e">
        <f aca="false">IF(Arterial=1,IF(Informed=0,1,0),0)</f>
        <v>#N/A</v>
      </c>
      <c r="AF587" s="44" t="e">
        <f aca="false">IF(AB587=1,(X587-G$1030)^2,0)</f>
        <v>#N/A</v>
      </c>
      <c r="AG587" s="44" t="e">
        <f aca="false">IF(AC587=1,(Y587-H$1030)^2,0)</f>
        <v>#N/A</v>
      </c>
      <c r="AH587" s="44" t="e">
        <f aca="false">IF(AD587=1,(Z587-I$1030)^2,0)</f>
        <v>#N/A</v>
      </c>
      <c r="AI587" s="44" t="e">
        <f aca="false">IF(AE587=1,(AA587-J$1030)^2,0)</f>
        <v>#N/A</v>
      </c>
    </row>
    <row r="588" customFormat="false" ht="12" hidden="false" customHeight="false" outlineLevel="0" collapsed="false">
      <c r="A588" s="29" t="n">
        <v>571</v>
      </c>
      <c r="B588" s="45" t="n">
        <f aca="true">IF(RAND()&lt;$D$8,1,0)</f>
        <v>1</v>
      </c>
      <c r="C588" s="34" t="n">
        <f aca="true">-LN(RAND())/$D$2</f>
        <v>3.9049938479243</v>
      </c>
      <c r="D588" s="46" t="n">
        <f aca="false">D587+C588</f>
        <v>902.036230698735</v>
      </c>
      <c r="E588" s="47" t="e">
        <f aca="false">MAX($D$3,(1+P587-VLOOKUP(VALUE(D588),$J$18:$Q587,7,TRUE()))*$D$3)</f>
        <v>#N/A</v>
      </c>
      <c r="F588" s="47" t="e">
        <f aca="false">MAX($D$4,(1+Q587-VLOOKUP(VALUE(D588),$M$18:$Q587,5,TRUE()))*$D$4)</f>
        <v>#N/A</v>
      </c>
      <c r="G588" s="48" t="n">
        <v>0.5</v>
      </c>
      <c r="H588" s="46" t="e">
        <f aca="true">IF((B588=1),(IF((F588&lt;E588),1,(IF((F588=E588),(IF(RAND()&lt;G588,1,0)),0)))),(IF((RAND()&lt;G588),1,0)))</f>
        <v>#N/A</v>
      </c>
      <c r="I588" s="46" t="e">
        <f aca="true">IF((H588=1),0,$D$3+$D$5*(RAND()-0.5))</f>
        <v>#N/A</v>
      </c>
      <c r="J588" s="46" t="e">
        <f aca="false">I588+MAX(D588,J587)</f>
        <v>#N/A</v>
      </c>
      <c r="K588" s="46" t="e">
        <f aca="false">IF((H588=0),J588-D588,0)</f>
        <v>#N/A</v>
      </c>
      <c r="L588" s="46" t="e">
        <f aca="true">IF(($H588=0),0,$D$4+$D$5*(RAND()-0.5))</f>
        <v>#N/A</v>
      </c>
      <c r="M588" s="46" t="e">
        <f aca="false">L588+MAX(D588,M587)</f>
        <v>#N/A</v>
      </c>
      <c r="N588" s="46" t="e">
        <f aca="false">IF((H588=1),M588-D588,0)</f>
        <v>#N/A</v>
      </c>
      <c r="O588" s="29" t="n">
        <v>571</v>
      </c>
      <c r="P588" s="49" t="e">
        <f aca="false">IF((Arterial=0),P587+1,P587)</f>
        <v>#N/A</v>
      </c>
      <c r="Q588" s="49" t="e">
        <f aca="false">IF((Arterial=1),Q587+1,Q587)</f>
        <v>#N/A</v>
      </c>
      <c r="R588" s="50" t="n">
        <f aca="false">IF((RESET=1),0,R588+K588)</f>
        <v>0</v>
      </c>
      <c r="S588" s="19" t="n">
        <f aca="false">IF(RESET=1,0,S588+N588)</f>
        <v>0</v>
      </c>
      <c r="T588" s="0" t="n">
        <f aca="false">IF(RESET=1,0,T588+IF(H588=0,1,0))</f>
        <v>0</v>
      </c>
      <c r="U588" s="0" t="n">
        <f aca="false">IF(RESET=1,0,U588+H588)</f>
        <v>0</v>
      </c>
      <c r="V588" s="19" t="n">
        <f aca="false">R588/(T588+0.00001)</f>
        <v>0</v>
      </c>
      <c r="W588" s="19" t="n">
        <f aca="false">S588/(U588+0.0001)</f>
        <v>0</v>
      </c>
      <c r="X588" s="47" t="e">
        <f aca="false">IF(Informed=1,K588,0)</f>
        <v>#N/A</v>
      </c>
      <c r="Y588" s="47" t="n">
        <f aca="false">IF(Informed=0,K588,0)</f>
        <v>0</v>
      </c>
      <c r="Z588" s="47" t="e">
        <f aca="false">IF(Informed=1,N588,0)</f>
        <v>#N/A</v>
      </c>
      <c r="AA588" s="47" t="n">
        <f aca="false">IF(Informed=0,N588,0)</f>
        <v>0</v>
      </c>
      <c r="AB588" s="51" t="e">
        <f aca="false">IF(Arterial=0,IF(Informed=1,1,0),0)</f>
        <v>#N/A</v>
      </c>
      <c r="AC588" s="51" t="e">
        <f aca="false">IF(Arterial=0,IF(Informed=0,1,0),0)</f>
        <v>#N/A</v>
      </c>
      <c r="AD588" s="51" t="e">
        <f aca="false">IF(Arterial=1,IF(Informed=1,1,0),0)</f>
        <v>#N/A</v>
      </c>
      <c r="AE588" s="51" t="e">
        <f aca="false">IF(Arterial=1,IF(Informed=0,1,0),0)</f>
        <v>#N/A</v>
      </c>
      <c r="AF588" s="44" t="e">
        <f aca="false">IF(AB588=1,(X588-G$1030)^2,0)</f>
        <v>#N/A</v>
      </c>
      <c r="AG588" s="44" t="e">
        <f aca="false">IF(AC588=1,(Y588-H$1030)^2,0)</f>
        <v>#N/A</v>
      </c>
      <c r="AH588" s="44" t="e">
        <f aca="false">IF(AD588=1,(Z588-I$1030)^2,0)</f>
        <v>#N/A</v>
      </c>
      <c r="AI588" s="44" t="e">
        <f aca="false">IF(AE588=1,(AA588-J$1030)^2,0)</f>
        <v>#N/A</v>
      </c>
    </row>
    <row r="589" customFormat="false" ht="12" hidden="false" customHeight="false" outlineLevel="0" collapsed="false">
      <c r="A589" s="29" t="n">
        <v>572</v>
      </c>
      <c r="B589" s="45" t="n">
        <f aca="true">IF(RAND()&lt;$D$8,1,0)</f>
        <v>1</v>
      </c>
      <c r="C589" s="34" t="n">
        <f aca="true">-LN(RAND())/$D$2</f>
        <v>0.339482622759555</v>
      </c>
      <c r="D589" s="46" t="n">
        <f aca="false">D588+C589</f>
        <v>902.375713321494</v>
      </c>
      <c r="E589" s="47" t="e">
        <f aca="false">MAX($D$3,(1+P588-VLOOKUP(VALUE(D589),$J$18:$Q588,7,TRUE()))*$D$3)</f>
        <v>#N/A</v>
      </c>
      <c r="F589" s="47" t="e">
        <f aca="false">MAX($D$4,(1+Q588-VLOOKUP(VALUE(D589),$M$18:$Q588,5,TRUE()))*$D$4)</f>
        <v>#N/A</v>
      </c>
      <c r="G589" s="48" t="n">
        <v>0.5</v>
      </c>
      <c r="H589" s="46" t="e">
        <f aca="true">IF((B589=1),(IF((F589&lt;E589),1,(IF((F589=E589),(IF(RAND()&lt;G589,1,0)),0)))),(IF((RAND()&lt;G589),1,0)))</f>
        <v>#N/A</v>
      </c>
      <c r="I589" s="46" t="e">
        <f aca="true">IF((H589=1),0,$D$3+$D$5*(RAND()-0.5))</f>
        <v>#N/A</v>
      </c>
      <c r="J589" s="46" t="e">
        <f aca="false">I589+MAX(D589,J588)</f>
        <v>#N/A</v>
      </c>
      <c r="K589" s="46" t="e">
        <f aca="false">IF((H589=0),J589-D589,0)</f>
        <v>#N/A</v>
      </c>
      <c r="L589" s="46" t="e">
        <f aca="true">IF(($H589=0),0,$D$4+$D$5*(RAND()-0.5))</f>
        <v>#N/A</v>
      </c>
      <c r="M589" s="46" t="e">
        <f aca="false">L589+MAX(D589,M588)</f>
        <v>#N/A</v>
      </c>
      <c r="N589" s="46" t="e">
        <f aca="false">IF((H589=1),M589-D589,0)</f>
        <v>#N/A</v>
      </c>
      <c r="O589" s="29" t="n">
        <v>572</v>
      </c>
      <c r="P589" s="49" t="e">
        <f aca="false">IF((Arterial=0),P588+1,P588)</f>
        <v>#N/A</v>
      </c>
      <c r="Q589" s="49" t="e">
        <f aca="false">IF((Arterial=1),Q588+1,Q588)</f>
        <v>#N/A</v>
      </c>
      <c r="R589" s="50" t="n">
        <f aca="false">IF((RESET=1),0,R589+K589)</f>
        <v>0</v>
      </c>
      <c r="S589" s="19" t="n">
        <f aca="false">IF(RESET=1,0,S589+N589)</f>
        <v>0</v>
      </c>
      <c r="T589" s="0" t="n">
        <f aca="false">IF(RESET=1,0,T589+IF(H589=0,1,0))</f>
        <v>0</v>
      </c>
      <c r="U589" s="0" t="n">
        <f aca="false">IF(RESET=1,0,U589+H589)</f>
        <v>0</v>
      </c>
      <c r="V589" s="19" t="n">
        <f aca="false">R589/(T589+0.00001)</f>
        <v>0</v>
      </c>
      <c r="W589" s="19" t="n">
        <f aca="false">S589/(U589+0.0001)</f>
        <v>0</v>
      </c>
      <c r="X589" s="47" t="e">
        <f aca="false">IF(Informed=1,K589,0)</f>
        <v>#N/A</v>
      </c>
      <c r="Y589" s="47" t="n">
        <f aca="false">IF(Informed=0,K589,0)</f>
        <v>0</v>
      </c>
      <c r="Z589" s="47" t="e">
        <f aca="false">IF(Informed=1,N589,0)</f>
        <v>#N/A</v>
      </c>
      <c r="AA589" s="47" t="n">
        <f aca="false">IF(Informed=0,N589,0)</f>
        <v>0</v>
      </c>
      <c r="AB589" s="51" t="e">
        <f aca="false">IF(Arterial=0,IF(Informed=1,1,0),0)</f>
        <v>#N/A</v>
      </c>
      <c r="AC589" s="51" t="e">
        <f aca="false">IF(Arterial=0,IF(Informed=0,1,0),0)</f>
        <v>#N/A</v>
      </c>
      <c r="AD589" s="51" t="e">
        <f aca="false">IF(Arterial=1,IF(Informed=1,1,0),0)</f>
        <v>#N/A</v>
      </c>
      <c r="AE589" s="51" t="e">
        <f aca="false">IF(Arterial=1,IF(Informed=0,1,0),0)</f>
        <v>#N/A</v>
      </c>
      <c r="AF589" s="44" t="e">
        <f aca="false">IF(AB589=1,(X589-G$1030)^2,0)</f>
        <v>#N/A</v>
      </c>
      <c r="AG589" s="44" t="e">
        <f aca="false">IF(AC589=1,(Y589-H$1030)^2,0)</f>
        <v>#N/A</v>
      </c>
      <c r="AH589" s="44" t="e">
        <f aca="false">IF(AD589=1,(Z589-I$1030)^2,0)</f>
        <v>#N/A</v>
      </c>
      <c r="AI589" s="44" t="e">
        <f aca="false">IF(AE589=1,(AA589-J$1030)^2,0)</f>
        <v>#N/A</v>
      </c>
    </row>
    <row r="590" customFormat="false" ht="12" hidden="false" customHeight="false" outlineLevel="0" collapsed="false">
      <c r="A590" s="29" t="n">
        <v>573</v>
      </c>
      <c r="B590" s="45" t="n">
        <f aca="true">IF(RAND()&lt;$D$8,1,0)</f>
        <v>1</v>
      </c>
      <c r="C590" s="34" t="n">
        <f aca="true">-LN(RAND())/$D$2</f>
        <v>1.50740117865835</v>
      </c>
      <c r="D590" s="46" t="n">
        <f aca="false">D589+C590</f>
        <v>903.883114500152</v>
      </c>
      <c r="E590" s="47" t="e">
        <f aca="false">MAX($D$3,(1+P589-VLOOKUP(VALUE(D590),$J$18:$Q589,7,TRUE()))*$D$3)</f>
        <v>#N/A</v>
      </c>
      <c r="F590" s="47" t="e">
        <f aca="false">MAX($D$4,(1+Q589-VLOOKUP(VALUE(D590),$M$18:$Q589,5,TRUE()))*$D$4)</f>
        <v>#N/A</v>
      </c>
      <c r="G590" s="48" t="n">
        <v>0.5</v>
      </c>
      <c r="H590" s="46" t="e">
        <f aca="true">IF((B590=1),(IF((F590&lt;E590),1,(IF((F590=E590),(IF(RAND()&lt;G590,1,0)),0)))),(IF((RAND()&lt;G590),1,0)))</f>
        <v>#N/A</v>
      </c>
      <c r="I590" s="46" t="e">
        <f aca="true">IF((H590=1),0,$D$3+$D$5*(RAND()-0.5))</f>
        <v>#N/A</v>
      </c>
      <c r="J590" s="46" t="e">
        <f aca="false">I590+MAX(D590,J589)</f>
        <v>#N/A</v>
      </c>
      <c r="K590" s="46" t="e">
        <f aca="false">IF((H590=0),J590-D590,0)</f>
        <v>#N/A</v>
      </c>
      <c r="L590" s="46" t="e">
        <f aca="true">IF(($H590=0),0,$D$4+$D$5*(RAND()-0.5))</f>
        <v>#N/A</v>
      </c>
      <c r="M590" s="46" t="e">
        <f aca="false">L590+MAX(D590,M589)</f>
        <v>#N/A</v>
      </c>
      <c r="N590" s="46" t="e">
        <f aca="false">IF((H590=1),M590-D590,0)</f>
        <v>#N/A</v>
      </c>
      <c r="O590" s="29" t="n">
        <v>573</v>
      </c>
      <c r="P590" s="49" t="e">
        <f aca="false">IF((Arterial=0),P589+1,P589)</f>
        <v>#N/A</v>
      </c>
      <c r="Q590" s="49" t="e">
        <f aca="false">IF((Arterial=1),Q589+1,Q589)</f>
        <v>#N/A</v>
      </c>
      <c r="R590" s="50" t="n">
        <f aca="false">IF((RESET=1),0,R590+K590)</f>
        <v>0</v>
      </c>
      <c r="S590" s="19" t="n">
        <f aca="false">IF(RESET=1,0,S590+N590)</f>
        <v>0</v>
      </c>
      <c r="T590" s="0" t="n">
        <f aca="false">IF(RESET=1,0,T590+IF(H590=0,1,0))</f>
        <v>0</v>
      </c>
      <c r="U590" s="0" t="n">
        <f aca="false">IF(RESET=1,0,U590+H590)</f>
        <v>0</v>
      </c>
      <c r="V590" s="19" t="n">
        <f aca="false">R590/(T590+0.00001)</f>
        <v>0</v>
      </c>
      <c r="W590" s="19" t="n">
        <f aca="false">S590/(U590+0.0001)</f>
        <v>0</v>
      </c>
      <c r="X590" s="47" t="e">
        <f aca="false">IF(Informed=1,K590,0)</f>
        <v>#N/A</v>
      </c>
      <c r="Y590" s="47" t="n">
        <f aca="false">IF(Informed=0,K590,0)</f>
        <v>0</v>
      </c>
      <c r="Z590" s="47" t="e">
        <f aca="false">IF(Informed=1,N590,0)</f>
        <v>#N/A</v>
      </c>
      <c r="AA590" s="47" t="n">
        <f aca="false">IF(Informed=0,N590,0)</f>
        <v>0</v>
      </c>
      <c r="AB590" s="51" t="e">
        <f aca="false">IF(Arterial=0,IF(Informed=1,1,0),0)</f>
        <v>#N/A</v>
      </c>
      <c r="AC590" s="51" t="e">
        <f aca="false">IF(Arterial=0,IF(Informed=0,1,0),0)</f>
        <v>#N/A</v>
      </c>
      <c r="AD590" s="51" t="e">
        <f aca="false">IF(Arterial=1,IF(Informed=1,1,0),0)</f>
        <v>#N/A</v>
      </c>
      <c r="AE590" s="51" t="e">
        <f aca="false">IF(Arterial=1,IF(Informed=0,1,0),0)</f>
        <v>#N/A</v>
      </c>
      <c r="AF590" s="44" t="e">
        <f aca="false">IF(AB590=1,(X590-G$1030)^2,0)</f>
        <v>#N/A</v>
      </c>
      <c r="AG590" s="44" t="e">
        <f aca="false">IF(AC590=1,(Y590-H$1030)^2,0)</f>
        <v>#N/A</v>
      </c>
      <c r="AH590" s="44" t="e">
        <f aca="false">IF(AD590=1,(Z590-I$1030)^2,0)</f>
        <v>#N/A</v>
      </c>
      <c r="AI590" s="44" t="e">
        <f aca="false">IF(AE590=1,(AA590-J$1030)^2,0)</f>
        <v>#N/A</v>
      </c>
    </row>
    <row r="591" customFormat="false" ht="12" hidden="false" customHeight="false" outlineLevel="0" collapsed="false">
      <c r="A591" s="29" t="n">
        <v>574</v>
      </c>
      <c r="B591" s="45" t="n">
        <f aca="true">IF(RAND()&lt;$D$8,1,0)</f>
        <v>1</v>
      </c>
      <c r="C591" s="34" t="n">
        <f aca="true">-LN(RAND())/$D$2</f>
        <v>4.76082800204713</v>
      </c>
      <c r="D591" s="46" t="n">
        <f aca="false">D590+C591</f>
        <v>908.6439425022</v>
      </c>
      <c r="E591" s="47" t="e">
        <f aca="false">MAX($D$3,(1+P590-VLOOKUP(VALUE(D591),$J$18:$Q590,7,TRUE()))*$D$3)</f>
        <v>#N/A</v>
      </c>
      <c r="F591" s="47" t="e">
        <f aca="false">MAX($D$4,(1+Q590-VLOOKUP(VALUE(D591),$M$18:$Q590,5,TRUE()))*$D$4)</f>
        <v>#N/A</v>
      </c>
      <c r="G591" s="48" t="n">
        <v>0.5</v>
      </c>
      <c r="H591" s="46" t="e">
        <f aca="true">IF((B591=1),(IF((F591&lt;E591),1,(IF((F591=E591),(IF(RAND()&lt;G591,1,0)),0)))),(IF((RAND()&lt;G591),1,0)))</f>
        <v>#N/A</v>
      </c>
      <c r="I591" s="46" t="e">
        <f aca="true">IF((H591=1),0,$D$3+$D$5*(RAND()-0.5))</f>
        <v>#N/A</v>
      </c>
      <c r="J591" s="46" t="e">
        <f aca="false">I591+MAX(D591,J590)</f>
        <v>#N/A</v>
      </c>
      <c r="K591" s="46" t="e">
        <f aca="false">IF((H591=0),J591-D591,0)</f>
        <v>#N/A</v>
      </c>
      <c r="L591" s="46" t="e">
        <f aca="true">IF(($H591=0),0,$D$4+$D$5*(RAND()-0.5))</f>
        <v>#N/A</v>
      </c>
      <c r="M591" s="46" t="e">
        <f aca="false">L591+MAX(D591,M590)</f>
        <v>#N/A</v>
      </c>
      <c r="N591" s="46" t="e">
        <f aca="false">IF((H591=1),M591-D591,0)</f>
        <v>#N/A</v>
      </c>
      <c r="O591" s="29" t="n">
        <v>574</v>
      </c>
      <c r="P591" s="49" t="e">
        <f aca="false">IF((Arterial=0),P590+1,P590)</f>
        <v>#N/A</v>
      </c>
      <c r="Q591" s="49" t="e">
        <f aca="false">IF((Arterial=1),Q590+1,Q590)</f>
        <v>#N/A</v>
      </c>
      <c r="R591" s="50" t="n">
        <f aca="false">IF((RESET=1),0,R591+K591)</f>
        <v>0</v>
      </c>
      <c r="S591" s="19" t="n">
        <f aca="false">IF(RESET=1,0,S591+N591)</f>
        <v>0</v>
      </c>
      <c r="T591" s="0" t="n">
        <f aca="false">IF(RESET=1,0,T591+IF(H591=0,1,0))</f>
        <v>0</v>
      </c>
      <c r="U591" s="0" t="n">
        <f aca="false">IF(RESET=1,0,U591+H591)</f>
        <v>0</v>
      </c>
      <c r="V591" s="19" t="n">
        <f aca="false">R591/(T591+0.00001)</f>
        <v>0</v>
      </c>
      <c r="W591" s="19" t="n">
        <f aca="false">S591/(U591+0.0001)</f>
        <v>0</v>
      </c>
      <c r="X591" s="47" t="e">
        <f aca="false">IF(Informed=1,K591,0)</f>
        <v>#N/A</v>
      </c>
      <c r="Y591" s="47" t="n">
        <f aca="false">IF(Informed=0,K591,0)</f>
        <v>0</v>
      </c>
      <c r="Z591" s="47" t="e">
        <f aca="false">IF(Informed=1,N591,0)</f>
        <v>#N/A</v>
      </c>
      <c r="AA591" s="47" t="n">
        <f aca="false">IF(Informed=0,N591,0)</f>
        <v>0</v>
      </c>
      <c r="AB591" s="51" t="e">
        <f aca="false">IF(Arterial=0,IF(Informed=1,1,0),0)</f>
        <v>#N/A</v>
      </c>
      <c r="AC591" s="51" t="e">
        <f aca="false">IF(Arterial=0,IF(Informed=0,1,0),0)</f>
        <v>#N/A</v>
      </c>
      <c r="AD591" s="51" t="e">
        <f aca="false">IF(Arterial=1,IF(Informed=1,1,0),0)</f>
        <v>#N/A</v>
      </c>
      <c r="AE591" s="51" t="e">
        <f aca="false">IF(Arterial=1,IF(Informed=0,1,0),0)</f>
        <v>#N/A</v>
      </c>
      <c r="AF591" s="44" t="e">
        <f aca="false">IF(AB591=1,(X591-G$1030)^2,0)</f>
        <v>#N/A</v>
      </c>
      <c r="AG591" s="44" t="e">
        <f aca="false">IF(AC591=1,(Y591-H$1030)^2,0)</f>
        <v>#N/A</v>
      </c>
      <c r="AH591" s="44" t="e">
        <f aca="false">IF(AD591=1,(Z591-I$1030)^2,0)</f>
        <v>#N/A</v>
      </c>
      <c r="AI591" s="44" t="e">
        <f aca="false">IF(AE591=1,(AA591-J$1030)^2,0)</f>
        <v>#N/A</v>
      </c>
    </row>
    <row r="592" customFormat="false" ht="12" hidden="false" customHeight="false" outlineLevel="0" collapsed="false">
      <c r="A592" s="29" t="n">
        <v>575</v>
      </c>
      <c r="B592" s="45" t="n">
        <f aca="true">IF(RAND()&lt;$D$8,1,0)</f>
        <v>1</v>
      </c>
      <c r="C592" s="34" t="n">
        <f aca="true">-LN(RAND())/$D$2</f>
        <v>2.25534902797131</v>
      </c>
      <c r="D592" s="46" t="n">
        <f aca="false">D591+C592</f>
        <v>910.899291530171</v>
      </c>
      <c r="E592" s="47" t="e">
        <f aca="false">MAX($D$3,(1+P591-VLOOKUP(VALUE(D592),$J$18:$Q591,7,TRUE()))*$D$3)</f>
        <v>#N/A</v>
      </c>
      <c r="F592" s="47" t="e">
        <f aca="false">MAX($D$4,(1+Q591-VLOOKUP(VALUE(D592),$M$18:$Q591,5,TRUE()))*$D$4)</f>
        <v>#N/A</v>
      </c>
      <c r="G592" s="48" t="n">
        <v>0.5</v>
      </c>
      <c r="H592" s="46" t="e">
        <f aca="true">IF((B592=1),(IF((F592&lt;E592),1,(IF((F592=E592),(IF(RAND()&lt;G592,1,0)),0)))),(IF((RAND()&lt;G592),1,0)))</f>
        <v>#N/A</v>
      </c>
      <c r="I592" s="46" t="e">
        <f aca="true">IF((H592=1),0,$D$3+$D$5*(RAND()-0.5))</f>
        <v>#N/A</v>
      </c>
      <c r="J592" s="46" t="e">
        <f aca="false">I592+MAX(D592,J591)</f>
        <v>#N/A</v>
      </c>
      <c r="K592" s="46" t="e">
        <f aca="false">IF((H592=0),J592-D592,0)</f>
        <v>#N/A</v>
      </c>
      <c r="L592" s="46" t="e">
        <f aca="true">IF(($H592=0),0,$D$4+$D$5*(RAND()-0.5))</f>
        <v>#N/A</v>
      </c>
      <c r="M592" s="46" t="e">
        <f aca="false">L592+MAX(D592,M591)</f>
        <v>#N/A</v>
      </c>
      <c r="N592" s="46" t="e">
        <f aca="false">IF((H592=1),M592-D592,0)</f>
        <v>#N/A</v>
      </c>
      <c r="O592" s="29" t="n">
        <v>575</v>
      </c>
      <c r="P592" s="49" t="e">
        <f aca="false">IF((Arterial=0),P591+1,P591)</f>
        <v>#N/A</v>
      </c>
      <c r="Q592" s="49" t="e">
        <f aca="false">IF((Arterial=1),Q591+1,Q591)</f>
        <v>#N/A</v>
      </c>
      <c r="R592" s="50" t="n">
        <f aca="false">IF((RESET=1),0,R592+K592)</f>
        <v>0</v>
      </c>
      <c r="S592" s="19" t="n">
        <f aca="false">IF(RESET=1,0,S592+N592)</f>
        <v>0</v>
      </c>
      <c r="T592" s="0" t="n">
        <f aca="false">IF(RESET=1,0,T592+IF(H592=0,1,0))</f>
        <v>0</v>
      </c>
      <c r="U592" s="0" t="n">
        <f aca="false">IF(RESET=1,0,U592+H592)</f>
        <v>0</v>
      </c>
      <c r="V592" s="19" t="n">
        <f aca="false">R592/(T592+0.00001)</f>
        <v>0</v>
      </c>
      <c r="W592" s="19" t="n">
        <f aca="false">S592/(U592+0.0001)</f>
        <v>0</v>
      </c>
      <c r="X592" s="47" t="e">
        <f aca="false">IF(Informed=1,K592,0)</f>
        <v>#N/A</v>
      </c>
      <c r="Y592" s="47" t="n">
        <f aca="false">IF(Informed=0,K592,0)</f>
        <v>0</v>
      </c>
      <c r="Z592" s="47" t="e">
        <f aca="false">IF(Informed=1,N592,0)</f>
        <v>#N/A</v>
      </c>
      <c r="AA592" s="47" t="n">
        <f aca="false">IF(Informed=0,N592,0)</f>
        <v>0</v>
      </c>
      <c r="AB592" s="51" t="e">
        <f aca="false">IF(Arterial=0,IF(Informed=1,1,0),0)</f>
        <v>#N/A</v>
      </c>
      <c r="AC592" s="51" t="e">
        <f aca="false">IF(Arterial=0,IF(Informed=0,1,0),0)</f>
        <v>#N/A</v>
      </c>
      <c r="AD592" s="51" t="e">
        <f aca="false">IF(Arterial=1,IF(Informed=1,1,0),0)</f>
        <v>#N/A</v>
      </c>
      <c r="AE592" s="51" t="e">
        <f aca="false">IF(Arterial=1,IF(Informed=0,1,0),0)</f>
        <v>#N/A</v>
      </c>
      <c r="AF592" s="44" t="e">
        <f aca="false">IF(AB592=1,(X592-G$1030)^2,0)</f>
        <v>#N/A</v>
      </c>
      <c r="AG592" s="44" t="e">
        <f aca="false">IF(AC592=1,(Y592-H$1030)^2,0)</f>
        <v>#N/A</v>
      </c>
      <c r="AH592" s="44" t="e">
        <f aca="false">IF(AD592=1,(Z592-I$1030)^2,0)</f>
        <v>#N/A</v>
      </c>
      <c r="AI592" s="44" t="e">
        <f aca="false">IF(AE592=1,(AA592-J$1030)^2,0)</f>
        <v>#N/A</v>
      </c>
    </row>
    <row r="593" customFormat="false" ht="12" hidden="false" customHeight="false" outlineLevel="0" collapsed="false">
      <c r="A593" s="29" t="n">
        <v>576</v>
      </c>
      <c r="B593" s="45" t="n">
        <f aca="true">IF(RAND()&lt;$D$8,1,0)</f>
        <v>1</v>
      </c>
      <c r="C593" s="34" t="n">
        <f aca="true">-LN(RAND())/$D$2</f>
        <v>3.19998676044496</v>
      </c>
      <c r="D593" s="46" t="n">
        <f aca="false">D592+C593</f>
        <v>914.099278290616</v>
      </c>
      <c r="E593" s="47" t="e">
        <f aca="false">MAX($D$3,(1+P592-VLOOKUP(VALUE(D593),$J$18:$Q592,7,TRUE()))*$D$3)</f>
        <v>#N/A</v>
      </c>
      <c r="F593" s="47" t="e">
        <f aca="false">MAX($D$4,(1+Q592-VLOOKUP(VALUE(D593),$M$18:$Q592,5,TRUE()))*$D$4)</f>
        <v>#N/A</v>
      </c>
      <c r="G593" s="48" t="n">
        <v>0.5</v>
      </c>
      <c r="H593" s="46" t="e">
        <f aca="true">IF((B593=1),(IF((F593&lt;E593),1,(IF((F593=E593),(IF(RAND()&lt;G593,1,0)),0)))),(IF((RAND()&lt;G593),1,0)))</f>
        <v>#N/A</v>
      </c>
      <c r="I593" s="46" t="e">
        <f aca="true">IF((H593=1),0,$D$3+$D$5*(RAND()-0.5))</f>
        <v>#N/A</v>
      </c>
      <c r="J593" s="46" t="e">
        <f aca="false">I593+MAX(D593,J592)</f>
        <v>#N/A</v>
      </c>
      <c r="K593" s="46" t="e">
        <f aca="false">IF((H593=0),J593-D593,0)</f>
        <v>#N/A</v>
      </c>
      <c r="L593" s="46" t="e">
        <f aca="true">IF(($H593=0),0,$D$4+$D$5*(RAND()-0.5))</f>
        <v>#N/A</v>
      </c>
      <c r="M593" s="46" t="e">
        <f aca="false">L593+MAX(D593,M592)</f>
        <v>#N/A</v>
      </c>
      <c r="N593" s="46" t="e">
        <f aca="false">IF((H593=1),M593-D593,0)</f>
        <v>#N/A</v>
      </c>
      <c r="O593" s="29" t="n">
        <v>576</v>
      </c>
      <c r="P593" s="49" t="e">
        <f aca="false">IF((Arterial=0),P592+1,P592)</f>
        <v>#N/A</v>
      </c>
      <c r="Q593" s="49" t="e">
        <f aca="false">IF((Arterial=1),Q592+1,Q592)</f>
        <v>#N/A</v>
      </c>
      <c r="R593" s="50" t="n">
        <f aca="false">IF((RESET=1),0,R593+K593)</f>
        <v>0</v>
      </c>
      <c r="S593" s="19" t="n">
        <f aca="false">IF(RESET=1,0,S593+N593)</f>
        <v>0</v>
      </c>
      <c r="T593" s="0" t="n">
        <f aca="false">IF(RESET=1,0,T593+IF(H593=0,1,0))</f>
        <v>0</v>
      </c>
      <c r="U593" s="0" t="n">
        <f aca="false">IF(RESET=1,0,U593+H593)</f>
        <v>0</v>
      </c>
      <c r="V593" s="19" t="n">
        <f aca="false">R593/(T593+0.00001)</f>
        <v>0</v>
      </c>
      <c r="W593" s="19" t="n">
        <f aca="false">S593/(U593+0.0001)</f>
        <v>0</v>
      </c>
      <c r="X593" s="47" t="e">
        <f aca="false">IF(Informed=1,K593,0)</f>
        <v>#N/A</v>
      </c>
      <c r="Y593" s="47" t="n">
        <f aca="false">IF(Informed=0,K593,0)</f>
        <v>0</v>
      </c>
      <c r="Z593" s="47" t="e">
        <f aca="false">IF(Informed=1,N593,0)</f>
        <v>#N/A</v>
      </c>
      <c r="AA593" s="47" t="n">
        <f aca="false">IF(Informed=0,N593,0)</f>
        <v>0</v>
      </c>
      <c r="AB593" s="51" t="e">
        <f aca="false">IF(Arterial=0,IF(Informed=1,1,0),0)</f>
        <v>#N/A</v>
      </c>
      <c r="AC593" s="51" t="e">
        <f aca="false">IF(Arterial=0,IF(Informed=0,1,0),0)</f>
        <v>#N/A</v>
      </c>
      <c r="AD593" s="51" t="e">
        <f aca="false">IF(Arterial=1,IF(Informed=1,1,0),0)</f>
        <v>#N/A</v>
      </c>
      <c r="AE593" s="51" t="e">
        <f aca="false">IF(Arterial=1,IF(Informed=0,1,0),0)</f>
        <v>#N/A</v>
      </c>
      <c r="AF593" s="44" t="e">
        <f aca="false">IF(AB593=1,(X593-G$1030)^2,0)</f>
        <v>#N/A</v>
      </c>
      <c r="AG593" s="44" t="e">
        <f aca="false">IF(AC593=1,(Y593-H$1030)^2,0)</f>
        <v>#N/A</v>
      </c>
      <c r="AH593" s="44" t="e">
        <f aca="false">IF(AD593=1,(Z593-I$1030)^2,0)</f>
        <v>#N/A</v>
      </c>
      <c r="AI593" s="44" t="e">
        <f aca="false">IF(AE593=1,(AA593-J$1030)^2,0)</f>
        <v>#N/A</v>
      </c>
    </row>
    <row r="594" customFormat="false" ht="12" hidden="false" customHeight="false" outlineLevel="0" collapsed="false">
      <c r="A594" s="29" t="n">
        <v>577</v>
      </c>
      <c r="B594" s="45" t="n">
        <f aca="true">IF(RAND()&lt;$D$8,1,0)</f>
        <v>1</v>
      </c>
      <c r="C594" s="34" t="n">
        <f aca="true">-LN(RAND())/$D$2</f>
        <v>6.71544896883038</v>
      </c>
      <c r="D594" s="46" t="n">
        <f aca="false">D593+C594</f>
        <v>920.814727259446</v>
      </c>
      <c r="E594" s="47" t="e">
        <f aca="false">MAX($D$3,(1+P593-VLOOKUP(VALUE(D594),$J$18:$Q593,7,TRUE()))*$D$3)</f>
        <v>#N/A</v>
      </c>
      <c r="F594" s="47" t="e">
        <f aca="false">MAX($D$4,(1+Q593-VLOOKUP(VALUE(D594),$M$18:$Q593,5,TRUE()))*$D$4)</f>
        <v>#N/A</v>
      </c>
      <c r="G594" s="48" t="n">
        <v>0.5</v>
      </c>
      <c r="H594" s="46" t="e">
        <f aca="true">IF((B594=1),(IF((F594&lt;E594),1,(IF((F594=E594),(IF(RAND()&lt;G594,1,0)),0)))),(IF((RAND()&lt;G594),1,0)))</f>
        <v>#N/A</v>
      </c>
      <c r="I594" s="46" t="e">
        <f aca="true">IF((H594=1),0,$D$3+$D$5*(RAND()-0.5))</f>
        <v>#N/A</v>
      </c>
      <c r="J594" s="46" t="e">
        <f aca="false">I594+MAX(D594,J593)</f>
        <v>#N/A</v>
      </c>
      <c r="K594" s="46" t="e">
        <f aca="false">IF((H594=0),J594-D594,0)</f>
        <v>#N/A</v>
      </c>
      <c r="L594" s="46" t="e">
        <f aca="true">IF(($H594=0),0,$D$4+$D$5*(RAND()-0.5))</f>
        <v>#N/A</v>
      </c>
      <c r="M594" s="46" t="e">
        <f aca="false">L594+MAX(D594,M593)</f>
        <v>#N/A</v>
      </c>
      <c r="N594" s="46" t="e">
        <f aca="false">IF((H594=1),M594-D594,0)</f>
        <v>#N/A</v>
      </c>
      <c r="O594" s="29" t="n">
        <v>577</v>
      </c>
      <c r="P594" s="49" t="e">
        <f aca="false">IF((Arterial=0),P593+1,P593)</f>
        <v>#N/A</v>
      </c>
      <c r="Q594" s="49" t="e">
        <f aca="false">IF((Arterial=1),Q593+1,Q593)</f>
        <v>#N/A</v>
      </c>
      <c r="R594" s="50" t="n">
        <f aca="false">IF((RESET=1),0,R594+K594)</f>
        <v>0</v>
      </c>
      <c r="S594" s="19" t="n">
        <f aca="false">IF(RESET=1,0,S594+N594)</f>
        <v>0</v>
      </c>
      <c r="T594" s="0" t="n">
        <f aca="false">IF(RESET=1,0,T594+IF(H594=0,1,0))</f>
        <v>0</v>
      </c>
      <c r="U594" s="0" t="n">
        <f aca="false">IF(RESET=1,0,U594+H594)</f>
        <v>0</v>
      </c>
      <c r="V594" s="19" t="n">
        <f aca="false">R594/(T594+0.00001)</f>
        <v>0</v>
      </c>
      <c r="W594" s="19" t="n">
        <f aca="false">S594/(U594+0.0001)</f>
        <v>0</v>
      </c>
      <c r="X594" s="47" t="e">
        <f aca="false">IF(Informed=1,K594,0)</f>
        <v>#N/A</v>
      </c>
      <c r="Y594" s="47" t="n">
        <f aca="false">IF(Informed=0,K594,0)</f>
        <v>0</v>
      </c>
      <c r="Z594" s="47" t="e">
        <f aca="false">IF(Informed=1,N594,0)</f>
        <v>#N/A</v>
      </c>
      <c r="AA594" s="47" t="n">
        <f aca="false">IF(Informed=0,N594,0)</f>
        <v>0</v>
      </c>
      <c r="AB594" s="51" t="e">
        <f aca="false">IF(Arterial=0,IF(Informed=1,1,0),0)</f>
        <v>#N/A</v>
      </c>
      <c r="AC594" s="51" t="e">
        <f aca="false">IF(Arterial=0,IF(Informed=0,1,0),0)</f>
        <v>#N/A</v>
      </c>
      <c r="AD594" s="51" t="e">
        <f aca="false">IF(Arterial=1,IF(Informed=1,1,0),0)</f>
        <v>#N/A</v>
      </c>
      <c r="AE594" s="51" t="e">
        <f aca="false">IF(Arterial=1,IF(Informed=0,1,0),0)</f>
        <v>#N/A</v>
      </c>
      <c r="AF594" s="44" t="e">
        <f aca="false">IF(AB594=1,(X594-G$1030)^2,0)</f>
        <v>#N/A</v>
      </c>
      <c r="AG594" s="44" t="e">
        <f aca="false">IF(AC594=1,(Y594-H$1030)^2,0)</f>
        <v>#N/A</v>
      </c>
      <c r="AH594" s="44" t="e">
        <f aca="false">IF(AD594=1,(Z594-I$1030)^2,0)</f>
        <v>#N/A</v>
      </c>
      <c r="AI594" s="44" t="e">
        <f aca="false">IF(AE594=1,(AA594-J$1030)^2,0)</f>
        <v>#N/A</v>
      </c>
    </row>
    <row r="595" customFormat="false" ht="12" hidden="false" customHeight="false" outlineLevel="0" collapsed="false">
      <c r="A595" s="29" t="n">
        <v>578</v>
      </c>
      <c r="B595" s="45" t="n">
        <f aca="true">IF(RAND()&lt;$D$8,1,0)</f>
        <v>1</v>
      </c>
      <c r="C595" s="34" t="n">
        <f aca="true">-LN(RAND())/$D$2</f>
        <v>2.28620113970064</v>
      </c>
      <c r="D595" s="46" t="n">
        <f aca="false">D594+C595</f>
        <v>923.100928399147</v>
      </c>
      <c r="E595" s="47" t="e">
        <f aca="false">MAX($D$3,(1+P594-VLOOKUP(VALUE(D595),$J$18:$Q594,7,TRUE()))*$D$3)</f>
        <v>#N/A</v>
      </c>
      <c r="F595" s="47" t="e">
        <f aca="false">MAX($D$4,(1+Q594-VLOOKUP(VALUE(D595),$M$18:$Q594,5,TRUE()))*$D$4)</f>
        <v>#N/A</v>
      </c>
      <c r="G595" s="48" t="n">
        <v>0.5</v>
      </c>
      <c r="H595" s="46" t="e">
        <f aca="true">IF((B595=1),(IF((F595&lt;E595),1,(IF((F595=E595),(IF(RAND()&lt;G595,1,0)),0)))),(IF((RAND()&lt;G595),1,0)))</f>
        <v>#N/A</v>
      </c>
      <c r="I595" s="46" t="e">
        <f aca="true">IF((H595=1),0,$D$3+$D$5*(RAND()-0.5))</f>
        <v>#N/A</v>
      </c>
      <c r="J595" s="46" t="e">
        <f aca="false">I595+MAX(D595,J594)</f>
        <v>#N/A</v>
      </c>
      <c r="K595" s="46" t="e">
        <f aca="false">IF((H595=0),J595-D595,0)</f>
        <v>#N/A</v>
      </c>
      <c r="L595" s="46" t="e">
        <f aca="true">IF(($H595=0),0,$D$4+$D$5*(RAND()-0.5))</f>
        <v>#N/A</v>
      </c>
      <c r="M595" s="46" t="e">
        <f aca="false">L595+MAX(D595,M594)</f>
        <v>#N/A</v>
      </c>
      <c r="N595" s="46" t="e">
        <f aca="false">IF((H595=1),M595-D595,0)</f>
        <v>#N/A</v>
      </c>
      <c r="O595" s="29" t="n">
        <v>578</v>
      </c>
      <c r="P595" s="49" t="e">
        <f aca="false">IF((Arterial=0),P594+1,P594)</f>
        <v>#N/A</v>
      </c>
      <c r="Q595" s="49" t="e">
        <f aca="false">IF((Arterial=1),Q594+1,Q594)</f>
        <v>#N/A</v>
      </c>
      <c r="R595" s="50" t="n">
        <f aca="false">IF((RESET=1),0,R595+K595)</f>
        <v>0</v>
      </c>
      <c r="S595" s="19" t="n">
        <f aca="false">IF(RESET=1,0,S595+N595)</f>
        <v>0</v>
      </c>
      <c r="T595" s="0" t="n">
        <f aca="false">IF(RESET=1,0,T595+IF(H595=0,1,0))</f>
        <v>0</v>
      </c>
      <c r="U595" s="0" t="n">
        <f aca="false">IF(RESET=1,0,U595+H595)</f>
        <v>0</v>
      </c>
      <c r="V595" s="19" t="n">
        <f aca="false">R595/(T595+0.00001)</f>
        <v>0</v>
      </c>
      <c r="W595" s="19" t="n">
        <f aca="false">S595/(U595+0.0001)</f>
        <v>0</v>
      </c>
      <c r="X595" s="47" t="e">
        <f aca="false">IF(Informed=1,K595,0)</f>
        <v>#N/A</v>
      </c>
      <c r="Y595" s="47" t="n">
        <f aca="false">IF(Informed=0,K595,0)</f>
        <v>0</v>
      </c>
      <c r="Z595" s="47" t="e">
        <f aca="false">IF(Informed=1,N595,0)</f>
        <v>#N/A</v>
      </c>
      <c r="AA595" s="47" t="n">
        <f aca="false">IF(Informed=0,N595,0)</f>
        <v>0</v>
      </c>
      <c r="AB595" s="51" t="e">
        <f aca="false">IF(Arterial=0,IF(Informed=1,1,0),0)</f>
        <v>#N/A</v>
      </c>
      <c r="AC595" s="51" t="e">
        <f aca="false">IF(Arterial=0,IF(Informed=0,1,0),0)</f>
        <v>#N/A</v>
      </c>
      <c r="AD595" s="51" t="e">
        <f aca="false">IF(Arterial=1,IF(Informed=1,1,0),0)</f>
        <v>#N/A</v>
      </c>
      <c r="AE595" s="51" t="e">
        <f aca="false">IF(Arterial=1,IF(Informed=0,1,0),0)</f>
        <v>#N/A</v>
      </c>
      <c r="AF595" s="44" t="e">
        <f aca="false">IF(AB595=1,(X595-G$1030)^2,0)</f>
        <v>#N/A</v>
      </c>
      <c r="AG595" s="44" t="e">
        <f aca="false">IF(AC595=1,(Y595-H$1030)^2,0)</f>
        <v>#N/A</v>
      </c>
      <c r="AH595" s="44" t="e">
        <f aca="false">IF(AD595=1,(Z595-I$1030)^2,0)</f>
        <v>#N/A</v>
      </c>
      <c r="AI595" s="44" t="e">
        <f aca="false">IF(AE595=1,(AA595-J$1030)^2,0)</f>
        <v>#N/A</v>
      </c>
    </row>
    <row r="596" customFormat="false" ht="12" hidden="false" customHeight="false" outlineLevel="0" collapsed="false">
      <c r="A596" s="29" t="n">
        <v>579</v>
      </c>
      <c r="B596" s="45" t="n">
        <f aca="true">IF(RAND()&lt;$D$8,1,0)</f>
        <v>1</v>
      </c>
      <c r="C596" s="34" t="n">
        <f aca="true">-LN(RAND())/$D$2</f>
        <v>0.208185680285197</v>
      </c>
      <c r="D596" s="46" t="n">
        <f aca="false">D595+C596</f>
        <v>923.309114079432</v>
      </c>
      <c r="E596" s="47" t="e">
        <f aca="false">MAX($D$3,(1+P595-VLOOKUP(VALUE(D596),$J$18:$Q595,7,TRUE()))*$D$3)</f>
        <v>#N/A</v>
      </c>
      <c r="F596" s="47" t="e">
        <f aca="false">MAX($D$4,(1+Q595-VLOOKUP(VALUE(D596),$M$18:$Q595,5,TRUE()))*$D$4)</f>
        <v>#N/A</v>
      </c>
      <c r="G596" s="48" t="n">
        <v>0.5</v>
      </c>
      <c r="H596" s="46" t="e">
        <f aca="true">IF((B596=1),(IF((F596&lt;E596),1,(IF((F596=E596),(IF(RAND()&lt;G596,1,0)),0)))),(IF((RAND()&lt;G596),1,0)))</f>
        <v>#N/A</v>
      </c>
      <c r="I596" s="46" t="e">
        <f aca="true">IF((H596=1),0,$D$3+$D$5*(RAND()-0.5))</f>
        <v>#N/A</v>
      </c>
      <c r="J596" s="46" t="e">
        <f aca="false">I596+MAX(D596,J595)</f>
        <v>#N/A</v>
      </c>
      <c r="K596" s="46" t="e">
        <f aca="false">IF((H596=0),J596-D596,0)</f>
        <v>#N/A</v>
      </c>
      <c r="L596" s="46" t="e">
        <f aca="true">IF(($H596=0),0,$D$4+$D$5*(RAND()-0.5))</f>
        <v>#N/A</v>
      </c>
      <c r="M596" s="46" t="e">
        <f aca="false">L596+MAX(D596,M595)</f>
        <v>#N/A</v>
      </c>
      <c r="N596" s="46" t="e">
        <f aca="false">IF((H596=1),M596-D596,0)</f>
        <v>#N/A</v>
      </c>
      <c r="O596" s="29" t="n">
        <v>579</v>
      </c>
      <c r="P596" s="49" t="e">
        <f aca="false">IF((Arterial=0),P595+1,P595)</f>
        <v>#N/A</v>
      </c>
      <c r="Q596" s="49" t="e">
        <f aca="false">IF((Arterial=1),Q595+1,Q595)</f>
        <v>#N/A</v>
      </c>
      <c r="R596" s="50" t="n">
        <f aca="false">IF((RESET=1),0,R596+K596)</f>
        <v>0</v>
      </c>
      <c r="S596" s="19" t="n">
        <f aca="false">IF(RESET=1,0,S596+N596)</f>
        <v>0</v>
      </c>
      <c r="T596" s="0" t="n">
        <f aca="false">IF(RESET=1,0,T596+IF(H596=0,1,0))</f>
        <v>0</v>
      </c>
      <c r="U596" s="0" t="n">
        <f aca="false">IF(RESET=1,0,U596+H596)</f>
        <v>0</v>
      </c>
      <c r="V596" s="19" t="n">
        <f aca="false">R596/(T596+0.00001)</f>
        <v>0</v>
      </c>
      <c r="W596" s="19" t="n">
        <f aca="false">S596/(U596+0.0001)</f>
        <v>0</v>
      </c>
      <c r="X596" s="47" t="e">
        <f aca="false">IF(Informed=1,K596,0)</f>
        <v>#N/A</v>
      </c>
      <c r="Y596" s="47" t="n">
        <f aca="false">IF(Informed=0,K596,0)</f>
        <v>0</v>
      </c>
      <c r="Z596" s="47" t="e">
        <f aca="false">IF(Informed=1,N596,0)</f>
        <v>#N/A</v>
      </c>
      <c r="AA596" s="47" t="n">
        <f aca="false">IF(Informed=0,N596,0)</f>
        <v>0</v>
      </c>
      <c r="AB596" s="51" t="e">
        <f aca="false">IF(Arterial=0,IF(Informed=1,1,0),0)</f>
        <v>#N/A</v>
      </c>
      <c r="AC596" s="51" t="e">
        <f aca="false">IF(Arterial=0,IF(Informed=0,1,0),0)</f>
        <v>#N/A</v>
      </c>
      <c r="AD596" s="51" t="e">
        <f aca="false">IF(Arterial=1,IF(Informed=1,1,0),0)</f>
        <v>#N/A</v>
      </c>
      <c r="AE596" s="51" t="e">
        <f aca="false">IF(Arterial=1,IF(Informed=0,1,0),0)</f>
        <v>#N/A</v>
      </c>
      <c r="AF596" s="44" t="e">
        <f aca="false">IF(AB596=1,(X596-G$1030)^2,0)</f>
        <v>#N/A</v>
      </c>
      <c r="AG596" s="44" t="e">
        <f aca="false">IF(AC596=1,(Y596-H$1030)^2,0)</f>
        <v>#N/A</v>
      </c>
      <c r="AH596" s="44" t="e">
        <f aca="false">IF(AD596=1,(Z596-I$1030)^2,0)</f>
        <v>#N/A</v>
      </c>
      <c r="AI596" s="44" t="e">
        <f aca="false">IF(AE596=1,(AA596-J$1030)^2,0)</f>
        <v>#N/A</v>
      </c>
    </row>
    <row r="597" customFormat="false" ht="12" hidden="false" customHeight="false" outlineLevel="0" collapsed="false">
      <c r="A597" s="29" t="n">
        <v>580</v>
      </c>
      <c r="B597" s="45" t="n">
        <f aca="true">IF(RAND()&lt;$D$8,1,0)</f>
        <v>1</v>
      </c>
      <c r="C597" s="34" t="n">
        <f aca="true">-LN(RAND())/$D$2</f>
        <v>0.725933124021846</v>
      </c>
      <c r="D597" s="46" t="n">
        <f aca="false">D596+C597</f>
        <v>924.035047203454</v>
      </c>
      <c r="E597" s="47" t="e">
        <f aca="false">MAX($D$3,(1+P596-VLOOKUP(VALUE(D597),$J$18:$Q596,7,TRUE()))*$D$3)</f>
        <v>#N/A</v>
      </c>
      <c r="F597" s="47" t="e">
        <f aca="false">MAX($D$4,(1+Q596-VLOOKUP(VALUE(D597),$M$18:$Q596,5,TRUE()))*$D$4)</f>
        <v>#N/A</v>
      </c>
      <c r="G597" s="48" t="n">
        <v>0.5</v>
      </c>
      <c r="H597" s="46" t="e">
        <f aca="true">IF((B597=1),(IF((F597&lt;E597),1,(IF((F597=E597),(IF(RAND()&lt;G597,1,0)),0)))),(IF((RAND()&lt;G597),1,0)))</f>
        <v>#N/A</v>
      </c>
      <c r="I597" s="46" t="e">
        <f aca="true">IF((H597=1),0,$D$3+$D$5*(RAND()-0.5))</f>
        <v>#N/A</v>
      </c>
      <c r="J597" s="46" t="e">
        <f aca="false">I597+MAX(D597,J596)</f>
        <v>#N/A</v>
      </c>
      <c r="K597" s="46" t="e">
        <f aca="false">IF((H597=0),J597-D597,0)</f>
        <v>#N/A</v>
      </c>
      <c r="L597" s="46" t="e">
        <f aca="true">IF(($H597=0),0,$D$4+$D$5*(RAND()-0.5))</f>
        <v>#N/A</v>
      </c>
      <c r="M597" s="46" t="e">
        <f aca="false">L597+MAX(D597,M596)</f>
        <v>#N/A</v>
      </c>
      <c r="N597" s="46" t="e">
        <f aca="false">IF((H597=1),M597-D597,0)</f>
        <v>#N/A</v>
      </c>
      <c r="O597" s="29" t="n">
        <v>580</v>
      </c>
      <c r="P597" s="49" t="e">
        <f aca="false">IF((Arterial=0),P596+1,P596)</f>
        <v>#N/A</v>
      </c>
      <c r="Q597" s="49" t="e">
        <f aca="false">IF((Arterial=1),Q596+1,Q596)</f>
        <v>#N/A</v>
      </c>
      <c r="R597" s="50" t="n">
        <f aca="false">IF((RESET=1),0,R597+K597)</f>
        <v>0</v>
      </c>
      <c r="S597" s="19" t="n">
        <f aca="false">IF(RESET=1,0,S597+N597)</f>
        <v>0</v>
      </c>
      <c r="T597" s="0" t="n">
        <f aca="false">IF(RESET=1,0,T597+IF(H597=0,1,0))</f>
        <v>0</v>
      </c>
      <c r="U597" s="0" t="n">
        <f aca="false">IF(RESET=1,0,U597+H597)</f>
        <v>0</v>
      </c>
      <c r="V597" s="19" t="n">
        <f aca="false">R597/(T597+0.00001)</f>
        <v>0</v>
      </c>
      <c r="W597" s="19" t="n">
        <f aca="false">S597/(U597+0.0001)</f>
        <v>0</v>
      </c>
      <c r="X597" s="47" t="e">
        <f aca="false">IF(Informed=1,K597,0)</f>
        <v>#N/A</v>
      </c>
      <c r="Y597" s="47" t="n">
        <f aca="false">IF(Informed=0,K597,0)</f>
        <v>0</v>
      </c>
      <c r="Z597" s="47" t="e">
        <f aca="false">IF(Informed=1,N597,0)</f>
        <v>#N/A</v>
      </c>
      <c r="AA597" s="47" t="n">
        <f aca="false">IF(Informed=0,N597,0)</f>
        <v>0</v>
      </c>
      <c r="AB597" s="51" t="e">
        <f aca="false">IF(Arterial=0,IF(Informed=1,1,0),0)</f>
        <v>#N/A</v>
      </c>
      <c r="AC597" s="51" t="e">
        <f aca="false">IF(Arterial=0,IF(Informed=0,1,0),0)</f>
        <v>#N/A</v>
      </c>
      <c r="AD597" s="51" t="e">
        <f aca="false">IF(Arterial=1,IF(Informed=1,1,0),0)</f>
        <v>#N/A</v>
      </c>
      <c r="AE597" s="51" t="e">
        <f aca="false">IF(Arterial=1,IF(Informed=0,1,0),0)</f>
        <v>#N/A</v>
      </c>
      <c r="AF597" s="44" t="e">
        <f aca="false">IF(AB597=1,(X597-G$1030)^2,0)</f>
        <v>#N/A</v>
      </c>
      <c r="AG597" s="44" t="e">
        <f aca="false">IF(AC597=1,(Y597-H$1030)^2,0)</f>
        <v>#N/A</v>
      </c>
      <c r="AH597" s="44" t="e">
        <f aca="false">IF(AD597=1,(Z597-I$1030)^2,0)</f>
        <v>#N/A</v>
      </c>
      <c r="AI597" s="44" t="e">
        <f aca="false">IF(AE597=1,(AA597-J$1030)^2,0)</f>
        <v>#N/A</v>
      </c>
    </row>
    <row r="598" customFormat="false" ht="12" hidden="false" customHeight="false" outlineLevel="0" collapsed="false">
      <c r="A598" s="29" t="n">
        <v>581</v>
      </c>
      <c r="B598" s="45" t="n">
        <f aca="true">IF(RAND()&lt;$D$8,1,0)</f>
        <v>1</v>
      </c>
      <c r="C598" s="34" t="n">
        <f aca="true">-LN(RAND())/$D$2</f>
        <v>1.00233999837618</v>
      </c>
      <c r="D598" s="46" t="n">
        <f aca="false">D597+C598</f>
        <v>925.03738720183</v>
      </c>
      <c r="E598" s="47" t="e">
        <f aca="false">MAX($D$3,(1+P597-VLOOKUP(VALUE(D598),$J$18:$Q597,7,TRUE()))*$D$3)</f>
        <v>#N/A</v>
      </c>
      <c r="F598" s="47" t="e">
        <f aca="false">MAX($D$4,(1+Q597-VLOOKUP(VALUE(D598),$M$18:$Q597,5,TRUE()))*$D$4)</f>
        <v>#N/A</v>
      </c>
      <c r="G598" s="48" t="n">
        <v>0.5</v>
      </c>
      <c r="H598" s="46" t="e">
        <f aca="true">IF((B598=1),(IF((F598&lt;E598),1,(IF((F598=E598),(IF(RAND()&lt;G598,1,0)),0)))),(IF((RAND()&lt;G598),1,0)))</f>
        <v>#N/A</v>
      </c>
      <c r="I598" s="46" t="e">
        <f aca="true">IF((H598=1),0,$D$3+$D$5*(RAND()-0.5))</f>
        <v>#N/A</v>
      </c>
      <c r="J598" s="46" t="e">
        <f aca="false">I598+MAX(D598,J597)</f>
        <v>#N/A</v>
      </c>
      <c r="K598" s="46" t="e">
        <f aca="false">IF((H598=0),J598-D598,0)</f>
        <v>#N/A</v>
      </c>
      <c r="L598" s="46" t="e">
        <f aca="true">IF(($H598=0),0,$D$4+$D$5*(RAND()-0.5))</f>
        <v>#N/A</v>
      </c>
      <c r="M598" s="46" t="e">
        <f aca="false">L598+MAX(D598,M597)</f>
        <v>#N/A</v>
      </c>
      <c r="N598" s="46" t="e">
        <f aca="false">IF((H598=1),M598-D598,0)</f>
        <v>#N/A</v>
      </c>
      <c r="O598" s="29" t="n">
        <v>581</v>
      </c>
      <c r="P598" s="49" t="e">
        <f aca="false">IF((Arterial=0),P597+1,P597)</f>
        <v>#N/A</v>
      </c>
      <c r="Q598" s="49" t="e">
        <f aca="false">IF((Arterial=1),Q597+1,Q597)</f>
        <v>#N/A</v>
      </c>
      <c r="R598" s="50" t="n">
        <f aca="false">IF((RESET=1),0,R598+K598)</f>
        <v>0</v>
      </c>
      <c r="S598" s="19" t="n">
        <f aca="false">IF(RESET=1,0,S598+N598)</f>
        <v>0</v>
      </c>
      <c r="T598" s="0" t="n">
        <f aca="false">IF(RESET=1,0,T598+IF(H598=0,1,0))</f>
        <v>0</v>
      </c>
      <c r="U598" s="0" t="n">
        <f aca="false">IF(RESET=1,0,U598+H598)</f>
        <v>0</v>
      </c>
      <c r="V598" s="19" t="n">
        <f aca="false">R598/(T598+0.00001)</f>
        <v>0</v>
      </c>
      <c r="W598" s="19" t="n">
        <f aca="false">S598/(U598+0.0001)</f>
        <v>0</v>
      </c>
      <c r="X598" s="47" t="e">
        <f aca="false">IF(Informed=1,K598,0)</f>
        <v>#N/A</v>
      </c>
      <c r="Y598" s="47" t="n">
        <f aca="false">IF(Informed=0,K598,0)</f>
        <v>0</v>
      </c>
      <c r="Z598" s="47" t="e">
        <f aca="false">IF(Informed=1,N598,0)</f>
        <v>#N/A</v>
      </c>
      <c r="AA598" s="47" t="n">
        <f aca="false">IF(Informed=0,N598,0)</f>
        <v>0</v>
      </c>
      <c r="AB598" s="51" t="e">
        <f aca="false">IF(Arterial=0,IF(Informed=1,1,0),0)</f>
        <v>#N/A</v>
      </c>
      <c r="AC598" s="51" t="e">
        <f aca="false">IF(Arterial=0,IF(Informed=0,1,0),0)</f>
        <v>#N/A</v>
      </c>
      <c r="AD598" s="51" t="e">
        <f aca="false">IF(Arterial=1,IF(Informed=1,1,0),0)</f>
        <v>#N/A</v>
      </c>
      <c r="AE598" s="51" t="e">
        <f aca="false">IF(Arterial=1,IF(Informed=0,1,0),0)</f>
        <v>#N/A</v>
      </c>
      <c r="AF598" s="44" t="e">
        <f aca="false">IF(AB598=1,(X598-G$1030)^2,0)</f>
        <v>#N/A</v>
      </c>
      <c r="AG598" s="44" t="e">
        <f aca="false">IF(AC598=1,(Y598-H$1030)^2,0)</f>
        <v>#N/A</v>
      </c>
      <c r="AH598" s="44" t="e">
        <f aca="false">IF(AD598=1,(Z598-I$1030)^2,0)</f>
        <v>#N/A</v>
      </c>
      <c r="AI598" s="44" t="e">
        <f aca="false">IF(AE598=1,(AA598-J$1030)^2,0)</f>
        <v>#N/A</v>
      </c>
    </row>
    <row r="599" customFormat="false" ht="12" hidden="false" customHeight="false" outlineLevel="0" collapsed="false">
      <c r="A599" s="29" t="n">
        <v>582</v>
      </c>
      <c r="B599" s="45" t="n">
        <f aca="true">IF(RAND()&lt;$D$8,1,0)</f>
        <v>1</v>
      </c>
      <c r="C599" s="34" t="n">
        <f aca="true">-LN(RAND())/$D$2</f>
        <v>0.344582753061378</v>
      </c>
      <c r="D599" s="46" t="n">
        <f aca="false">D598+C599</f>
        <v>925.381969954891</v>
      </c>
      <c r="E599" s="47" t="e">
        <f aca="false">MAX($D$3,(1+P598-VLOOKUP(VALUE(D599),$J$18:$Q598,7,TRUE()))*$D$3)</f>
        <v>#N/A</v>
      </c>
      <c r="F599" s="47" t="e">
        <f aca="false">MAX($D$4,(1+Q598-VLOOKUP(VALUE(D599),$M$18:$Q598,5,TRUE()))*$D$4)</f>
        <v>#N/A</v>
      </c>
      <c r="G599" s="48" t="n">
        <v>0.5</v>
      </c>
      <c r="H599" s="46" t="e">
        <f aca="true">IF((B599=1),(IF((F599&lt;E599),1,(IF((F599=E599),(IF(RAND()&lt;G599,1,0)),0)))),(IF((RAND()&lt;G599),1,0)))</f>
        <v>#N/A</v>
      </c>
      <c r="I599" s="46" t="e">
        <f aca="true">IF((H599=1),0,$D$3+$D$5*(RAND()-0.5))</f>
        <v>#N/A</v>
      </c>
      <c r="J599" s="46" t="e">
        <f aca="false">I599+MAX(D599,J598)</f>
        <v>#N/A</v>
      </c>
      <c r="K599" s="46" t="e">
        <f aca="false">IF((H599=0),J599-D599,0)</f>
        <v>#N/A</v>
      </c>
      <c r="L599" s="46" t="e">
        <f aca="true">IF(($H599=0),0,$D$4+$D$5*(RAND()-0.5))</f>
        <v>#N/A</v>
      </c>
      <c r="M599" s="46" t="e">
        <f aca="false">L599+MAX(D599,M598)</f>
        <v>#N/A</v>
      </c>
      <c r="N599" s="46" t="e">
        <f aca="false">IF((H599=1),M599-D599,0)</f>
        <v>#N/A</v>
      </c>
      <c r="O599" s="29" t="n">
        <v>582</v>
      </c>
      <c r="P599" s="49" t="e">
        <f aca="false">IF((Arterial=0),P598+1,P598)</f>
        <v>#N/A</v>
      </c>
      <c r="Q599" s="49" t="e">
        <f aca="false">IF((Arterial=1),Q598+1,Q598)</f>
        <v>#N/A</v>
      </c>
      <c r="R599" s="50" t="n">
        <f aca="false">IF((RESET=1),0,R599+K599)</f>
        <v>0</v>
      </c>
      <c r="S599" s="19" t="n">
        <f aca="false">IF(RESET=1,0,S599+N599)</f>
        <v>0</v>
      </c>
      <c r="T599" s="0" t="n">
        <f aca="false">IF(RESET=1,0,T599+IF(H599=0,1,0))</f>
        <v>0</v>
      </c>
      <c r="U599" s="0" t="n">
        <f aca="false">IF(RESET=1,0,U599+H599)</f>
        <v>0</v>
      </c>
      <c r="V599" s="19" t="n">
        <f aca="false">R599/(T599+0.00001)</f>
        <v>0</v>
      </c>
      <c r="W599" s="19" t="n">
        <f aca="false">S599/(U599+0.0001)</f>
        <v>0</v>
      </c>
      <c r="X599" s="47" t="e">
        <f aca="false">IF(Informed=1,K599,0)</f>
        <v>#N/A</v>
      </c>
      <c r="Y599" s="47" t="n">
        <f aca="false">IF(Informed=0,K599,0)</f>
        <v>0</v>
      </c>
      <c r="Z599" s="47" t="e">
        <f aca="false">IF(Informed=1,N599,0)</f>
        <v>#N/A</v>
      </c>
      <c r="AA599" s="47" t="n">
        <f aca="false">IF(Informed=0,N599,0)</f>
        <v>0</v>
      </c>
      <c r="AB599" s="51" t="e">
        <f aca="false">IF(Arterial=0,IF(Informed=1,1,0),0)</f>
        <v>#N/A</v>
      </c>
      <c r="AC599" s="51" t="e">
        <f aca="false">IF(Arterial=0,IF(Informed=0,1,0),0)</f>
        <v>#N/A</v>
      </c>
      <c r="AD599" s="51" t="e">
        <f aca="false">IF(Arterial=1,IF(Informed=1,1,0),0)</f>
        <v>#N/A</v>
      </c>
      <c r="AE599" s="51" t="e">
        <f aca="false">IF(Arterial=1,IF(Informed=0,1,0),0)</f>
        <v>#N/A</v>
      </c>
      <c r="AF599" s="44" t="e">
        <f aca="false">IF(AB599=1,(X599-G$1030)^2,0)</f>
        <v>#N/A</v>
      </c>
      <c r="AG599" s="44" t="e">
        <f aca="false">IF(AC599=1,(Y599-H$1030)^2,0)</f>
        <v>#N/A</v>
      </c>
      <c r="AH599" s="44" t="e">
        <f aca="false">IF(AD599=1,(Z599-I$1030)^2,0)</f>
        <v>#N/A</v>
      </c>
      <c r="AI599" s="44" t="e">
        <f aca="false">IF(AE599=1,(AA599-J$1030)^2,0)</f>
        <v>#N/A</v>
      </c>
    </row>
    <row r="600" customFormat="false" ht="12" hidden="false" customHeight="false" outlineLevel="0" collapsed="false">
      <c r="A600" s="29" t="n">
        <v>583</v>
      </c>
      <c r="B600" s="45" t="n">
        <f aca="true">IF(RAND()&lt;$D$8,1,0)</f>
        <v>1</v>
      </c>
      <c r="C600" s="34" t="n">
        <f aca="true">-LN(RAND())/$D$2</f>
        <v>0.830598500676034</v>
      </c>
      <c r="D600" s="46" t="n">
        <f aca="false">D599+C600</f>
        <v>926.212568455567</v>
      </c>
      <c r="E600" s="47" t="e">
        <f aca="false">MAX($D$3,(1+P599-VLOOKUP(VALUE(D600),$J$18:$Q599,7,TRUE()))*$D$3)</f>
        <v>#N/A</v>
      </c>
      <c r="F600" s="47" t="e">
        <f aca="false">MAX($D$4,(1+Q599-VLOOKUP(VALUE(D600),$M$18:$Q599,5,TRUE()))*$D$4)</f>
        <v>#N/A</v>
      </c>
      <c r="G600" s="48" t="n">
        <v>0.5</v>
      </c>
      <c r="H600" s="46" t="e">
        <f aca="true">IF((B600=1),(IF((F600&lt;E600),1,(IF((F600=E600),(IF(RAND()&lt;G600,1,0)),0)))),(IF((RAND()&lt;G600),1,0)))</f>
        <v>#N/A</v>
      </c>
      <c r="I600" s="46" t="e">
        <f aca="true">IF((H600=1),0,$D$3+$D$5*(RAND()-0.5))</f>
        <v>#N/A</v>
      </c>
      <c r="J600" s="46" t="e">
        <f aca="false">I600+MAX(D600,J599)</f>
        <v>#N/A</v>
      </c>
      <c r="K600" s="46" t="e">
        <f aca="false">IF((H600=0),J600-D600,0)</f>
        <v>#N/A</v>
      </c>
      <c r="L600" s="46" t="e">
        <f aca="true">IF(($H600=0),0,$D$4+$D$5*(RAND()-0.5))</f>
        <v>#N/A</v>
      </c>
      <c r="M600" s="46" t="e">
        <f aca="false">L600+MAX(D600,M599)</f>
        <v>#N/A</v>
      </c>
      <c r="N600" s="46" t="e">
        <f aca="false">IF((H600=1),M600-D600,0)</f>
        <v>#N/A</v>
      </c>
      <c r="O600" s="29" t="n">
        <v>583</v>
      </c>
      <c r="P600" s="49" t="e">
        <f aca="false">IF((Arterial=0),P599+1,P599)</f>
        <v>#N/A</v>
      </c>
      <c r="Q600" s="49" t="e">
        <f aca="false">IF((Arterial=1),Q599+1,Q599)</f>
        <v>#N/A</v>
      </c>
      <c r="R600" s="50" t="n">
        <f aca="false">IF((RESET=1),0,R600+K600)</f>
        <v>0</v>
      </c>
      <c r="S600" s="19" t="n">
        <f aca="false">IF(RESET=1,0,S600+N600)</f>
        <v>0</v>
      </c>
      <c r="T600" s="0" t="n">
        <f aca="false">IF(RESET=1,0,T600+IF(H600=0,1,0))</f>
        <v>0</v>
      </c>
      <c r="U600" s="0" t="n">
        <f aca="false">IF(RESET=1,0,U600+H600)</f>
        <v>0</v>
      </c>
      <c r="V600" s="19" t="n">
        <f aca="false">R600/(T600+0.00001)</f>
        <v>0</v>
      </c>
      <c r="W600" s="19" t="n">
        <f aca="false">S600/(U600+0.0001)</f>
        <v>0</v>
      </c>
      <c r="X600" s="47" t="e">
        <f aca="false">IF(Informed=1,K600,0)</f>
        <v>#N/A</v>
      </c>
      <c r="Y600" s="47" t="n">
        <f aca="false">IF(Informed=0,K600,0)</f>
        <v>0</v>
      </c>
      <c r="Z600" s="47" t="e">
        <f aca="false">IF(Informed=1,N600,0)</f>
        <v>#N/A</v>
      </c>
      <c r="AA600" s="47" t="n">
        <f aca="false">IF(Informed=0,N600,0)</f>
        <v>0</v>
      </c>
      <c r="AB600" s="51" t="e">
        <f aca="false">IF(Arterial=0,IF(Informed=1,1,0),0)</f>
        <v>#N/A</v>
      </c>
      <c r="AC600" s="51" t="e">
        <f aca="false">IF(Arterial=0,IF(Informed=0,1,0),0)</f>
        <v>#N/A</v>
      </c>
      <c r="AD600" s="51" t="e">
        <f aca="false">IF(Arterial=1,IF(Informed=1,1,0),0)</f>
        <v>#N/A</v>
      </c>
      <c r="AE600" s="51" t="e">
        <f aca="false">IF(Arterial=1,IF(Informed=0,1,0),0)</f>
        <v>#N/A</v>
      </c>
      <c r="AF600" s="44" t="e">
        <f aca="false">IF(AB600=1,(X600-G$1030)^2,0)</f>
        <v>#N/A</v>
      </c>
      <c r="AG600" s="44" t="e">
        <f aca="false">IF(AC600=1,(Y600-H$1030)^2,0)</f>
        <v>#N/A</v>
      </c>
      <c r="AH600" s="44" t="e">
        <f aca="false">IF(AD600=1,(Z600-I$1030)^2,0)</f>
        <v>#N/A</v>
      </c>
      <c r="AI600" s="44" t="e">
        <f aca="false">IF(AE600=1,(AA600-J$1030)^2,0)</f>
        <v>#N/A</v>
      </c>
    </row>
    <row r="601" customFormat="false" ht="12" hidden="false" customHeight="false" outlineLevel="0" collapsed="false">
      <c r="A601" s="29" t="n">
        <v>584</v>
      </c>
      <c r="B601" s="45" t="n">
        <f aca="true">IF(RAND()&lt;$D$8,1,0)</f>
        <v>1</v>
      </c>
      <c r="C601" s="34" t="n">
        <f aca="true">-LN(RAND())/$D$2</f>
        <v>0.705880497983866</v>
      </c>
      <c r="D601" s="46" t="n">
        <f aca="false">D600+C601</f>
        <v>926.918448953551</v>
      </c>
      <c r="E601" s="47" t="e">
        <f aca="false">MAX($D$3,(1+P600-VLOOKUP(VALUE(D601),$J$18:$Q600,7,TRUE()))*$D$3)</f>
        <v>#N/A</v>
      </c>
      <c r="F601" s="47" t="e">
        <f aca="false">MAX($D$4,(1+Q600-VLOOKUP(VALUE(D601),$M$18:$Q600,5,TRUE()))*$D$4)</f>
        <v>#N/A</v>
      </c>
      <c r="G601" s="48" t="n">
        <v>0.5</v>
      </c>
      <c r="H601" s="46" t="e">
        <f aca="true">IF((B601=1),(IF((F601&lt;E601),1,(IF((F601=E601),(IF(RAND()&lt;G601,1,0)),0)))),(IF((RAND()&lt;G601),1,0)))</f>
        <v>#N/A</v>
      </c>
      <c r="I601" s="46" t="e">
        <f aca="true">IF((H601=1),0,$D$3+$D$5*(RAND()-0.5))</f>
        <v>#N/A</v>
      </c>
      <c r="J601" s="46" t="e">
        <f aca="false">I601+MAX(D601,J600)</f>
        <v>#N/A</v>
      </c>
      <c r="K601" s="46" t="e">
        <f aca="false">IF((H601=0),J601-D601,0)</f>
        <v>#N/A</v>
      </c>
      <c r="L601" s="46" t="e">
        <f aca="true">IF(($H601=0),0,$D$4+$D$5*(RAND()-0.5))</f>
        <v>#N/A</v>
      </c>
      <c r="M601" s="46" t="e">
        <f aca="false">L601+MAX(D601,M600)</f>
        <v>#N/A</v>
      </c>
      <c r="N601" s="46" t="e">
        <f aca="false">IF((H601=1),M601-D601,0)</f>
        <v>#N/A</v>
      </c>
      <c r="O601" s="29" t="n">
        <v>584</v>
      </c>
      <c r="P601" s="49" t="e">
        <f aca="false">IF((Arterial=0),P600+1,P600)</f>
        <v>#N/A</v>
      </c>
      <c r="Q601" s="49" t="e">
        <f aca="false">IF((Arterial=1),Q600+1,Q600)</f>
        <v>#N/A</v>
      </c>
      <c r="R601" s="50" t="n">
        <f aca="false">IF((RESET=1),0,R601+K601)</f>
        <v>0</v>
      </c>
      <c r="S601" s="19" t="n">
        <f aca="false">IF(RESET=1,0,S601+N601)</f>
        <v>0</v>
      </c>
      <c r="T601" s="0" t="n">
        <f aca="false">IF(RESET=1,0,T601+IF(H601=0,1,0))</f>
        <v>0</v>
      </c>
      <c r="U601" s="0" t="n">
        <f aca="false">IF(RESET=1,0,U601+H601)</f>
        <v>0</v>
      </c>
      <c r="V601" s="19" t="n">
        <f aca="false">R601/(T601+0.00001)</f>
        <v>0</v>
      </c>
      <c r="W601" s="19" t="n">
        <f aca="false">S601/(U601+0.0001)</f>
        <v>0</v>
      </c>
      <c r="X601" s="47" t="e">
        <f aca="false">IF(Informed=1,K601,0)</f>
        <v>#N/A</v>
      </c>
      <c r="Y601" s="47" t="n">
        <f aca="false">IF(Informed=0,K601,0)</f>
        <v>0</v>
      </c>
      <c r="Z601" s="47" t="e">
        <f aca="false">IF(Informed=1,N601,0)</f>
        <v>#N/A</v>
      </c>
      <c r="AA601" s="47" t="n">
        <f aca="false">IF(Informed=0,N601,0)</f>
        <v>0</v>
      </c>
      <c r="AB601" s="51" t="e">
        <f aca="false">IF(Arterial=0,IF(Informed=1,1,0),0)</f>
        <v>#N/A</v>
      </c>
      <c r="AC601" s="51" t="e">
        <f aca="false">IF(Arterial=0,IF(Informed=0,1,0),0)</f>
        <v>#N/A</v>
      </c>
      <c r="AD601" s="51" t="e">
        <f aca="false">IF(Arterial=1,IF(Informed=1,1,0),0)</f>
        <v>#N/A</v>
      </c>
      <c r="AE601" s="51" t="e">
        <f aca="false">IF(Arterial=1,IF(Informed=0,1,0),0)</f>
        <v>#N/A</v>
      </c>
      <c r="AF601" s="44" t="e">
        <f aca="false">IF(AB601=1,(X601-G$1030)^2,0)</f>
        <v>#N/A</v>
      </c>
      <c r="AG601" s="44" t="e">
        <f aca="false">IF(AC601=1,(Y601-H$1030)^2,0)</f>
        <v>#N/A</v>
      </c>
      <c r="AH601" s="44" t="e">
        <f aca="false">IF(AD601=1,(Z601-I$1030)^2,0)</f>
        <v>#N/A</v>
      </c>
      <c r="AI601" s="44" t="e">
        <f aca="false">IF(AE601=1,(AA601-J$1030)^2,0)</f>
        <v>#N/A</v>
      </c>
    </row>
    <row r="602" customFormat="false" ht="12" hidden="false" customHeight="false" outlineLevel="0" collapsed="false">
      <c r="A602" s="29" t="n">
        <v>585</v>
      </c>
      <c r="B602" s="45" t="n">
        <f aca="true">IF(RAND()&lt;$D$8,1,0)</f>
        <v>1</v>
      </c>
      <c r="C602" s="34" t="n">
        <f aca="true">-LN(RAND())/$D$2</f>
        <v>0.737132352603247</v>
      </c>
      <c r="D602" s="46" t="n">
        <f aca="false">D601+C602</f>
        <v>927.655581306155</v>
      </c>
      <c r="E602" s="47" t="e">
        <f aca="false">MAX($D$3,(1+P601-VLOOKUP(VALUE(D602),$J$18:$Q601,7,TRUE()))*$D$3)</f>
        <v>#N/A</v>
      </c>
      <c r="F602" s="47" t="e">
        <f aca="false">MAX($D$4,(1+Q601-VLOOKUP(VALUE(D602),$M$18:$Q601,5,TRUE()))*$D$4)</f>
        <v>#N/A</v>
      </c>
      <c r="G602" s="48" t="n">
        <v>0.5</v>
      </c>
      <c r="H602" s="46" t="e">
        <f aca="true">IF((B602=1),(IF((F602&lt;E602),1,(IF((F602=E602),(IF(RAND()&lt;G602,1,0)),0)))),(IF((RAND()&lt;G602),1,0)))</f>
        <v>#N/A</v>
      </c>
      <c r="I602" s="46" t="e">
        <f aca="true">IF((H602=1),0,$D$3+$D$5*(RAND()-0.5))</f>
        <v>#N/A</v>
      </c>
      <c r="J602" s="46" t="e">
        <f aca="false">I602+MAX(D602,J601)</f>
        <v>#N/A</v>
      </c>
      <c r="K602" s="46" t="e">
        <f aca="false">IF((H602=0),J602-D602,0)</f>
        <v>#N/A</v>
      </c>
      <c r="L602" s="46" t="e">
        <f aca="true">IF(($H602=0),0,$D$4+$D$5*(RAND()-0.5))</f>
        <v>#N/A</v>
      </c>
      <c r="M602" s="46" t="e">
        <f aca="false">L602+MAX(D602,M601)</f>
        <v>#N/A</v>
      </c>
      <c r="N602" s="46" t="e">
        <f aca="false">IF((H602=1),M602-D602,0)</f>
        <v>#N/A</v>
      </c>
      <c r="O602" s="29" t="n">
        <v>585</v>
      </c>
      <c r="P602" s="49" t="e">
        <f aca="false">IF((Arterial=0),P601+1,P601)</f>
        <v>#N/A</v>
      </c>
      <c r="Q602" s="49" t="e">
        <f aca="false">IF((Arterial=1),Q601+1,Q601)</f>
        <v>#N/A</v>
      </c>
      <c r="R602" s="50" t="n">
        <f aca="false">IF((RESET=1),0,R602+K602)</f>
        <v>0</v>
      </c>
      <c r="S602" s="19" t="n">
        <f aca="false">IF(RESET=1,0,S602+N602)</f>
        <v>0</v>
      </c>
      <c r="T602" s="0" t="n">
        <f aca="false">IF(RESET=1,0,T602+IF(H602=0,1,0))</f>
        <v>0</v>
      </c>
      <c r="U602" s="0" t="n">
        <f aca="false">IF(RESET=1,0,U602+H602)</f>
        <v>0</v>
      </c>
      <c r="V602" s="19" t="n">
        <f aca="false">R602/(T602+0.00001)</f>
        <v>0</v>
      </c>
      <c r="W602" s="19" t="n">
        <f aca="false">S602/(U602+0.0001)</f>
        <v>0</v>
      </c>
      <c r="X602" s="47" t="e">
        <f aca="false">IF(Informed=1,K602,0)</f>
        <v>#N/A</v>
      </c>
      <c r="Y602" s="47" t="n">
        <f aca="false">IF(Informed=0,K602,0)</f>
        <v>0</v>
      </c>
      <c r="Z602" s="47" t="e">
        <f aca="false">IF(Informed=1,N602,0)</f>
        <v>#N/A</v>
      </c>
      <c r="AA602" s="47" t="n">
        <f aca="false">IF(Informed=0,N602,0)</f>
        <v>0</v>
      </c>
      <c r="AB602" s="51" t="e">
        <f aca="false">IF(Arterial=0,IF(Informed=1,1,0),0)</f>
        <v>#N/A</v>
      </c>
      <c r="AC602" s="51" t="e">
        <f aca="false">IF(Arterial=0,IF(Informed=0,1,0),0)</f>
        <v>#N/A</v>
      </c>
      <c r="AD602" s="51" t="e">
        <f aca="false">IF(Arterial=1,IF(Informed=1,1,0),0)</f>
        <v>#N/A</v>
      </c>
      <c r="AE602" s="51" t="e">
        <f aca="false">IF(Arterial=1,IF(Informed=0,1,0),0)</f>
        <v>#N/A</v>
      </c>
      <c r="AF602" s="44" t="e">
        <f aca="false">IF(AB602=1,(X602-G$1030)^2,0)</f>
        <v>#N/A</v>
      </c>
      <c r="AG602" s="44" t="e">
        <f aca="false">IF(AC602=1,(Y602-H$1030)^2,0)</f>
        <v>#N/A</v>
      </c>
      <c r="AH602" s="44" t="e">
        <f aca="false">IF(AD602=1,(Z602-I$1030)^2,0)</f>
        <v>#N/A</v>
      </c>
      <c r="AI602" s="44" t="e">
        <f aca="false">IF(AE602=1,(AA602-J$1030)^2,0)</f>
        <v>#N/A</v>
      </c>
    </row>
    <row r="603" customFormat="false" ht="12" hidden="false" customHeight="false" outlineLevel="0" collapsed="false">
      <c r="A603" s="29" t="n">
        <v>586</v>
      </c>
      <c r="B603" s="45" t="n">
        <f aca="true">IF(RAND()&lt;$D$8,1,0)</f>
        <v>1</v>
      </c>
      <c r="C603" s="34" t="n">
        <f aca="true">-LN(RAND())/$D$2</f>
        <v>0.939643364086836</v>
      </c>
      <c r="D603" s="46" t="n">
        <f aca="false">D602+C603</f>
        <v>928.595224670241</v>
      </c>
      <c r="E603" s="47" t="e">
        <f aca="false">MAX($D$3,(1+P602-VLOOKUP(VALUE(D603),$J$18:$Q602,7,TRUE()))*$D$3)</f>
        <v>#N/A</v>
      </c>
      <c r="F603" s="47" t="e">
        <f aca="false">MAX($D$4,(1+Q602-VLOOKUP(VALUE(D603),$M$18:$Q602,5,TRUE()))*$D$4)</f>
        <v>#N/A</v>
      </c>
      <c r="G603" s="48" t="n">
        <v>0.5</v>
      </c>
      <c r="H603" s="46" t="e">
        <f aca="true">IF((B603=1),(IF((F603&lt;E603),1,(IF((F603=E603),(IF(RAND()&lt;G603,1,0)),0)))),(IF((RAND()&lt;G603),1,0)))</f>
        <v>#N/A</v>
      </c>
      <c r="I603" s="46" t="e">
        <f aca="true">IF((H603=1),0,$D$3+$D$5*(RAND()-0.5))</f>
        <v>#N/A</v>
      </c>
      <c r="J603" s="46" t="e">
        <f aca="false">I603+MAX(D603,J602)</f>
        <v>#N/A</v>
      </c>
      <c r="K603" s="46" t="e">
        <f aca="false">IF((H603=0),J603-D603,0)</f>
        <v>#N/A</v>
      </c>
      <c r="L603" s="46" t="e">
        <f aca="true">IF(($H603=0),0,$D$4+$D$5*(RAND()-0.5))</f>
        <v>#N/A</v>
      </c>
      <c r="M603" s="46" t="e">
        <f aca="false">L603+MAX(D603,M602)</f>
        <v>#N/A</v>
      </c>
      <c r="N603" s="46" t="e">
        <f aca="false">IF((H603=1),M603-D603,0)</f>
        <v>#N/A</v>
      </c>
      <c r="O603" s="29" t="n">
        <v>586</v>
      </c>
      <c r="P603" s="49" t="e">
        <f aca="false">IF((Arterial=0),P602+1,P602)</f>
        <v>#N/A</v>
      </c>
      <c r="Q603" s="49" t="e">
        <f aca="false">IF((Arterial=1),Q602+1,Q602)</f>
        <v>#N/A</v>
      </c>
      <c r="R603" s="50" t="n">
        <f aca="false">IF((RESET=1),0,R603+K603)</f>
        <v>0</v>
      </c>
      <c r="S603" s="19" t="n">
        <f aca="false">IF(RESET=1,0,S603+N603)</f>
        <v>0</v>
      </c>
      <c r="T603" s="0" t="n">
        <f aca="false">IF(RESET=1,0,T603+IF(H603=0,1,0))</f>
        <v>0</v>
      </c>
      <c r="U603" s="0" t="n">
        <f aca="false">IF(RESET=1,0,U603+H603)</f>
        <v>0</v>
      </c>
      <c r="V603" s="19" t="n">
        <f aca="false">R603/(T603+0.00001)</f>
        <v>0</v>
      </c>
      <c r="W603" s="19" t="n">
        <f aca="false">S603/(U603+0.0001)</f>
        <v>0</v>
      </c>
      <c r="X603" s="47" t="e">
        <f aca="false">IF(Informed=1,K603,0)</f>
        <v>#N/A</v>
      </c>
      <c r="Y603" s="47" t="n">
        <f aca="false">IF(Informed=0,K603,0)</f>
        <v>0</v>
      </c>
      <c r="Z603" s="47" t="e">
        <f aca="false">IF(Informed=1,N603,0)</f>
        <v>#N/A</v>
      </c>
      <c r="AA603" s="47" t="n">
        <f aca="false">IF(Informed=0,N603,0)</f>
        <v>0</v>
      </c>
      <c r="AB603" s="51" t="e">
        <f aca="false">IF(Arterial=0,IF(Informed=1,1,0),0)</f>
        <v>#N/A</v>
      </c>
      <c r="AC603" s="51" t="e">
        <f aca="false">IF(Arterial=0,IF(Informed=0,1,0),0)</f>
        <v>#N/A</v>
      </c>
      <c r="AD603" s="51" t="e">
        <f aca="false">IF(Arterial=1,IF(Informed=1,1,0),0)</f>
        <v>#N/A</v>
      </c>
      <c r="AE603" s="51" t="e">
        <f aca="false">IF(Arterial=1,IF(Informed=0,1,0),0)</f>
        <v>#N/A</v>
      </c>
      <c r="AF603" s="44" t="e">
        <f aca="false">IF(AB603=1,(X603-G$1030)^2,0)</f>
        <v>#N/A</v>
      </c>
      <c r="AG603" s="44" t="e">
        <f aca="false">IF(AC603=1,(Y603-H$1030)^2,0)</f>
        <v>#N/A</v>
      </c>
      <c r="AH603" s="44" t="e">
        <f aca="false">IF(AD603=1,(Z603-I$1030)^2,0)</f>
        <v>#N/A</v>
      </c>
      <c r="AI603" s="44" t="e">
        <f aca="false">IF(AE603=1,(AA603-J$1030)^2,0)</f>
        <v>#N/A</v>
      </c>
    </row>
    <row r="604" customFormat="false" ht="12" hidden="false" customHeight="false" outlineLevel="0" collapsed="false">
      <c r="A604" s="29" t="n">
        <v>587</v>
      </c>
      <c r="B604" s="45" t="n">
        <f aca="true">IF(RAND()&lt;$D$8,1,0)</f>
        <v>1</v>
      </c>
      <c r="C604" s="34" t="n">
        <f aca="true">-LN(RAND())/$D$2</f>
        <v>0.342058810236633</v>
      </c>
      <c r="D604" s="46" t="n">
        <f aca="false">D603+C604</f>
        <v>928.937283480478</v>
      </c>
      <c r="E604" s="47" t="e">
        <f aca="false">MAX($D$3,(1+P603-VLOOKUP(VALUE(D604),$J$18:$Q603,7,TRUE()))*$D$3)</f>
        <v>#N/A</v>
      </c>
      <c r="F604" s="47" t="e">
        <f aca="false">MAX($D$4,(1+Q603-VLOOKUP(VALUE(D604),$M$18:$Q603,5,TRUE()))*$D$4)</f>
        <v>#N/A</v>
      </c>
      <c r="G604" s="48" t="n">
        <v>0.5</v>
      </c>
      <c r="H604" s="46" t="e">
        <f aca="true">IF((B604=1),(IF((F604&lt;E604),1,(IF((F604=E604),(IF(RAND()&lt;G604,1,0)),0)))),(IF((RAND()&lt;G604),1,0)))</f>
        <v>#N/A</v>
      </c>
      <c r="I604" s="46" t="e">
        <f aca="true">IF((H604=1),0,$D$3+$D$5*(RAND()-0.5))</f>
        <v>#N/A</v>
      </c>
      <c r="J604" s="46" t="e">
        <f aca="false">I604+MAX(D604,J603)</f>
        <v>#N/A</v>
      </c>
      <c r="K604" s="46" t="e">
        <f aca="false">IF((H604=0),J604-D604,0)</f>
        <v>#N/A</v>
      </c>
      <c r="L604" s="46" t="e">
        <f aca="true">IF(($H604=0),0,$D$4+$D$5*(RAND()-0.5))</f>
        <v>#N/A</v>
      </c>
      <c r="M604" s="46" t="e">
        <f aca="false">L604+MAX(D604,M603)</f>
        <v>#N/A</v>
      </c>
      <c r="N604" s="46" t="e">
        <f aca="false">IF((H604=1),M604-D604,0)</f>
        <v>#N/A</v>
      </c>
      <c r="O604" s="29" t="n">
        <v>587</v>
      </c>
      <c r="P604" s="49" t="e">
        <f aca="false">IF((Arterial=0),P603+1,P603)</f>
        <v>#N/A</v>
      </c>
      <c r="Q604" s="49" t="e">
        <f aca="false">IF((Arterial=1),Q603+1,Q603)</f>
        <v>#N/A</v>
      </c>
      <c r="R604" s="50" t="n">
        <f aca="false">IF((RESET=1),0,R604+K604)</f>
        <v>0</v>
      </c>
      <c r="S604" s="19" t="n">
        <f aca="false">IF(RESET=1,0,S604+N604)</f>
        <v>0</v>
      </c>
      <c r="T604" s="0" t="n">
        <f aca="false">IF(RESET=1,0,T604+IF(H604=0,1,0))</f>
        <v>0</v>
      </c>
      <c r="U604" s="0" t="n">
        <f aca="false">IF(RESET=1,0,U604+H604)</f>
        <v>0</v>
      </c>
      <c r="V604" s="19" t="n">
        <f aca="false">R604/(T604+0.00001)</f>
        <v>0</v>
      </c>
      <c r="W604" s="19" t="n">
        <f aca="false">S604/(U604+0.0001)</f>
        <v>0</v>
      </c>
      <c r="X604" s="47" t="e">
        <f aca="false">IF(Informed=1,K604,0)</f>
        <v>#N/A</v>
      </c>
      <c r="Y604" s="47" t="n">
        <f aca="false">IF(Informed=0,K604,0)</f>
        <v>0</v>
      </c>
      <c r="Z604" s="47" t="e">
        <f aca="false">IF(Informed=1,N604,0)</f>
        <v>#N/A</v>
      </c>
      <c r="AA604" s="47" t="n">
        <f aca="false">IF(Informed=0,N604,0)</f>
        <v>0</v>
      </c>
      <c r="AB604" s="51" t="e">
        <f aca="false">IF(Arterial=0,IF(Informed=1,1,0),0)</f>
        <v>#N/A</v>
      </c>
      <c r="AC604" s="51" t="e">
        <f aca="false">IF(Arterial=0,IF(Informed=0,1,0),0)</f>
        <v>#N/A</v>
      </c>
      <c r="AD604" s="51" t="e">
        <f aca="false">IF(Arterial=1,IF(Informed=1,1,0),0)</f>
        <v>#N/A</v>
      </c>
      <c r="AE604" s="51" t="e">
        <f aca="false">IF(Arterial=1,IF(Informed=0,1,0),0)</f>
        <v>#N/A</v>
      </c>
      <c r="AF604" s="44" t="e">
        <f aca="false">IF(AB604=1,(X604-G$1030)^2,0)</f>
        <v>#N/A</v>
      </c>
      <c r="AG604" s="44" t="e">
        <f aca="false">IF(AC604=1,(Y604-H$1030)^2,0)</f>
        <v>#N/A</v>
      </c>
      <c r="AH604" s="44" t="e">
        <f aca="false">IF(AD604=1,(Z604-I$1030)^2,0)</f>
        <v>#N/A</v>
      </c>
      <c r="AI604" s="44" t="e">
        <f aca="false">IF(AE604=1,(AA604-J$1030)^2,0)</f>
        <v>#N/A</v>
      </c>
    </row>
    <row r="605" customFormat="false" ht="12" hidden="false" customHeight="false" outlineLevel="0" collapsed="false">
      <c r="A605" s="29" t="n">
        <v>588</v>
      </c>
      <c r="B605" s="45" t="n">
        <f aca="true">IF(RAND()&lt;$D$8,1,0)</f>
        <v>1</v>
      </c>
      <c r="C605" s="34" t="n">
        <f aca="true">-LN(RAND())/$D$2</f>
        <v>0.107968112794328</v>
      </c>
      <c r="D605" s="46" t="n">
        <f aca="false">D604+C605</f>
        <v>929.045251593272</v>
      </c>
      <c r="E605" s="47" t="e">
        <f aca="false">MAX($D$3,(1+P604-VLOOKUP(VALUE(D605),$J$18:$Q604,7,TRUE()))*$D$3)</f>
        <v>#N/A</v>
      </c>
      <c r="F605" s="47" t="e">
        <f aca="false">MAX($D$4,(1+Q604-VLOOKUP(VALUE(D605),$M$18:$Q604,5,TRUE()))*$D$4)</f>
        <v>#N/A</v>
      </c>
      <c r="G605" s="48" t="n">
        <v>0.5</v>
      </c>
      <c r="H605" s="46" t="e">
        <f aca="true">IF((B605=1),(IF((F605&lt;E605),1,(IF((F605=E605),(IF(RAND()&lt;G605,1,0)),0)))),(IF((RAND()&lt;G605),1,0)))</f>
        <v>#N/A</v>
      </c>
      <c r="I605" s="46" t="e">
        <f aca="true">IF((H605=1),0,$D$3+$D$5*(RAND()-0.5))</f>
        <v>#N/A</v>
      </c>
      <c r="J605" s="46" t="e">
        <f aca="false">I605+MAX(D605,J604)</f>
        <v>#N/A</v>
      </c>
      <c r="K605" s="46" t="e">
        <f aca="false">IF((H605=0),J605-D605,0)</f>
        <v>#N/A</v>
      </c>
      <c r="L605" s="46" t="e">
        <f aca="true">IF(($H605=0),0,$D$4+$D$5*(RAND()-0.5))</f>
        <v>#N/A</v>
      </c>
      <c r="M605" s="46" t="e">
        <f aca="false">L605+MAX(D605,M604)</f>
        <v>#N/A</v>
      </c>
      <c r="N605" s="46" t="e">
        <f aca="false">IF((H605=1),M605-D605,0)</f>
        <v>#N/A</v>
      </c>
      <c r="O605" s="29" t="n">
        <v>588</v>
      </c>
      <c r="P605" s="49" t="e">
        <f aca="false">IF((Arterial=0),P604+1,P604)</f>
        <v>#N/A</v>
      </c>
      <c r="Q605" s="49" t="e">
        <f aca="false">IF((Arterial=1),Q604+1,Q604)</f>
        <v>#N/A</v>
      </c>
      <c r="R605" s="50" t="n">
        <f aca="false">IF((RESET=1),0,R605+K605)</f>
        <v>0</v>
      </c>
      <c r="S605" s="19" t="n">
        <f aca="false">IF(RESET=1,0,S605+N605)</f>
        <v>0</v>
      </c>
      <c r="T605" s="0" t="n">
        <f aca="false">IF(RESET=1,0,T605+IF(H605=0,1,0))</f>
        <v>0</v>
      </c>
      <c r="U605" s="0" t="n">
        <f aca="false">IF(RESET=1,0,U605+H605)</f>
        <v>0</v>
      </c>
      <c r="V605" s="19" t="n">
        <f aca="false">R605/(T605+0.00001)</f>
        <v>0</v>
      </c>
      <c r="W605" s="19" t="n">
        <f aca="false">S605/(U605+0.0001)</f>
        <v>0</v>
      </c>
      <c r="X605" s="47" t="e">
        <f aca="false">IF(Informed=1,K605,0)</f>
        <v>#N/A</v>
      </c>
      <c r="Y605" s="47" t="n">
        <f aca="false">IF(Informed=0,K605,0)</f>
        <v>0</v>
      </c>
      <c r="Z605" s="47" t="e">
        <f aca="false">IF(Informed=1,N605,0)</f>
        <v>#N/A</v>
      </c>
      <c r="AA605" s="47" t="n">
        <f aca="false">IF(Informed=0,N605,0)</f>
        <v>0</v>
      </c>
      <c r="AB605" s="51" t="e">
        <f aca="false">IF(Arterial=0,IF(Informed=1,1,0),0)</f>
        <v>#N/A</v>
      </c>
      <c r="AC605" s="51" t="e">
        <f aca="false">IF(Arterial=0,IF(Informed=0,1,0),0)</f>
        <v>#N/A</v>
      </c>
      <c r="AD605" s="51" t="e">
        <f aca="false">IF(Arterial=1,IF(Informed=1,1,0),0)</f>
        <v>#N/A</v>
      </c>
      <c r="AE605" s="51" t="e">
        <f aca="false">IF(Arterial=1,IF(Informed=0,1,0),0)</f>
        <v>#N/A</v>
      </c>
      <c r="AF605" s="44" t="e">
        <f aca="false">IF(AB605=1,(X605-G$1030)^2,0)</f>
        <v>#N/A</v>
      </c>
      <c r="AG605" s="44" t="e">
        <f aca="false">IF(AC605=1,(Y605-H$1030)^2,0)</f>
        <v>#N/A</v>
      </c>
      <c r="AH605" s="44" t="e">
        <f aca="false">IF(AD605=1,(Z605-I$1030)^2,0)</f>
        <v>#N/A</v>
      </c>
      <c r="AI605" s="44" t="e">
        <f aca="false">IF(AE605=1,(AA605-J$1030)^2,0)</f>
        <v>#N/A</v>
      </c>
    </row>
    <row r="606" customFormat="false" ht="12" hidden="false" customHeight="false" outlineLevel="0" collapsed="false">
      <c r="A606" s="29" t="n">
        <v>589</v>
      </c>
      <c r="B606" s="45" t="n">
        <f aca="true">IF(RAND()&lt;$D$8,1,0)</f>
        <v>1</v>
      </c>
      <c r="C606" s="34" t="n">
        <f aca="true">-LN(RAND())/$D$2</f>
        <v>0.16779456980386</v>
      </c>
      <c r="D606" s="46" t="n">
        <f aca="false">D605+C606</f>
        <v>929.213046163076</v>
      </c>
      <c r="E606" s="47" t="e">
        <f aca="false">MAX($D$3,(1+P605-VLOOKUP(VALUE(D606),$J$18:$Q605,7,TRUE()))*$D$3)</f>
        <v>#N/A</v>
      </c>
      <c r="F606" s="47" t="e">
        <f aca="false">MAX($D$4,(1+Q605-VLOOKUP(VALUE(D606),$M$18:$Q605,5,TRUE()))*$D$4)</f>
        <v>#N/A</v>
      </c>
      <c r="G606" s="48" t="n">
        <v>0.5</v>
      </c>
      <c r="H606" s="46" t="e">
        <f aca="true">IF((B606=1),(IF((F606&lt;E606),1,(IF((F606=E606),(IF(RAND()&lt;G606,1,0)),0)))),(IF((RAND()&lt;G606),1,0)))</f>
        <v>#N/A</v>
      </c>
      <c r="I606" s="46" t="e">
        <f aca="true">IF((H606=1),0,$D$3+$D$5*(RAND()-0.5))</f>
        <v>#N/A</v>
      </c>
      <c r="J606" s="46" t="e">
        <f aca="false">I606+MAX(D606,J605)</f>
        <v>#N/A</v>
      </c>
      <c r="K606" s="46" t="e">
        <f aca="false">IF((H606=0),J606-D606,0)</f>
        <v>#N/A</v>
      </c>
      <c r="L606" s="46" t="e">
        <f aca="true">IF(($H606=0),0,$D$4+$D$5*(RAND()-0.5))</f>
        <v>#N/A</v>
      </c>
      <c r="M606" s="46" t="e">
        <f aca="false">L606+MAX(D606,M605)</f>
        <v>#N/A</v>
      </c>
      <c r="N606" s="46" t="e">
        <f aca="false">IF((H606=1),M606-D606,0)</f>
        <v>#N/A</v>
      </c>
      <c r="O606" s="29" t="n">
        <v>589</v>
      </c>
      <c r="P606" s="49" t="e">
        <f aca="false">IF((Arterial=0),P605+1,P605)</f>
        <v>#N/A</v>
      </c>
      <c r="Q606" s="49" t="e">
        <f aca="false">IF((Arterial=1),Q605+1,Q605)</f>
        <v>#N/A</v>
      </c>
      <c r="R606" s="50" t="n">
        <f aca="false">IF((RESET=1),0,R606+K606)</f>
        <v>0</v>
      </c>
      <c r="S606" s="19" t="n">
        <f aca="false">IF(RESET=1,0,S606+N606)</f>
        <v>0</v>
      </c>
      <c r="T606" s="0" t="n">
        <f aca="false">IF(RESET=1,0,T606+IF(H606=0,1,0))</f>
        <v>0</v>
      </c>
      <c r="U606" s="0" t="n">
        <f aca="false">IF(RESET=1,0,U606+H606)</f>
        <v>0</v>
      </c>
      <c r="V606" s="19" t="n">
        <f aca="false">R606/(T606+0.00001)</f>
        <v>0</v>
      </c>
      <c r="W606" s="19" t="n">
        <f aca="false">S606/(U606+0.0001)</f>
        <v>0</v>
      </c>
      <c r="X606" s="47" t="e">
        <f aca="false">IF(Informed=1,K606,0)</f>
        <v>#N/A</v>
      </c>
      <c r="Y606" s="47" t="n">
        <f aca="false">IF(Informed=0,K606,0)</f>
        <v>0</v>
      </c>
      <c r="Z606" s="47" t="e">
        <f aca="false">IF(Informed=1,N606,0)</f>
        <v>#N/A</v>
      </c>
      <c r="AA606" s="47" t="n">
        <f aca="false">IF(Informed=0,N606,0)</f>
        <v>0</v>
      </c>
      <c r="AB606" s="51" t="e">
        <f aca="false">IF(Arterial=0,IF(Informed=1,1,0),0)</f>
        <v>#N/A</v>
      </c>
      <c r="AC606" s="51" t="e">
        <f aca="false">IF(Arterial=0,IF(Informed=0,1,0),0)</f>
        <v>#N/A</v>
      </c>
      <c r="AD606" s="51" t="e">
        <f aca="false">IF(Arterial=1,IF(Informed=1,1,0),0)</f>
        <v>#N/A</v>
      </c>
      <c r="AE606" s="51" t="e">
        <f aca="false">IF(Arterial=1,IF(Informed=0,1,0),0)</f>
        <v>#N/A</v>
      </c>
      <c r="AF606" s="44" t="e">
        <f aca="false">IF(AB606=1,(X606-G$1030)^2,0)</f>
        <v>#N/A</v>
      </c>
      <c r="AG606" s="44" t="e">
        <f aca="false">IF(AC606=1,(Y606-H$1030)^2,0)</f>
        <v>#N/A</v>
      </c>
      <c r="AH606" s="44" t="e">
        <f aca="false">IF(AD606=1,(Z606-I$1030)^2,0)</f>
        <v>#N/A</v>
      </c>
      <c r="AI606" s="44" t="e">
        <f aca="false">IF(AE606=1,(AA606-J$1030)^2,0)</f>
        <v>#N/A</v>
      </c>
    </row>
    <row r="607" customFormat="false" ht="12" hidden="false" customHeight="false" outlineLevel="0" collapsed="false">
      <c r="A607" s="29" t="n">
        <v>590</v>
      </c>
      <c r="B607" s="45" t="n">
        <f aca="true">IF(RAND()&lt;$D$8,1,0)</f>
        <v>1</v>
      </c>
      <c r="C607" s="34" t="n">
        <f aca="true">-LN(RAND())/$D$2</f>
        <v>0.512285054742297</v>
      </c>
      <c r="D607" s="46" t="n">
        <f aca="false">D606+C607</f>
        <v>929.725331217818</v>
      </c>
      <c r="E607" s="47" t="e">
        <f aca="false">MAX($D$3,(1+P606-VLOOKUP(VALUE(D607),$J$18:$Q606,7,TRUE()))*$D$3)</f>
        <v>#N/A</v>
      </c>
      <c r="F607" s="47" t="e">
        <f aca="false">MAX($D$4,(1+Q606-VLOOKUP(VALUE(D607),$M$18:$Q606,5,TRUE()))*$D$4)</f>
        <v>#N/A</v>
      </c>
      <c r="G607" s="48" t="n">
        <v>0.5</v>
      </c>
      <c r="H607" s="46" t="e">
        <f aca="true">IF((B607=1),(IF((F607&lt;E607),1,(IF((F607=E607),(IF(RAND()&lt;G607,1,0)),0)))),(IF((RAND()&lt;G607),1,0)))</f>
        <v>#N/A</v>
      </c>
      <c r="I607" s="46" t="e">
        <f aca="true">IF((H607=1),0,$D$3+$D$5*(RAND()-0.5))</f>
        <v>#N/A</v>
      </c>
      <c r="J607" s="46" t="e">
        <f aca="false">I607+MAX(D607,J606)</f>
        <v>#N/A</v>
      </c>
      <c r="K607" s="46" t="e">
        <f aca="false">IF((H607=0),J607-D607,0)</f>
        <v>#N/A</v>
      </c>
      <c r="L607" s="46" t="e">
        <f aca="true">IF(($H607=0),0,$D$4+$D$5*(RAND()-0.5))</f>
        <v>#N/A</v>
      </c>
      <c r="M607" s="46" t="e">
        <f aca="false">L607+MAX(D607,M606)</f>
        <v>#N/A</v>
      </c>
      <c r="N607" s="46" t="e">
        <f aca="false">IF((H607=1),M607-D607,0)</f>
        <v>#N/A</v>
      </c>
      <c r="O607" s="29" t="n">
        <v>590</v>
      </c>
      <c r="P607" s="49" t="e">
        <f aca="false">IF((Arterial=0),P606+1,P606)</f>
        <v>#N/A</v>
      </c>
      <c r="Q607" s="49" t="e">
        <f aca="false">IF((Arterial=1),Q606+1,Q606)</f>
        <v>#N/A</v>
      </c>
      <c r="R607" s="50" t="n">
        <f aca="false">IF((RESET=1),0,R607+K607)</f>
        <v>0</v>
      </c>
      <c r="S607" s="19" t="n">
        <f aca="false">IF(RESET=1,0,S607+N607)</f>
        <v>0</v>
      </c>
      <c r="T607" s="0" t="n">
        <f aca="false">IF(RESET=1,0,T607+IF(H607=0,1,0))</f>
        <v>0</v>
      </c>
      <c r="U607" s="0" t="n">
        <f aca="false">IF(RESET=1,0,U607+H607)</f>
        <v>0</v>
      </c>
      <c r="V607" s="19" t="n">
        <f aca="false">R607/(T607+0.00001)</f>
        <v>0</v>
      </c>
      <c r="W607" s="19" t="n">
        <f aca="false">S607/(U607+0.0001)</f>
        <v>0</v>
      </c>
      <c r="X607" s="47" t="e">
        <f aca="false">IF(Informed=1,K607,0)</f>
        <v>#N/A</v>
      </c>
      <c r="Y607" s="47" t="n">
        <f aca="false">IF(Informed=0,K607,0)</f>
        <v>0</v>
      </c>
      <c r="Z607" s="47" t="e">
        <f aca="false">IF(Informed=1,N607,0)</f>
        <v>#N/A</v>
      </c>
      <c r="AA607" s="47" t="n">
        <f aca="false">IF(Informed=0,N607,0)</f>
        <v>0</v>
      </c>
      <c r="AB607" s="51" t="e">
        <f aca="false">IF(Arterial=0,IF(Informed=1,1,0),0)</f>
        <v>#N/A</v>
      </c>
      <c r="AC607" s="51" t="e">
        <f aca="false">IF(Arterial=0,IF(Informed=0,1,0),0)</f>
        <v>#N/A</v>
      </c>
      <c r="AD607" s="51" t="e">
        <f aca="false">IF(Arterial=1,IF(Informed=1,1,0),0)</f>
        <v>#N/A</v>
      </c>
      <c r="AE607" s="51" t="e">
        <f aca="false">IF(Arterial=1,IF(Informed=0,1,0),0)</f>
        <v>#N/A</v>
      </c>
      <c r="AF607" s="44" t="e">
        <f aca="false">IF(AB607=1,(X607-G$1030)^2,0)</f>
        <v>#N/A</v>
      </c>
      <c r="AG607" s="44" t="e">
        <f aca="false">IF(AC607=1,(Y607-H$1030)^2,0)</f>
        <v>#N/A</v>
      </c>
      <c r="AH607" s="44" t="e">
        <f aca="false">IF(AD607=1,(Z607-I$1030)^2,0)</f>
        <v>#N/A</v>
      </c>
      <c r="AI607" s="44" t="e">
        <f aca="false">IF(AE607=1,(AA607-J$1030)^2,0)</f>
        <v>#N/A</v>
      </c>
    </row>
    <row r="608" customFormat="false" ht="12" hidden="false" customHeight="false" outlineLevel="0" collapsed="false">
      <c r="A608" s="29" t="n">
        <v>591</v>
      </c>
      <c r="B608" s="45" t="n">
        <f aca="true">IF(RAND()&lt;$D$8,1,0)</f>
        <v>1</v>
      </c>
      <c r="C608" s="34" t="n">
        <f aca="true">-LN(RAND())/$D$2</f>
        <v>0.241072190774958</v>
      </c>
      <c r="D608" s="46" t="n">
        <f aca="false">D607+C608</f>
        <v>929.966403408593</v>
      </c>
      <c r="E608" s="47" t="e">
        <f aca="false">MAX($D$3,(1+P607-VLOOKUP(VALUE(D608),$J$18:$Q607,7,TRUE()))*$D$3)</f>
        <v>#N/A</v>
      </c>
      <c r="F608" s="47" t="e">
        <f aca="false">MAX($D$4,(1+Q607-VLOOKUP(VALUE(D608),$M$18:$Q607,5,TRUE()))*$D$4)</f>
        <v>#N/A</v>
      </c>
      <c r="G608" s="48" t="n">
        <v>0.5</v>
      </c>
      <c r="H608" s="46" t="e">
        <f aca="true">IF((B608=1),(IF((F608&lt;E608),1,(IF((F608=E608),(IF(RAND()&lt;G608,1,0)),0)))),(IF((RAND()&lt;G608),1,0)))</f>
        <v>#N/A</v>
      </c>
      <c r="I608" s="46" t="e">
        <f aca="true">IF((H608=1),0,$D$3+$D$5*(RAND()-0.5))</f>
        <v>#N/A</v>
      </c>
      <c r="J608" s="46" t="e">
        <f aca="false">I608+MAX(D608,J607)</f>
        <v>#N/A</v>
      </c>
      <c r="K608" s="46" t="e">
        <f aca="false">IF((H608=0),J608-D608,0)</f>
        <v>#N/A</v>
      </c>
      <c r="L608" s="46" t="e">
        <f aca="true">IF(($H608=0),0,$D$4+$D$5*(RAND()-0.5))</f>
        <v>#N/A</v>
      </c>
      <c r="M608" s="46" t="e">
        <f aca="false">L608+MAX(D608,M607)</f>
        <v>#N/A</v>
      </c>
      <c r="N608" s="46" t="e">
        <f aca="false">IF((H608=1),M608-D608,0)</f>
        <v>#N/A</v>
      </c>
      <c r="O608" s="29" t="n">
        <v>591</v>
      </c>
      <c r="P608" s="49" t="e">
        <f aca="false">IF((Arterial=0),P607+1,P607)</f>
        <v>#N/A</v>
      </c>
      <c r="Q608" s="49" t="e">
        <f aca="false">IF((Arterial=1),Q607+1,Q607)</f>
        <v>#N/A</v>
      </c>
      <c r="R608" s="50" t="n">
        <f aca="false">IF((RESET=1),0,R608+K608)</f>
        <v>0</v>
      </c>
      <c r="S608" s="19" t="n">
        <f aca="false">IF(RESET=1,0,S608+N608)</f>
        <v>0</v>
      </c>
      <c r="T608" s="0" t="n">
        <f aca="false">IF(RESET=1,0,T608+IF(H608=0,1,0))</f>
        <v>0</v>
      </c>
      <c r="U608" s="0" t="n">
        <f aca="false">IF(RESET=1,0,U608+H608)</f>
        <v>0</v>
      </c>
      <c r="V608" s="19" t="n">
        <f aca="false">R608/(T608+0.00001)</f>
        <v>0</v>
      </c>
      <c r="W608" s="19" t="n">
        <f aca="false">S608/(U608+0.0001)</f>
        <v>0</v>
      </c>
      <c r="X608" s="47" t="e">
        <f aca="false">IF(Informed=1,K608,0)</f>
        <v>#N/A</v>
      </c>
      <c r="Y608" s="47" t="n">
        <f aca="false">IF(Informed=0,K608,0)</f>
        <v>0</v>
      </c>
      <c r="Z608" s="47" t="e">
        <f aca="false">IF(Informed=1,N608,0)</f>
        <v>#N/A</v>
      </c>
      <c r="AA608" s="47" t="n">
        <f aca="false">IF(Informed=0,N608,0)</f>
        <v>0</v>
      </c>
      <c r="AB608" s="51" t="e">
        <f aca="false">IF(Arterial=0,IF(Informed=1,1,0),0)</f>
        <v>#N/A</v>
      </c>
      <c r="AC608" s="51" t="e">
        <f aca="false">IF(Arterial=0,IF(Informed=0,1,0),0)</f>
        <v>#N/A</v>
      </c>
      <c r="AD608" s="51" t="e">
        <f aca="false">IF(Arterial=1,IF(Informed=1,1,0),0)</f>
        <v>#N/A</v>
      </c>
      <c r="AE608" s="51" t="e">
        <f aca="false">IF(Arterial=1,IF(Informed=0,1,0),0)</f>
        <v>#N/A</v>
      </c>
      <c r="AF608" s="44" t="e">
        <f aca="false">IF(AB608=1,(X608-G$1030)^2,0)</f>
        <v>#N/A</v>
      </c>
      <c r="AG608" s="44" t="e">
        <f aca="false">IF(AC608=1,(Y608-H$1030)^2,0)</f>
        <v>#N/A</v>
      </c>
      <c r="AH608" s="44" t="e">
        <f aca="false">IF(AD608=1,(Z608-I$1030)^2,0)</f>
        <v>#N/A</v>
      </c>
      <c r="AI608" s="44" t="e">
        <f aca="false">IF(AE608=1,(AA608-J$1030)^2,0)</f>
        <v>#N/A</v>
      </c>
    </row>
    <row r="609" customFormat="false" ht="12" hidden="false" customHeight="false" outlineLevel="0" collapsed="false">
      <c r="A609" s="29" t="n">
        <v>592</v>
      </c>
      <c r="B609" s="45" t="n">
        <f aca="true">IF(RAND()&lt;$D$8,1,0)</f>
        <v>1</v>
      </c>
      <c r="C609" s="34" t="n">
        <f aca="true">-LN(RAND())/$D$2</f>
        <v>2.3202467125976</v>
      </c>
      <c r="D609" s="46" t="n">
        <f aca="false">D608+C609</f>
        <v>932.286650121191</v>
      </c>
      <c r="E609" s="47" t="e">
        <f aca="false">MAX($D$3,(1+P608-VLOOKUP(VALUE(D609),$J$18:$Q608,7,TRUE()))*$D$3)</f>
        <v>#N/A</v>
      </c>
      <c r="F609" s="47" t="e">
        <f aca="false">MAX($D$4,(1+Q608-VLOOKUP(VALUE(D609),$M$18:$Q608,5,TRUE()))*$D$4)</f>
        <v>#N/A</v>
      </c>
      <c r="G609" s="48" t="n">
        <v>0.5</v>
      </c>
      <c r="H609" s="46" t="e">
        <f aca="true">IF((B609=1),(IF((F609&lt;E609),1,(IF((F609=E609),(IF(RAND()&lt;G609,1,0)),0)))),(IF((RAND()&lt;G609),1,0)))</f>
        <v>#N/A</v>
      </c>
      <c r="I609" s="46" t="e">
        <f aca="true">IF((H609=1),0,$D$3+$D$5*(RAND()-0.5))</f>
        <v>#N/A</v>
      </c>
      <c r="J609" s="46" t="e">
        <f aca="false">I609+MAX(D609,J608)</f>
        <v>#N/A</v>
      </c>
      <c r="K609" s="46" t="e">
        <f aca="false">IF((H609=0),J609-D609,0)</f>
        <v>#N/A</v>
      </c>
      <c r="L609" s="46" t="e">
        <f aca="true">IF(($H609=0),0,$D$4+$D$5*(RAND()-0.5))</f>
        <v>#N/A</v>
      </c>
      <c r="M609" s="46" t="e">
        <f aca="false">L609+MAX(D609,M608)</f>
        <v>#N/A</v>
      </c>
      <c r="N609" s="46" t="e">
        <f aca="false">IF((H609=1),M609-D609,0)</f>
        <v>#N/A</v>
      </c>
      <c r="O609" s="29" t="n">
        <v>592</v>
      </c>
      <c r="P609" s="49" t="e">
        <f aca="false">IF((Arterial=0),P608+1,P608)</f>
        <v>#N/A</v>
      </c>
      <c r="Q609" s="49" t="e">
        <f aca="false">IF((Arterial=1),Q608+1,Q608)</f>
        <v>#N/A</v>
      </c>
      <c r="R609" s="50" t="n">
        <f aca="false">IF((RESET=1),0,R609+K609)</f>
        <v>0</v>
      </c>
      <c r="S609" s="19" t="n">
        <f aca="false">IF(RESET=1,0,S609+N609)</f>
        <v>0</v>
      </c>
      <c r="T609" s="0" t="n">
        <f aca="false">IF(RESET=1,0,T609+IF(H609=0,1,0))</f>
        <v>0</v>
      </c>
      <c r="U609" s="0" t="n">
        <f aca="false">IF(RESET=1,0,U609+H609)</f>
        <v>0</v>
      </c>
      <c r="V609" s="19" t="n">
        <f aca="false">R609/(T609+0.00001)</f>
        <v>0</v>
      </c>
      <c r="W609" s="19" t="n">
        <f aca="false">S609/(U609+0.0001)</f>
        <v>0</v>
      </c>
      <c r="X609" s="47" t="e">
        <f aca="false">IF(Informed=1,K609,0)</f>
        <v>#N/A</v>
      </c>
      <c r="Y609" s="47" t="n">
        <f aca="false">IF(Informed=0,K609,0)</f>
        <v>0</v>
      </c>
      <c r="Z609" s="47" t="e">
        <f aca="false">IF(Informed=1,N609,0)</f>
        <v>#N/A</v>
      </c>
      <c r="AA609" s="47" t="n">
        <f aca="false">IF(Informed=0,N609,0)</f>
        <v>0</v>
      </c>
      <c r="AB609" s="51" t="e">
        <f aca="false">IF(Arterial=0,IF(Informed=1,1,0),0)</f>
        <v>#N/A</v>
      </c>
      <c r="AC609" s="51" t="e">
        <f aca="false">IF(Arterial=0,IF(Informed=0,1,0),0)</f>
        <v>#N/A</v>
      </c>
      <c r="AD609" s="51" t="e">
        <f aca="false">IF(Arterial=1,IF(Informed=1,1,0),0)</f>
        <v>#N/A</v>
      </c>
      <c r="AE609" s="51" t="e">
        <f aca="false">IF(Arterial=1,IF(Informed=0,1,0),0)</f>
        <v>#N/A</v>
      </c>
      <c r="AF609" s="44" t="e">
        <f aca="false">IF(AB609=1,(X609-G$1030)^2,0)</f>
        <v>#N/A</v>
      </c>
      <c r="AG609" s="44" t="e">
        <f aca="false">IF(AC609=1,(Y609-H$1030)^2,0)</f>
        <v>#N/A</v>
      </c>
      <c r="AH609" s="44" t="e">
        <f aca="false">IF(AD609=1,(Z609-I$1030)^2,0)</f>
        <v>#N/A</v>
      </c>
      <c r="AI609" s="44" t="e">
        <f aca="false">IF(AE609=1,(AA609-J$1030)^2,0)</f>
        <v>#N/A</v>
      </c>
    </row>
    <row r="610" customFormat="false" ht="12" hidden="false" customHeight="false" outlineLevel="0" collapsed="false">
      <c r="A610" s="29" t="n">
        <v>593</v>
      </c>
      <c r="B610" s="45" t="n">
        <f aca="true">IF(RAND()&lt;$D$8,1,0)</f>
        <v>1</v>
      </c>
      <c r="C610" s="34" t="n">
        <f aca="true">-LN(RAND())/$D$2</f>
        <v>1.73524354628334</v>
      </c>
      <c r="D610" s="46" t="n">
        <f aca="false">D609+C610</f>
        <v>934.021893667474</v>
      </c>
      <c r="E610" s="47" t="e">
        <f aca="false">MAX($D$3,(1+P609-VLOOKUP(VALUE(D610),$J$18:$Q609,7,TRUE()))*$D$3)</f>
        <v>#N/A</v>
      </c>
      <c r="F610" s="47" t="e">
        <f aca="false">MAX($D$4,(1+Q609-VLOOKUP(VALUE(D610),$M$18:$Q609,5,TRUE()))*$D$4)</f>
        <v>#N/A</v>
      </c>
      <c r="G610" s="48" t="n">
        <v>0.5</v>
      </c>
      <c r="H610" s="46" t="e">
        <f aca="true">IF((B610=1),(IF((F610&lt;E610),1,(IF((F610=E610),(IF(RAND()&lt;G610,1,0)),0)))),(IF((RAND()&lt;G610),1,0)))</f>
        <v>#N/A</v>
      </c>
      <c r="I610" s="46" t="e">
        <f aca="true">IF((H610=1),0,$D$3+$D$5*(RAND()-0.5))</f>
        <v>#N/A</v>
      </c>
      <c r="J610" s="46" t="e">
        <f aca="false">I610+MAX(D610,J609)</f>
        <v>#N/A</v>
      </c>
      <c r="K610" s="46" t="e">
        <f aca="false">IF((H610=0),J610-D610,0)</f>
        <v>#N/A</v>
      </c>
      <c r="L610" s="46" t="e">
        <f aca="true">IF(($H610=0),0,$D$4+$D$5*(RAND()-0.5))</f>
        <v>#N/A</v>
      </c>
      <c r="M610" s="46" t="e">
        <f aca="false">L610+MAX(D610,M609)</f>
        <v>#N/A</v>
      </c>
      <c r="N610" s="46" t="e">
        <f aca="false">IF((H610=1),M610-D610,0)</f>
        <v>#N/A</v>
      </c>
      <c r="O610" s="29" t="n">
        <v>593</v>
      </c>
      <c r="P610" s="49" t="e">
        <f aca="false">IF((Arterial=0),P609+1,P609)</f>
        <v>#N/A</v>
      </c>
      <c r="Q610" s="49" t="e">
        <f aca="false">IF((Arterial=1),Q609+1,Q609)</f>
        <v>#N/A</v>
      </c>
      <c r="R610" s="50" t="n">
        <f aca="false">IF((RESET=1),0,R610+K610)</f>
        <v>0</v>
      </c>
      <c r="S610" s="19" t="n">
        <f aca="false">IF(RESET=1,0,S610+N610)</f>
        <v>0</v>
      </c>
      <c r="T610" s="0" t="n">
        <f aca="false">IF(RESET=1,0,T610+IF(H610=0,1,0))</f>
        <v>0</v>
      </c>
      <c r="U610" s="0" t="n">
        <f aca="false">IF(RESET=1,0,U610+H610)</f>
        <v>0</v>
      </c>
      <c r="V610" s="19" t="n">
        <f aca="false">R610/(T610+0.00001)</f>
        <v>0</v>
      </c>
      <c r="W610" s="19" t="n">
        <f aca="false">S610/(U610+0.0001)</f>
        <v>0</v>
      </c>
      <c r="X610" s="47" t="e">
        <f aca="false">IF(Informed=1,K610,0)</f>
        <v>#N/A</v>
      </c>
      <c r="Y610" s="47" t="n">
        <f aca="false">IF(Informed=0,K610,0)</f>
        <v>0</v>
      </c>
      <c r="Z610" s="47" t="e">
        <f aca="false">IF(Informed=1,N610,0)</f>
        <v>#N/A</v>
      </c>
      <c r="AA610" s="47" t="n">
        <f aca="false">IF(Informed=0,N610,0)</f>
        <v>0</v>
      </c>
      <c r="AB610" s="51" t="e">
        <f aca="false">IF(Arterial=0,IF(Informed=1,1,0),0)</f>
        <v>#N/A</v>
      </c>
      <c r="AC610" s="51" t="e">
        <f aca="false">IF(Arterial=0,IF(Informed=0,1,0),0)</f>
        <v>#N/A</v>
      </c>
      <c r="AD610" s="51" t="e">
        <f aca="false">IF(Arterial=1,IF(Informed=1,1,0),0)</f>
        <v>#N/A</v>
      </c>
      <c r="AE610" s="51" t="e">
        <f aca="false">IF(Arterial=1,IF(Informed=0,1,0),0)</f>
        <v>#N/A</v>
      </c>
      <c r="AF610" s="44" t="e">
        <f aca="false">IF(AB610=1,(X610-G$1030)^2,0)</f>
        <v>#N/A</v>
      </c>
      <c r="AG610" s="44" t="e">
        <f aca="false">IF(AC610=1,(Y610-H$1030)^2,0)</f>
        <v>#N/A</v>
      </c>
      <c r="AH610" s="44" t="e">
        <f aca="false">IF(AD610=1,(Z610-I$1030)^2,0)</f>
        <v>#N/A</v>
      </c>
      <c r="AI610" s="44" t="e">
        <f aca="false">IF(AE610=1,(AA610-J$1030)^2,0)</f>
        <v>#N/A</v>
      </c>
    </row>
    <row r="611" customFormat="false" ht="12" hidden="false" customHeight="false" outlineLevel="0" collapsed="false">
      <c r="A611" s="29" t="n">
        <v>594</v>
      </c>
      <c r="B611" s="45" t="n">
        <f aca="true">IF(RAND()&lt;$D$8,1,0)</f>
        <v>1</v>
      </c>
      <c r="C611" s="34" t="n">
        <f aca="true">-LN(RAND())/$D$2</f>
        <v>0.882553721155089</v>
      </c>
      <c r="D611" s="46" t="n">
        <f aca="false">D610+C611</f>
        <v>934.904447388629</v>
      </c>
      <c r="E611" s="47" t="e">
        <f aca="false">MAX($D$3,(1+P610-VLOOKUP(VALUE(D611),$J$18:$Q610,7,TRUE()))*$D$3)</f>
        <v>#N/A</v>
      </c>
      <c r="F611" s="47" t="e">
        <f aca="false">MAX($D$4,(1+Q610-VLOOKUP(VALUE(D611),$M$18:$Q610,5,TRUE()))*$D$4)</f>
        <v>#N/A</v>
      </c>
      <c r="G611" s="48" t="n">
        <v>0.5</v>
      </c>
      <c r="H611" s="46" t="e">
        <f aca="true">IF((B611=1),(IF((F611&lt;E611),1,(IF((F611=E611),(IF(RAND()&lt;G611,1,0)),0)))),(IF((RAND()&lt;G611),1,0)))</f>
        <v>#N/A</v>
      </c>
      <c r="I611" s="46" t="e">
        <f aca="true">IF((H611=1),0,$D$3+$D$5*(RAND()-0.5))</f>
        <v>#N/A</v>
      </c>
      <c r="J611" s="46" t="e">
        <f aca="false">I611+MAX(D611,J610)</f>
        <v>#N/A</v>
      </c>
      <c r="K611" s="46" t="e">
        <f aca="false">IF((H611=0),J611-D611,0)</f>
        <v>#N/A</v>
      </c>
      <c r="L611" s="46" t="e">
        <f aca="true">IF(($H611=0),0,$D$4+$D$5*(RAND()-0.5))</f>
        <v>#N/A</v>
      </c>
      <c r="M611" s="46" t="e">
        <f aca="false">L611+MAX(D611,M610)</f>
        <v>#N/A</v>
      </c>
      <c r="N611" s="46" t="e">
        <f aca="false">IF((H611=1),M611-D611,0)</f>
        <v>#N/A</v>
      </c>
      <c r="O611" s="29" t="n">
        <v>594</v>
      </c>
      <c r="P611" s="49" t="e">
        <f aca="false">IF((Arterial=0),P610+1,P610)</f>
        <v>#N/A</v>
      </c>
      <c r="Q611" s="49" t="e">
        <f aca="false">IF((Arterial=1),Q610+1,Q610)</f>
        <v>#N/A</v>
      </c>
      <c r="R611" s="50" t="n">
        <f aca="false">IF((RESET=1),0,R611+K611)</f>
        <v>0</v>
      </c>
      <c r="S611" s="19" t="n">
        <f aca="false">IF(RESET=1,0,S611+N611)</f>
        <v>0</v>
      </c>
      <c r="T611" s="0" t="n">
        <f aca="false">IF(RESET=1,0,T611+IF(H611=0,1,0))</f>
        <v>0</v>
      </c>
      <c r="U611" s="0" t="n">
        <f aca="false">IF(RESET=1,0,U611+H611)</f>
        <v>0</v>
      </c>
      <c r="V611" s="19" t="n">
        <f aca="false">R611/(T611+0.00001)</f>
        <v>0</v>
      </c>
      <c r="W611" s="19" t="n">
        <f aca="false">S611/(U611+0.0001)</f>
        <v>0</v>
      </c>
      <c r="X611" s="47" t="e">
        <f aca="false">IF(Informed=1,K611,0)</f>
        <v>#N/A</v>
      </c>
      <c r="Y611" s="47" t="n">
        <f aca="false">IF(Informed=0,K611,0)</f>
        <v>0</v>
      </c>
      <c r="Z611" s="47" t="e">
        <f aca="false">IF(Informed=1,N611,0)</f>
        <v>#N/A</v>
      </c>
      <c r="AA611" s="47" t="n">
        <f aca="false">IF(Informed=0,N611,0)</f>
        <v>0</v>
      </c>
      <c r="AB611" s="51" t="e">
        <f aca="false">IF(Arterial=0,IF(Informed=1,1,0),0)</f>
        <v>#N/A</v>
      </c>
      <c r="AC611" s="51" t="e">
        <f aca="false">IF(Arterial=0,IF(Informed=0,1,0),0)</f>
        <v>#N/A</v>
      </c>
      <c r="AD611" s="51" t="e">
        <f aca="false">IF(Arterial=1,IF(Informed=1,1,0),0)</f>
        <v>#N/A</v>
      </c>
      <c r="AE611" s="51" t="e">
        <f aca="false">IF(Arterial=1,IF(Informed=0,1,0),0)</f>
        <v>#N/A</v>
      </c>
      <c r="AF611" s="44" t="e">
        <f aca="false">IF(AB611=1,(X611-G$1030)^2,0)</f>
        <v>#N/A</v>
      </c>
      <c r="AG611" s="44" t="e">
        <f aca="false">IF(AC611=1,(Y611-H$1030)^2,0)</f>
        <v>#N/A</v>
      </c>
      <c r="AH611" s="44" t="e">
        <f aca="false">IF(AD611=1,(Z611-I$1030)^2,0)</f>
        <v>#N/A</v>
      </c>
      <c r="AI611" s="44" t="e">
        <f aca="false">IF(AE611=1,(AA611-J$1030)^2,0)</f>
        <v>#N/A</v>
      </c>
    </row>
    <row r="612" customFormat="false" ht="12" hidden="false" customHeight="false" outlineLevel="0" collapsed="false">
      <c r="A612" s="29" t="n">
        <v>595</v>
      </c>
      <c r="B612" s="45" t="n">
        <f aca="true">IF(RAND()&lt;$D$8,1,0)</f>
        <v>1</v>
      </c>
      <c r="C612" s="34" t="n">
        <f aca="true">-LN(RAND())/$D$2</f>
        <v>0.86080675020465</v>
      </c>
      <c r="D612" s="46" t="n">
        <f aca="false">D611+C612</f>
        <v>935.765254138834</v>
      </c>
      <c r="E612" s="47" t="e">
        <f aca="false">MAX($D$3,(1+P611-VLOOKUP(VALUE(D612),$J$18:$Q611,7,TRUE()))*$D$3)</f>
        <v>#N/A</v>
      </c>
      <c r="F612" s="47" t="e">
        <f aca="false">MAX($D$4,(1+Q611-VLOOKUP(VALUE(D612),$M$18:$Q611,5,TRUE()))*$D$4)</f>
        <v>#N/A</v>
      </c>
      <c r="G612" s="48" t="n">
        <v>0.5</v>
      </c>
      <c r="H612" s="46" t="e">
        <f aca="true">IF((B612=1),(IF((F612&lt;E612),1,(IF((F612=E612),(IF(RAND()&lt;G612,1,0)),0)))),(IF((RAND()&lt;G612),1,0)))</f>
        <v>#N/A</v>
      </c>
      <c r="I612" s="46" t="e">
        <f aca="true">IF((H612=1),0,$D$3+$D$5*(RAND()-0.5))</f>
        <v>#N/A</v>
      </c>
      <c r="J612" s="46" t="e">
        <f aca="false">I612+MAX(D612,J611)</f>
        <v>#N/A</v>
      </c>
      <c r="K612" s="46" t="e">
        <f aca="false">IF((H612=0),J612-D612,0)</f>
        <v>#N/A</v>
      </c>
      <c r="L612" s="46" t="e">
        <f aca="true">IF(($H612=0),0,$D$4+$D$5*(RAND()-0.5))</f>
        <v>#N/A</v>
      </c>
      <c r="M612" s="46" t="e">
        <f aca="false">L612+MAX(D612,M611)</f>
        <v>#N/A</v>
      </c>
      <c r="N612" s="46" t="e">
        <f aca="false">IF((H612=1),M612-D612,0)</f>
        <v>#N/A</v>
      </c>
      <c r="O612" s="29" t="n">
        <v>595</v>
      </c>
      <c r="P612" s="49" t="e">
        <f aca="false">IF((Arterial=0),P611+1,P611)</f>
        <v>#N/A</v>
      </c>
      <c r="Q612" s="49" t="e">
        <f aca="false">IF((Arterial=1),Q611+1,Q611)</f>
        <v>#N/A</v>
      </c>
      <c r="R612" s="50" t="n">
        <f aca="false">IF((RESET=1),0,R612+K612)</f>
        <v>0</v>
      </c>
      <c r="S612" s="19" t="n">
        <f aca="false">IF(RESET=1,0,S612+N612)</f>
        <v>0</v>
      </c>
      <c r="T612" s="0" t="n">
        <f aca="false">IF(RESET=1,0,T612+IF(H612=0,1,0))</f>
        <v>0</v>
      </c>
      <c r="U612" s="0" t="n">
        <f aca="false">IF(RESET=1,0,U612+H612)</f>
        <v>0</v>
      </c>
      <c r="V612" s="19" t="n">
        <f aca="false">R612/(T612+0.00001)</f>
        <v>0</v>
      </c>
      <c r="W612" s="19" t="n">
        <f aca="false">S612/(U612+0.0001)</f>
        <v>0</v>
      </c>
      <c r="X612" s="47" t="e">
        <f aca="false">IF(Informed=1,K612,0)</f>
        <v>#N/A</v>
      </c>
      <c r="Y612" s="47" t="n">
        <f aca="false">IF(Informed=0,K612,0)</f>
        <v>0</v>
      </c>
      <c r="Z612" s="47" t="e">
        <f aca="false">IF(Informed=1,N612,0)</f>
        <v>#N/A</v>
      </c>
      <c r="AA612" s="47" t="n">
        <f aca="false">IF(Informed=0,N612,0)</f>
        <v>0</v>
      </c>
      <c r="AB612" s="51" t="e">
        <f aca="false">IF(Arterial=0,IF(Informed=1,1,0),0)</f>
        <v>#N/A</v>
      </c>
      <c r="AC612" s="51" t="e">
        <f aca="false">IF(Arterial=0,IF(Informed=0,1,0),0)</f>
        <v>#N/A</v>
      </c>
      <c r="AD612" s="51" t="e">
        <f aca="false">IF(Arterial=1,IF(Informed=1,1,0),0)</f>
        <v>#N/A</v>
      </c>
      <c r="AE612" s="51" t="e">
        <f aca="false">IF(Arterial=1,IF(Informed=0,1,0),0)</f>
        <v>#N/A</v>
      </c>
      <c r="AF612" s="44" t="e">
        <f aca="false">IF(AB612=1,(X612-G$1030)^2,0)</f>
        <v>#N/A</v>
      </c>
      <c r="AG612" s="44" t="e">
        <f aca="false">IF(AC612=1,(Y612-H$1030)^2,0)</f>
        <v>#N/A</v>
      </c>
      <c r="AH612" s="44" t="e">
        <f aca="false">IF(AD612=1,(Z612-I$1030)^2,0)</f>
        <v>#N/A</v>
      </c>
      <c r="AI612" s="44" t="e">
        <f aca="false">IF(AE612=1,(AA612-J$1030)^2,0)</f>
        <v>#N/A</v>
      </c>
    </row>
    <row r="613" customFormat="false" ht="12" hidden="false" customHeight="false" outlineLevel="0" collapsed="false">
      <c r="A613" s="29" t="n">
        <v>596</v>
      </c>
      <c r="B613" s="45" t="n">
        <f aca="true">IF(RAND()&lt;$D$8,1,0)</f>
        <v>1</v>
      </c>
      <c r="C613" s="34" t="n">
        <f aca="true">-LN(RAND())/$D$2</f>
        <v>1.55023108609795</v>
      </c>
      <c r="D613" s="46" t="n">
        <f aca="false">D612+C613</f>
        <v>937.315485224932</v>
      </c>
      <c r="E613" s="47" t="e">
        <f aca="false">MAX($D$3,(1+P612-VLOOKUP(VALUE(D613),$J$18:$Q612,7,TRUE()))*$D$3)</f>
        <v>#N/A</v>
      </c>
      <c r="F613" s="47" t="e">
        <f aca="false">MAX($D$4,(1+Q612-VLOOKUP(VALUE(D613),$M$18:$Q612,5,TRUE()))*$D$4)</f>
        <v>#N/A</v>
      </c>
      <c r="G613" s="48" t="n">
        <v>0.5</v>
      </c>
      <c r="H613" s="46" t="e">
        <f aca="true">IF((B613=1),(IF((F613&lt;E613),1,(IF((F613=E613),(IF(RAND()&lt;G613,1,0)),0)))),(IF((RAND()&lt;G613),1,0)))</f>
        <v>#N/A</v>
      </c>
      <c r="I613" s="46" t="e">
        <f aca="true">IF((H613=1),0,$D$3+$D$5*(RAND()-0.5))</f>
        <v>#N/A</v>
      </c>
      <c r="J613" s="46" t="e">
        <f aca="false">I613+MAX(D613,J612)</f>
        <v>#N/A</v>
      </c>
      <c r="K613" s="46" t="e">
        <f aca="false">IF((H613=0),J613-D613,0)</f>
        <v>#N/A</v>
      </c>
      <c r="L613" s="46" t="e">
        <f aca="true">IF(($H613=0),0,$D$4+$D$5*(RAND()-0.5))</f>
        <v>#N/A</v>
      </c>
      <c r="M613" s="46" t="e">
        <f aca="false">L613+MAX(D613,M612)</f>
        <v>#N/A</v>
      </c>
      <c r="N613" s="46" t="e">
        <f aca="false">IF((H613=1),M613-D613,0)</f>
        <v>#N/A</v>
      </c>
      <c r="O613" s="29" t="n">
        <v>596</v>
      </c>
      <c r="P613" s="49" t="e">
        <f aca="false">IF((Arterial=0),P612+1,P612)</f>
        <v>#N/A</v>
      </c>
      <c r="Q613" s="49" t="e">
        <f aca="false">IF((Arterial=1),Q612+1,Q612)</f>
        <v>#N/A</v>
      </c>
      <c r="R613" s="50" t="n">
        <f aca="false">IF((RESET=1),0,R613+K613)</f>
        <v>0</v>
      </c>
      <c r="S613" s="19" t="n">
        <f aca="false">IF(RESET=1,0,S613+N613)</f>
        <v>0</v>
      </c>
      <c r="T613" s="0" t="n">
        <f aca="false">IF(RESET=1,0,T613+IF(H613=0,1,0))</f>
        <v>0</v>
      </c>
      <c r="U613" s="0" t="n">
        <f aca="false">IF(RESET=1,0,U613+H613)</f>
        <v>0</v>
      </c>
      <c r="V613" s="19" t="n">
        <f aca="false">R613/(T613+0.00001)</f>
        <v>0</v>
      </c>
      <c r="W613" s="19" t="n">
        <f aca="false">S613/(U613+0.0001)</f>
        <v>0</v>
      </c>
      <c r="X613" s="47" t="e">
        <f aca="false">IF(Informed=1,K613,0)</f>
        <v>#N/A</v>
      </c>
      <c r="Y613" s="47" t="n">
        <f aca="false">IF(Informed=0,K613,0)</f>
        <v>0</v>
      </c>
      <c r="Z613" s="47" t="e">
        <f aca="false">IF(Informed=1,N613,0)</f>
        <v>#N/A</v>
      </c>
      <c r="AA613" s="47" t="n">
        <f aca="false">IF(Informed=0,N613,0)</f>
        <v>0</v>
      </c>
      <c r="AB613" s="51" t="e">
        <f aca="false">IF(Arterial=0,IF(Informed=1,1,0),0)</f>
        <v>#N/A</v>
      </c>
      <c r="AC613" s="51" t="e">
        <f aca="false">IF(Arterial=0,IF(Informed=0,1,0),0)</f>
        <v>#N/A</v>
      </c>
      <c r="AD613" s="51" t="e">
        <f aca="false">IF(Arterial=1,IF(Informed=1,1,0),0)</f>
        <v>#N/A</v>
      </c>
      <c r="AE613" s="51" t="e">
        <f aca="false">IF(Arterial=1,IF(Informed=0,1,0),0)</f>
        <v>#N/A</v>
      </c>
      <c r="AF613" s="44" t="e">
        <f aca="false">IF(AB613=1,(X613-G$1030)^2,0)</f>
        <v>#N/A</v>
      </c>
      <c r="AG613" s="44" t="e">
        <f aca="false">IF(AC613=1,(Y613-H$1030)^2,0)</f>
        <v>#N/A</v>
      </c>
      <c r="AH613" s="44" t="e">
        <f aca="false">IF(AD613=1,(Z613-I$1030)^2,0)</f>
        <v>#N/A</v>
      </c>
      <c r="AI613" s="44" t="e">
        <f aca="false">IF(AE613=1,(AA613-J$1030)^2,0)</f>
        <v>#N/A</v>
      </c>
    </row>
    <row r="614" customFormat="false" ht="12" hidden="false" customHeight="false" outlineLevel="0" collapsed="false">
      <c r="A614" s="29" t="n">
        <v>597</v>
      </c>
      <c r="B614" s="45" t="n">
        <f aca="true">IF(RAND()&lt;$D$8,1,0)</f>
        <v>1</v>
      </c>
      <c r="C614" s="34" t="n">
        <f aca="true">-LN(RAND())/$D$2</f>
        <v>0.0919573040422463</v>
      </c>
      <c r="D614" s="46" t="n">
        <f aca="false">D613+C614</f>
        <v>937.407442528974</v>
      </c>
      <c r="E614" s="47" t="e">
        <f aca="false">MAX($D$3,(1+P613-VLOOKUP(VALUE(D614),$J$18:$Q613,7,TRUE()))*$D$3)</f>
        <v>#N/A</v>
      </c>
      <c r="F614" s="47" t="e">
        <f aca="false">MAX($D$4,(1+Q613-VLOOKUP(VALUE(D614),$M$18:$Q613,5,TRUE()))*$D$4)</f>
        <v>#N/A</v>
      </c>
      <c r="G614" s="48" t="n">
        <v>0.5</v>
      </c>
      <c r="H614" s="46" t="e">
        <f aca="true">IF((B614=1),(IF((F614&lt;E614),1,(IF((F614=E614),(IF(RAND()&lt;G614,1,0)),0)))),(IF((RAND()&lt;G614),1,0)))</f>
        <v>#N/A</v>
      </c>
      <c r="I614" s="46" t="e">
        <f aca="true">IF((H614=1),0,$D$3+$D$5*(RAND()-0.5))</f>
        <v>#N/A</v>
      </c>
      <c r="J614" s="46" t="e">
        <f aca="false">I614+MAX(D614,J613)</f>
        <v>#N/A</v>
      </c>
      <c r="K614" s="46" t="e">
        <f aca="false">IF((H614=0),J614-D614,0)</f>
        <v>#N/A</v>
      </c>
      <c r="L614" s="46" t="e">
        <f aca="true">IF(($H614=0),0,$D$4+$D$5*(RAND()-0.5))</f>
        <v>#N/A</v>
      </c>
      <c r="M614" s="46" t="e">
        <f aca="false">L614+MAX(D614,M613)</f>
        <v>#N/A</v>
      </c>
      <c r="N614" s="46" t="e">
        <f aca="false">IF((H614=1),M614-D614,0)</f>
        <v>#N/A</v>
      </c>
      <c r="O614" s="29" t="n">
        <v>597</v>
      </c>
      <c r="P614" s="49" t="e">
        <f aca="false">IF((Arterial=0),P613+1,P613)</f>
        <v>#N/A</v>
      </c>
      <c r="Q614" s="49" t="e">
        <f aca="false">IF((Arterial=1),Q613+1,Q613)</f>
        <v>#N/A</v>
      </c>
      <c r="R614" s="50" t="n">
        <f aca="false">IF((RESET=1),0,R614+K614)</f>
        <v>0</v>
      </c>
      <c r="S614" s="19" t="n">
        <f aca="false">IF(RESET=1,0,S614+N614)</f>
        <v>0</v>
      </c>
      <c r="T614" s="0" t="n">
        <f aca="false">IF(RESET=1,0,T614+IF(H614=0,1,0))</f>
        <v>0</v>
      </c>
      <c r="U614" s="0" t="n">
        <f aca="false">IF(RESET=1,0,U614+H614)</f>
        <v>0</v>
      </c>
      <c r="V614" s="19" t="n">
        <f aca="false">R614/(T614+0.00001)</f>
        <v>0</v>
      </c>
      <c r="W614" s="19" t="n">
        <f aca="false">S614/(U614+0.0001)</f>
        <v>0</v>
      </c>
      <c r="X614" s="47" t="e">
        <f aca="false">IF(Informed=1,K614,0)</f>
        <v>#N/A</v>
      </c>
      <c r="Y614" s="47" t="n">
        <f aca="false">IF(Informed=0,K614,0)</f>
        <v>0</v>
      </c>
      <c r="Z614" s="47" t="e">
        <f aca="false">IF(Informed=1,N614,0)</f>
        <v>#N/A</v>
      </c>
      <c r="AA614" s="47" t="n">
        <f aca="false">IF(Informed=0,N614,0)</f>
        <v>0</v>
      </c>
      <c r="AB614" s="51" t="e">
        <f aca="false">IF(Arterial=0,IF(Informed=1,1,0),0)</f>
        <v>#N/A</v>
      </c>
      <c r="AC614" s="51" t="e">
        <f aca="false">IF(Arterial=0,IF(Informed=0,1,0),0)</f>
        <v>#N/A</v>
      </c>
      <c r="AD614" s="51" t="e">
        <f aca="false">IF(Arterial=1,IF(Informed=1,1,0),0)</f>
        <v>#N/A</v>
      </c>
      <c r="AE614" s="51" t="e">
        <f aca="false">IF(Arterial=1,IF(Informed=0,1,0),0)</f>
        <v>#N/A</v>
      </c>
      <c r="AF614" s="44" t="e">
        <f aca="false">IF(AB614=1,(X614-G$1030)^2,0)</f>
        <v>#N/A</v>
      </c>
      <c r="AG614" s="44" t="e">
        <f aca="false">IF(AC614=1,(Y614-H$1030)^2,0)</f>
        <v>#N/A</v>
      </c>
      <c r="AH614" s="44" t="e">
        <f aca="false">IF(AD614=1,(Z614-I$1030)^2,0)</f>
        <v>#N/A</v>
      </c>
      <c r="AI614" s="44" t="e">
        <f aca="false">IF(AE614=1,(AA614-J$1030)^2,0)</f>
        <v>#N/A</v>
      </c>
    </row>
    <row r="615" customFormat="false" ht="12" hidden="false" customHeight="false" outlineLevel="0" collapsed="false">
      <c r="A615" s="29" t="n">
        <v>598</v>
      </c>
      <c r="B615" s="45" t="n">
        <f aca="true">IF(RAND()&lt;$D$8,1,0)</f>
        <v>1</v>
      </c>
      <c r="C615" s="34" t="n">
        <f aca="true">-LN(RAND())/$D$2</f>
        <v>3.40992064862106</v>
      </c>
      <c r="D615" s="46" t="n">
        <f aca="false">D614+C615</f>
        <v>940.817363177595</v>
      </c>
      <c r="E615" s="47" t="e">
        <f aca="false">MAX($D$3,(1+P614-VLOOKUP(VALUE(D615),$J$18:$Q614,7,TRUE()))*$D$3)</f>
        <v>#N/A</v>
      </c>
      <c r="F615" s="47" t="e">
        <f aca="false">MAX($D$4,(1+Q614-VLOOKUP(VALUE(D615),$M$18:$Q614,5,TRUE()))*$D$4)</f>
        <v>#N/A</v>
      </c>
      <c r="G615" s="48" t="n">
        <v>0.5</v>
      </c>
      <c r="H615" s="46" t="e">
        <f aca="true">IF((B615=1),(IF((F615&lt;E615),1,(IF((F615=E615),(IF(RAND()&lt;G615,1,0)),0)))),(IF((RAND()&lt;G615),1,0)))</f>
        <v>#N/A</v>
      </c>
      <c r="I615" s="46" t="e">
        <f aca="true">IF((H615=1),0,$D$3+$D$5*(RAND()-0.5))</f>
        <v>#N/A</v>
      </c>
      <c r="J615" s="46" t="e">
        <f aca="false">I615+MAX(D615,J614)</f>
        <v>#N/A</v>
      </c>
      <c r="K615" s="46" t="e">
        <f aca="false">IF((H615=0),J615-D615,0)</f>
        <v>#N/A</v>
      </c>
      <c r="L615" s="46" t="e">
        <f aca="true">IF(($H615=0),0,$D$4+$D$5*(RAND()-0.5))</f>
        <v>#N/A</v>
      </c>
      <c r="M615" s="46" t="e">
        <f aca="false">L615+MAX(D615,M614)</f>
        <v>#N/A</v>
      </c>
      <c r="N615" s="46" t="e">
        <f aca="false">IF((H615=1),M615-D615,0)</f>
        <v>#N/A</v>
      </c>
      <c r="O615" s="29" t="n">
        <v>598</v>
      </c>
      <c r="P615" s="49" t="e">
        <f aca="false">IF((Arterial=0),P614+1,P614)</f>
        <v>#N/A</v>
      </c>
      <c r="Q615" s="49" t="e">
        <f aca="false">IF((Arterial=1),Q614+1,Q614)</f>
        <v>#N/A</v>
      </c>
      <c r="R615" s="50" t="n">
        <f aca="false">IF((RESET=1),0,R615+K615)</f>
        <v>0</v>
      </c>
      <c r="S615" s="19" t="n">
        <f aca="false">IF(RESET=1,0,S615+N615)</f>
        <v>0</v>
      </c>
      <c r="T615" s="0" t="n">
        <f aca="false">IF(RESET=1,0,T615+IF(H615=0,1,0))</f>
        <v>0</v>
      </c>
      <c r="U615" s="0" t="n">
        <f aca="false">IF(RESET=1,0,U615+H615)</f>
        <v>0</v>
      </c>
      <c r="V615" s="19" t="n">
        <f aca="false">R615/(T615+0.00001)</f>
        <v>0</v>
      </c>
      <c r="W615" s="19" t="n">
        <f aca="false">S615/(U615+0.0001)</f>
        <v>0</v>
      </c>
      <c r="X615" s="47" t="e">
        <f aca="false">IF(Informed=1,K615,0)</f>
        <v>#N/A</v>
      </c>
      <c r="Y615" s="47" t="n">
        <f aca="false">IF(Informed=0,K615,0)</f>
        <v>0</v>
      </c>
      <c r="Z615" s="47" t="e">
        <f aca="false">IF(Informed=1,N615,0)</f>
        <v>#N/A</v>
      </c>
      <c r="AA615" s="47" t="n">
        <f aca="false">IF(Informed=0,N615,0)</f>
        <v>0</v>
      </c>
      <c r="AB615" s="51" t="e">
        <f aca="false">IF(Arterial=0,IF(Informed=1,1,0),0)</f>
        <v>#N/A</v>
      </c>
      <c r="AC615" s="51" t="e">
        <f aca="false">IF(Arterial=0,IF(Informed=0,1,0),0)</f>
        <v>#N/A</v>
      </c>
      <c r="AD615" s="51" t="e">
        <f aca="false">IF(Arterial=1,IF(Informed=1,1,0),0)</f>
        <v>#N/A</v>
      </c>
      <c r="AE615" s="51" t="e">
        <f aca="false">IF(Arterial=1,IF(Informed=0,1,0),0)</f>
        <v>#N/A</v>
      </c>
      <c r="AF615" s="44" t="e">
        <f aca="false">IF(AB615=1,(X615-G$1030)^2,0)</f>
        <v>#N/A</v>
      </c>
      <c r="AG615" s="44" t="e">
        <f aca="false">IF(AC615=1,(Y615-H$1030)^2,0)</f>
        <v>#N/A</v>
      </c>
      <c r="AH615" s="44" t="e">
        <f aca="false">IF(AD615=1,(Z615-I$1030)^2,0)</f>
        <v>#N/A</v>
      </c>
      <c r="AI615" s="44" t="e">
        <f aca="false">IF(AE615=1,(AA615-J$1030)^2,0)</f>
        <v>#N/A</v>
      </c>
    </row>
    <row r="616" customFormat="false" ht="12" hidden="false" customHeight="false" outlineLevel="0" collapsed="false">
      <c r="A616" s="29" t="n">
        <v>599</v>
      </c>
      <c r="B616" s="45" t="n">
        <f aca="true">IF(RAND()&lt;$D$8,1,0)</f>
        <v>1</v>
      </c>
      <c r="C616" s="34" t="n">
        <f aca="true">-LN(RAND())/$D$2</f>
        <v>0.100186408782799</v>
      </c>
      <c r="D616" s="46" t="n">
        <f aca="false">D615+C616</f>
        <v>940.917549586378</v>
      </c>
      <c r="E616" s="47" t="e">
        <f aca="false">MAX($D$3,(1+P615-VLOOKUP(VALUE(D616),$J$18:$Q615,7,TRUE()))*$D$3)</f>
        <v>#N/A</v>
      </c>
      <c r="F616" s="47" t="e">
        <f aca="false">MAX($D$4,(1+Q615-VLOOKUP(VALUE(D616),$M$18:$Q615,5,TRUE()))*$D$4)</f>
        <v>#N/A</v>
      </c>
      <c r="G616" s="48" t="n">
        <v>0.5</v>
      </c>
      <c r="H616" s="46" t="e">
        <f aca="true">IF((B616=1),(IF((F616&lt;E616),1,(IF((F616=E616),(IF(RAND()&lt;G616,1,0)),0)))),(IF((RAND()&lt;G616),1,0)))</f>
        <v>#N/A</v>
      </c>
      <c r="I616" s="46" t="e">
        <f aca="true">IF((H616=1),0,$D$3+$D$5*(RAND()-0.5))</f>
        <v>#N/A</v>
      </c>
      <c r="J616" s="46" t="e">
        <f aca="false">I616+MAX(D616,J615)</f>
        <v>#N/A</v>
      </c>
      <c r="K616" s="46" t="e">
        <f aca="false">IF((H616=0),J616-D616,0)</f>
        <v>#N/A</v>
      </c>
      <c r="L616" s="46" t="e">
        <f aca="true">IF(($H616=0),0,$D$4+$D$5*(RAND()-0.5))</f>
        <v>#N/A</v>
      </c>
      <c r="M616" s="46" t="e">
        <f aca="false">L616+MAX(D616,M615)</f>
        <v>#N/A</v>
      </c>
      <c r="N616" s="46" t="e">
        <f aca="false">IF((H616=1),M616-D616,0)</f>
        <v>#N/A</v>
      </c>
      <c r="O616" s="29" t="n">
        <v>599</v>
      </c>
      <c r="P616" s="49" t="e">
        <f aca="false">IF((Arterial=0),P615+1,P615)</f>
        <v>#N/A</v>
      </c>
      <c r="Q616" s="49" t="e">
        <f aca="false">IF((Arterial=1),Q615+1,Q615)</f>
        <v>#N/A</v>
      </c>
      <c r="R616" s="50" t="n">
        <f aca="false">IF((RESET=1),0,R616+K616)</f>
        <v>0</v>
      </c>
      <c r="S616" s="19" t="n">
        <f aca="false">IF(RESET=1,0,S616+N616)</f>
        <v>0</v>
      </c>
      <c r="T616" s="0" t="n">
        <f aca="false">IF(RESET=1,0,T616+IF(H616=0,1,0))</f>
        <v>0</v>
      </c>
      <c r="U616" s="0" t="n">
        <f aca="false">IF(RESET=1,0,U616+H616)</f>
        <v>0</v>
      </c>
      <c r="V616" s="19" t="n">
        <f aca="false">R616/(T616+0.00001)</f>
        <v>0</v>
      </c>
      <c r="W616" s="19" t="n">
        <f aca="false">S616/(U616+0.0001)</f>
        <v>0</v>
      </c>
      <c r="X616" s="47" t="e">
        <f aca="false">IF(Informed=1,K616,0)</f>
        <v>#N/A</v>
      </c>
      <c r="Y616" s="47" t="n">
        <f aca="false">IF(Informed=0,K616,0)</f>
        <v>0</v>
      </c>
      <c r="Z616" s="47" t="e">
        <f aca="false">IF(Informed=1,N616,0)</f>
        <v>#N/A</v>
      </c>
      <c r="AA616" s="47" t="n">
        <f aca="false">IF(Informed=0,N616,0)</f>
        <v>0</v>
      </c>
      <c r="AB616" s="51" t="e">
        <f aca="false">IF(Arterial=0,IF(Informed=1,1,0),0)</f>
        <v>#N/A</v>
      </c>
      <c r="AC616" s="51" t="e">
        <f aca="false">IF(Arterial=0,IF(Informed=0,1,0),0)</f>
        <v>#N/A</v>
      </c>
      <c r="AD616" s="51" t="e">
        <f aca="false">IF(Arterial=1,IF(Informed=1,1,0),0)</f>
        <v>#N/A</v>
      </c>
      <c r="AE616" s="51" t="e">
        <f aca="false">IF(Arterial=1,IF(Informed=0,1,0),0)</f>
        <v>#N/A</v>
      </c>
      <c r="AF616" s="44" t="e">
        <f aca="false">IF(AB616=1,(X616-G$1030)^2,0)</f>
        <v>#N/A</v>
      </c>
      <c r="AG616" s="44" t="e">
        <f aca="false">IF(AC616=1,(Y616-H$1030)^2,0)</f>
        <v>#N/A</v>
      </c>
      <c r="AH616" s="44" t="e">
        <f aca="false">IF(AD616=1,(Z616-I$1030)^2,0)</f>
        <v>#N/A</v>
      </c>
      <c r="AI616" s="44" t="e">
        <f aca="false">IF(AE616=1,(AA616-J$1030)^2,0)</f>
        <v>#N/A</v>
      </c>
    </row>
    <row r="617" customFormat="false" ht="12" hidden="false" customHeight="false" outlineLevel="0" collapsed="false">
      <c r="A617" s="29" t="n">
        <v>600</v>
      </c>
      <c r="B617" s="45" t="n">
        <f aca="true">IF(RAND()&lt;$D$8,1,0)</f>
        <v>1</v>
      </c>
      <c r="C617" s="34" t="n">
        <f aca="true">-LN(RAND())/$D$2</f>
        <v>2.87933352150625</v>
      </c>
      <c r="D617" s="46" t="n">
        <f aca="false">D616+C617</f>
        <v>943.796883107884</v>
      </c>
      <c r="E617" s="47" t="e">
        <f aca="false">MAX($D$3,(1+P616-VLOOKUP(VALUE(D617),$J$18:$Q616,7,TRUE()))*$D$3)</f>
        <v>#N/A</v>
      </c>
      <c r="F617" s="47" t="e">
        <f aca="false">MAX($D$4,(1+Q616-VLOOKUP(VALUE(D617),$M$18:$Q616,5,TRUE()))*$D$4)</f>
        <v>#N/A</v>
      </c>
      <c r="G617" s="48" t="n">
        <v>0.5</v>
      </c>
      <c r="H617" s="46" t="e">
        <f aca="true">IF((B617=1),(IF((F617&lt;E617),1,(IF((F617=E617),(IF(RAND()&lt;G617,1,0)),0)))),(IF((RAND()&lt;G617),1,0)))</f>
        <v>#N/A</v>
      </c>
      <c r="I617" s="46" t="e">
        <f aca="true">IF((H617=1),0,$D$3+$D$5*(RAND()-0.5))</f>
        <v>#N/A</v>
      </c>
      <c r="J617" s="46" t="e">
        <f aca="false">I617+MAX(D617,J616)</f>
        <v>#N/A</v>
      </c>
      <c r="K617" s="46" t="e">
        <f aca="false">IF((H617=0),J617-D617,0)</f>
        <v>#N/A</v>
      </c>
      <c r="L617" s="46" t="e">
        <f aca="true">IF(($H617=0),0,$D$4+$D$5*(RAND()-0.5))</f>
        <v>#N/A</v>
      </c>
      <c r="M617" s="46" t="e">
        <f aca="false">L617+MAX(D617,M616)</f>
        <v>#N/A</v>
      </c>
      <c r="N617" s="46" t="e">
        <f aca="false">IF((H617=1),M617-D617,0)</f>
        <v>#N/A</v>
      </c>
      <c r="O617" s="29" t="n">
        <v>600</v>
      </c>
      <c r="P617" s="49" t="e">
        <f aca="false">IF((Arterial=0),P616+1,P616)</f>
        <v>#N/A</v>
      </c>
      <c r="Q617" s="49" t="e">
        <f aca="false">IF((Arterial=1),Q616+1,Q616)</f>
        <v>#N/A</v>
      </c>
      <c r="R617" s="50" t="n">
        <f aca="false">IF((RESET=1),0,R617+K617)</f>
        <v>0</v>
      </c>
      <c r="S617" s="19" t="n">
        <f aca="false">IF(RESET=1,0,S617+N617)</f>
        <v>0</v>
      </c>
      <c r="T617" s="0" t="n">
        <f aca="false">IF(RESET=1,0,T617+IF(H617=0,1,0))</f>
        <v>0</v>
      </c>
      <c r="U617" s="0" t="n">
        <f aca="false">IF(RESET=1,0,U617+H617)</f>
        <v>0</v>
      </c>
      <c r="V617" s="19" t="n">
        <f aca="false">R617/(T617+0.00001)</f>
        <v>0</v>
      </c>
      <c r="W617" s="19" t="n">
        <f aca="false">S617/(U617+0.0001)</f>
        <v>0</v>
      </c>
      <c r="X617" s="47" t="e">
        <f aca="false">IF(Informed=1,K617,0)</f>
        <v>#N/A</v>
      </c>
      <c r="Y617" s="47" t="n">
        <f aca="false">IF(Informed=0,K617,0)</f>
        <v>0</v>
      </c>
      <c r="Z617" s="47" t="e">
        <f aca="false">IF(Informed=1,N617,0)</f>
        <v>#N/A</v>
      </c>
      <c r="AA617" s="47" t="n">
        <f aca="false">IF(Informed=0,N617,0)</f>
        <v>0</v>
      </c>
      <c r="AB617" s="51" t="e">
        <f aca="false">IF(Arterial=0,IF(Informed=1,1,0),0)</f>
        <v>#N/A</v>
      </c>
      <c r="AC617" s="51" t="e">
        <f aca="false">IF(Arterial=0,IF(Informed=0,1,0),0)</f>
        <v>#N/A</v>
      </c>
      <c r="AD617" s="51" t="e">
        <f aca="false">IF(Arterial=1,IF(Informed=1,1,0),0)</f>
        <v>#N/A</v>
      </c>
      <c r="AE617" s="51" t="e">
        <f aca="false">IF(Arterial=1,IF(Informed=0,1,0),0)</f>
        <v>#N/A</v>
      </c>
      <c r="AF617" s="44" t="e">
        <f aca="false">IF(AB617=1,(X617-G$1030)^2,0)</f>
        <v>#N/A</v>
      </c>
      <c r="AG617" s="44" t="e">
        <f aca="false">IF(AC617=1,(Y617-H$1030)^2,0)</f>
        <v>#N/A</v>
      </c>
      <c r="AH617" s="44" t="e">
        <f aca="false">IF(AD617=1,(Z617-I$1030)^2,0)</f>
        <v>#N/A</v>
      </c>
      <c r="AI617" s="44" t="e">
        <f aca="false">IF(AE617=1,(AA617-J$1030)^2,0)</f>
        <v>#N/A</v>
      </c>
    </row>
    <row r="618" customFormat="false" ht="12" hidden="false" customHeight="false" outlineLevel="0" collapsed="false">
      <c r="A618" s="29" t="n">
        <v>601</v>
      </c>
      <c r="B618" s="45" t="n">
        <f aca="true">IF(RAND()&lt;$D$8,1,0)</f>
        <v>1</v>
      </c>
      <c r="C618" s="34" t="n">
        <f aca="true">-LN(RAND())/$D$2</f>
        <v>2.91791458149555</v>
      </c>
      <c r="D618" s="46" t="n">
        <f aca="false">D617+C618</f>
        <v>946.71479768938</v>
      </c>
      <c r="E618" s="47" t="e">
        <f aca="false">MAX($D$3,(1+P617-VLOOKUP(VALUE(D618),$J$18:$Q617,7,TRUE()))*$D$3)</f>
        <v>#N/A</v>
      </c>
      <c r="F618" s="47" t="e">
        <f aca="false">MAX($D$4,(1+Q617-VLOOKUP(VALUE(D618),$M$18:$Q617,5,TRUE()))*$D$4)</f>
        <v>#N/A</v>
      </c>
      <c r="G618" s="48" t="n">
        <v>0.5</v>
      </c>
      <c r="H618" s="46" t="e">
        <f aca="true">IF((B618=1),(IF((F618&lt;E618),1,(IF((F618=E618),(IF(RAND()&lt;G618,1,0)),0)))),(IF((RAND()&lt;G618),1,0)))</f>
        <v>#N/A</v>
      </c>
      <c r="I618" s="46" t="e">
        <f aca="true">IF((H618=1),0,$D$3+$D$5*(RAND()-0.5))</f>
        <v>#N/A</v>
      </c>
      <c r="J618" s="46" t="e">
        <f aca="false">I618+MAX(D618,J617)</f>
        <v>#N/A</v>
      </c>
      <c r="K618" s="46" t="e">
        <f aca="false">IF((H618=0),J618-D618,0)</f>
        <v>#N/A</v>
      </c>
      <c r="L618" s="46" t="e">
        <f aca="true">IF(($H618=0),0,$D$4+$D$5*(RAND()-0.5))</f>
        <v>#N/A</v>
      </c>
      <c r="M618" s="46" t="e">
        <f aca="false">L618+MAX(D618,M617)</f>
        <v>#N/A</v>
      </c>
      <c r="N618" s="46" t="e">
        <f aca="false">IF((H618=1),M618-D618,0)</f>
        <v>#N/A</v>
      </c>
      <c r="O618" s="29" t="n">
        <v>601</v>
      </c>
      <c r="P618" s="49" t="e">
        <f aca="false">IF((Arterial=0),P617+1,P617)</f>
        <v>#N/A</v>
      </c>
      <c r="Q618" s="49" t="e">
        <f aca="false">IF((Arterial=1),Q617+1,Q617)</f>
        <v>#N/A</v>
      </c>
      <c r="R618" s="50" t="n">
        <f aca="false">IF((RESET=1),0,R618+K618)</f>
        <v>0</v>
      </c>
      <c r="S618" s="19" t="n">
        <f aca="false">IF(RESET=1,0,S618+N618)</f>
        <v>0</v>
      </c>
      <c r="T618" s="0" t="n">
        <f aca="false">IF(RESET=1,0,T618+IF(H618=0,1,0))</f>
        <v>0</v>
      </c>
      <c r="U618" s="0" t="n">
        <f aca="false">IF(RESET=1,0,U618+H618)</f>
        <v>0</v>
      </c>
      <c r="V618" s="19" t="n">
        <f aca="false">R618/(T618+0.00001)</f>
        <v>0</v>
      </c>
      <c r="W618" s="19" t="n">
        <f aca="false">S618/(U618+0.0001)</f>
        <v>0</v>
      </c>
      <c r="X618" s="47" t="e">
        <f aca="false">IF(Informed=1,K618,0)</f>
        <v>#N/A</v>
      </c>
      <c r="Y618" s="47" t="n">
        <f aca="false">IF(Informed=0,K618,0)</f>
        <v>0</v>
      </c>
      <c r="Z618" s="47" t="e">
        <f aca="false">IF(Informed=1,N618,0)</f>
        <v>#N/A</v>
      </c>
      <c r="AA618" s="47" t="n">
        <f aca="false">IF(Informed=0,N618,0)</f>
        <v>0</v>
      </c>
      <c r="AB618" s="51" t="e">
        <f aca="false">IF(Arterial=0,IF(Informed=1,1,0),0)</f>
        <v>#N/A</v>
      </c>
      <c r="AC618" s="51" t="e">
        <f aca="false">IF(Arterial=0,IF(Informed=0,1,0),0)</f>
        <v>#N/A</v>
      </c>
      <c r="AD618" s="51" t="e">
        <f aca="false">IF(Arterial=1,IF(Informed=1,1,0),0)</f>
        <v>#N/A</v>
      </c>
      <c r="AE618" s="51" t="e">
        <f aca="false">IF(Arterial=1,IF(Informed=0,1,0),0)</f>
        <v>#N/A</v>
      </c>
      <c r="AF618" s="44" t="e">
        <f aca="false">IF(AB618=1,(X618-G$1030)^2,0)</f>
        <v>#N/A</v>
      </c>
      <c r="AG618" s="44" t="e">
        <f aca="false">IF(AC618=1,(Y618-H$1030)^2,0)</f>
        <v>#N/A</v>
      </c>
      <c r="AH618" s="44" t="e">
        <f aca="false">IF(AD618=1,(Z618-I$1030)^2,0)</f>
        <v>#N/A</v>
      </c>
      <c r="AI618" s="44" t="e">
        <f aca="false">IF(AE618=1,(AA618-J$1030)^2,0)</f>
        <v>#N/A</v>
      </c>
    </row>
    <row r="619" customFormat="false" ht="12" hidden="false" customHeight="false" outlineLevel="0" collapsed="false">
      <c r="A619" s="29" t="n">
        <v>602</v>
      </c>
      <c r="B619" s="45" t="n">
        <f aca="true">IF(RAND()&lt;$D$8,1,0)</f>
        <v>1</v>
      </c>
      <c r="C619" s="34" t="n">
        <f aca="true">-LN(RAND())/$D$2</f>
        <v>2.00337139619144</v>
      </c>
      <c r="D619" s="46" t="n">
        <f aca="false">D618+C619</f>
        <v>948.718169085571</v>
      </c>
      <c r="E619" s="47" t="e">
        <f aca="false">MAX($D$3,(1+P618-VLOOKUP(VALUE(D619),$J$18:$Q618,7,TRUE()))*$D$3)</f>
        <v>#N/A</v>
      </c>
      <c r="F619" s="47" t="e">
        <f aca="false">MAX($D$4,(1+Q618-VLOOKUP(VALUE(D619),$M$18:$Q618,5,TRUE()))*$D$4)</f>
        <v>#N/A</v>
      </c>
      <c r="G619" s="48" t="n">
        <v>0.5</v>
      </c>
      <c r="H619" s="46" t="e">
        <f aca="true">IF((B619=1),(IF((F619&lt;E619),1,(IF((F619=E619),(IF(RAND()&lt;G619,1,0)),0)))),(IF((RAND()&lt;G619),1,0)))</f>
        <v>#N/A</v>
      </c>
      <c r="I619" s="46" t="e">
        <f aca="true">IF((H619=1),0,$D$3+$D$5*(RAND()-0.5))</f>
        <v>#N/A</v>
      </c>
      <c r="J619" s="46" t="e">
        <f aca="false">I619+MAX(D619,J618)</f>
        <v>#N/A</v>
      </c>
      <c r="K619" s="46" t="e">
        <f aca="false">IF((H619=0),J619-D619,0)</f>
        <v>#N/A</v>
      </c>
      <c r="L619" s="46" t="e">
        <f aca="true">IF(($H619=0),0,$D$4+$D$5*(RAND()-0.5))</f>
        <v>#N/A</v>
      </c>
      <c r="M619" s="46" t="e">
        <f aca="false">L619+MAX(D619,M618)</f>
        <v>#N/A</v>
      </c>
      <c r="N619" s="46" t="e">
        <f aca="false">IF((H619=1),M619-D619,0)</f>
        <v>#N/A</v>
      </c>
      <c r="O619" s="29" t="n">
        <v>602</v>
      </c>
      <c r="P619" s="49" t="e">
        <f aca="false">IF((Arterial=0),P618+1,P618)</f>
        <v>#N/A</v>
      </c>
      <c r="Q619" s="49" t="e">
        <f aca="false">IF((Arterial=1),Q618+1,Q618)</f>
        <v>#N/A</v>
      </c>
      <c r="R619" s="50" t="n">
        <f aca="false">IF((RESET=1),0,R619+K619)</f>
        <v>0</v>
      </c>
      <c r="S619" s="19" t="n">
        <f aca="false">IF(RESET=1,0,S619+N619)</f>
        <v>0</v>
      </c>
      <c r="T619" s="0" t="n">
        <f aca="false">IF(RESET=1,0,T619+IF(H619=0,1,0))</f>
        <v>0</v>
      </c>
      <c r="U619" s="0" t="n">
        <f aca="false">IF(RESET=1,0,U619+H619)</f>
        <v>0</v>
      </c>
      <c r="V619" s="19" t="n">
        <f aca="false">R619/(T619+0.00001)</f>
        <v>0</v>
      </c>
      <c r="W619" s="19" t="n">
        <f aca="false">S619/(U619+0.0001)</f>
        <v>0</v>
      </c>
      <c r="X619" s="47" t="e">
        <f aca="false">IF(Informed=1,K619,0)</f>
        <v>#N/A</v>
      </c>
      <c r="Y619" s="47" t="n">
        <f aca="false">IF(Informed=0,K619,0)</f>
        <v>0</v>
      </c>
      <c r="Z619" s="47" t="e">
        <f aca="false">IF(Informed=1,N619,0)</f>
        <v>#N/A</v>
      </c>
      <c r="AA619" s="47" t="n">
        <f aca="false">IF(Informed=0,N619,0)</f>
        <v>0</v>
      </c>
      <c r="AB619" s="51" t="e">
        <f aca="false">IF(Arterial=0,IF(Informed=1,1,0),0)</f>
        <v>#N/A</v>
      </c>
      <c r="AC619" s="51" t="e">
        <f aca="false">IF(Arterial=0,IF(Informed=0,1,0),0)</f>
        <v>#N/A</v>
      </c>
      <c r="AD619" s="51" t="e">
        <f aca="false">IF(Arterial=1,IF(Informed=1,1,0),0)</f>
        <v>#N/A</v>
      </c>
      <c r="AE619" s="51" t="e">
        <f aca="false">IF(Arterial=1,IF(Informed=0,1,0),0)</f>
        <v>#N/A</v>
      </c>
      <c r="AF619" s="44" t="e">
        <f aca="false">IF(AB619=1,(X619-G$1030)^2,0)</f>
        <v>#N/A</v>
      </c>
      <c r="AG619" s="44" t="e">
        <f aca="false">IF(AC619=1,(Y619-H$1030)^2,0)</f>
        <v>#N/A</v>
      </c>
      <c r="AH619" s="44" t="e">
        <f aca="false">IF(AD619=1,(Z619-I$1030)^2,0)</f>
        <v>#N/A</v>
      </c>
      <c r="AI619" s="44" t="e">
        <f aca="false">IF(AE619=1,(AA619-J$1030)^2,0)</f>
        <v>#N/A</v>
      </c>
    </row>
    <row r="620" customFormat="false" ht="12" hidden="false" customHeight="false" outlineLevel="0" collapsed="false">
      <c r="A620" s="29" t="n">
        <v>603</v>
      </c>
      <c r="B620" s="45" t="n">
        <f aca="true">IF(RAND()&lt;$D$8,1,0)</f>
        <v>1</v>
      </c>
      <c r="C620" s="34" t="n">
        <f aca="true">-LN(RAND())/$D$2</f>
        <v>0.312565399950889</v>
      </c>
      <c r="D620" s="46" t="n">
        <f aca="false">D619+C620</f>
        <v>949.030734485522</v>
      </c>
      <c r="E620" s="47" t="e">
        <f aca="false">MAX($D$3,(1+P619-VLOOKUP(VALUE(D620),$J$18:$Q619,7,TRUE()))*$D$3)</f>
        <v>#N/A</v>
      </c>
      <c r="F620" s="47" t="e">
        <f aca="false">MAX($D$4,(1+Q619-VLOOKUP(VALUE(D620),$M$18:$Q619,5,TRUE()))*$D$4)</f>
        <v>#N/A</v>
      </c>
      <c r="G620" s="48" t="n">
        <v>0.5</v>
      </c>
      <c r="H620" s="46" t="e">
        <f aca="true">IF((B620=1),(IF((F620&lt;E620),1,(IF((F620=E620),(IF(RAND()&lt;G620,1,0)),0)))),(IF((RAND()&lt;G620),1,0)))</f>
        <v>#N/A</v>
      </c>
      <c r="I620" s="46" t="e">
        <f aca="true">IF((H620=1),0,$D$3+$D$5*(RAND()-0.5))</f>
        <v>#N/A</v>
      </c>
      <c r="J620" s="46" t="e">
        <f aca="false">I620+MAX(D620,J619)</f>
        <v>#N/A</v>
      </c>
      <c r="K620" s="46" t="e">
        <f aca="false">IF((H620=0),J620-D620,0)</f>
        <v>#N/A</v>
      </c>
      <c r="L620" s="46" t="e">
        <f aca="true">IF(($H620=0),0,$D$4+$D$5*(RAND()-0.5))</f>
        <v>#N/A</v>
      </c>
      <c r="M620" s="46" t="e">
        <f aca="false">L620+MAX(D620,M619)</f>
        <v>#N/A</v>
      </c>
      <c r="N620" s="46" t="e">
        <f aca="false">IF((H620=1),M620-D620,0)</f>
        <v>#N/A</v>
      </c>
      <c r="O620" s="29" t="n">
        <v>603</v>
      </c>
      <c r="P620" s="49" t="e">
        <f aca="false">IF((Arterial=0),P619+1,P619)</f>
        <v>#N/A</v>
      </c>
      <c r="Q620" s="49" t="e">
        <f aca="false">IF((Arterial=1),Q619+1,Q619)</f>
        <v>#N/A</v>
      </c>
      <c r="R620" s="50" t="n">
        <f aca="false">IF((RESET=1),0,R620+K620)</f>
        <v>0</v>
      </c>
      <c r="S620" s="19" t="n">
        <f aca="false">IF(RESET=1,0,S620+N620)</f>
        <v>0</v>
      </c>
      <c r="T620" s="0" t="n">
        <f aca="false">IF(RESET=1,0,T620+IF(H620=0,1,0))</f>
        <v>0</v>
      </c>
      <c r="U620" s="0" t="n">
        <f aca="false">IF(RESET=1,0,U620+H620)</f>
        <v>0</v>
      </c>
      <c r="V620" s="19" t="n">
        <f aca="false">R620/(T620+0.00001)</f>
        <v>0</v>
      </c>
      <c r="W620" s="19" t="n">
        <f aca="false">S620/(U620+0.0001)</f>
        <v>0</v>
      </c>
      <c r="X620" s="47" t="e">
        <f aca="false">IF(Informed=1,K620,0)</f>
        <v>#N/A</v>
      </c>
      <c r="Y620" s="47" t="n">
        <f aca="false">IF(Informed=0,K620,0)</f>
        <v>0</v>
      </c>
      <c r="Z620" s="47" t="e">
        <f aca="false">IF(Informed=1,N620,0)</f>
        <v>#N/A</v>
      </c>
      <c r="AA620" s="47" t="n">
        <f aca="false">IF(Informed=0,N620,0)</f>
        <v>0</v>
      </c>
      <c r="AB620" s="51" t="e">
        <f aca="false">IF(Arterial=0,IF(Informed=1,1,0),0)</f>
        <v>#N/A</v>
      </c>
      <c r="AC620" s="51" t="e">
        <f aca="false">IF(Arterial=0,IF(Informed=0,1,0),0)</f>
        <v>#N/A</v>
      </c>
      <c r="AD620" s="51" t="e">
        <f aca="false">IF(Arterial=1,IF(Informed=1,1,0),0)</f>
        <v>#N/A</v>
      </c>
      <c r="AE620" s="51" t="e">
        <f aca="false">IF(Arterial=1,IF(Informed=0,1,0),0)</f>
        <v>#N/A</v>
      </c>
      <c r="AF620" s="44" t="e">
        <f aca="false">IF(AB620=1,(X620-G$1030)^2,0)</f>
        <v>#N/A</v>
      </c>
      <c r="AG620" s="44" t="e">
        <f aca="false">IF(AC620=1,(Y620-H$1030)^2,0)</f>
        <v>#N/A</v>
      </c>
      <c r="AH620" s="44" t="e">
        <f aca="false">IF(AD620=1,(Z620-I$1030)^2,0)</f>
        <v>#N/A</v>
      </c>
      <c r="AI620" s="44" t="e">
        <f aca="false">IF(AE620=1,(AA620-J$1030)^2,0)</f>
        <v>#N/A</v>
      </c>
    </row>
    <row r="621" customFormat="false" ht="12" hidden="false" customHeight="false" outlineLevel="0" collapsed="false">
      <c r="A621" s="29" t="n">
        <v>604</v>
      </c>
      <c r="B621" s="45" t="n">
        <f aca="true">IF(RAND()&lt;$D$8,1,0)</f>
        <v>1</v>
      </c>
      <c r="C621" s="34" t="n">
        <f aca="true">-LN(RAND())/$D$2</f>
        <v>0.699730264160116</v>
      </c>
      <c r="D621" s="46" t="n">
        <f aca="false">D620+C621</f>
        <v>949.730464749683</v>
      </c>
      <c r="E621" s="47" t="e">
        <f aca="false">MAX($D$3,(1+P620-VLOOKUP(VALUE(D621),$J$18:$Q620,7,TRUE()))*$D$3)</f>
        <v>#N/A</v>
      </c>
      <c r="F621" s="47" t="e">
        <f aca="false">MAX($D$4,(1+Q620-VLOOKUP(VALUE(D621),$M$18:$Q620,5,TRUE()))*$D$4)</f>
        <v>#N/A</v>
      </c>
      <c r="G621" s="48" t="n">
        <v>0.5</v>
      </c>
      <c r="H621" s="46" t="e">
        <f aca="true">IF((B621=1),(IF((F621&lt;E621),1,(IF((F621=E621),(IF(RAND()&lt;G621,1,0)),0)))),(IF((RAND()&lt;G621),1,0)))</f>
        <v>#N/A</v>
      </c>
      <c r="I621" s="46" t="e">
        <f aca="true">IF((H621=1),0,$D$3+$D$5*(RAND()-0.5))</f>
        <v>#N/A</v>
      </c>
      <c r="J621" s="46" t="e">
        <f aca="false">I621+MAX(D621,J620)</f>
        <v>#N/A</v>
      </c>
      <c r="K621" s="46" t="e">
        <f aca="false">IF((H621=0),J621-D621,0)</f>
        <v>#N/A</v>
      </c>
      <c r="L621" s="46" t="e">
        <f aca="true">IF(($H621=0),0,$D$4+$D$5*(RAND()-0.5))</f>
        <v>#N/A</v>
      </c>
      <c r="M621" s="46" t="e">
        <f aca="false">L621+MAX(D621,M620)</f>
        <v>#N/A</v>
      </c>
      <c r="N621" s="46" t="e">
        <f aca="false">IF((H621=1),M621-D621,0)</f>
        <v>#N/A</v>
      </c>
      <c r="O621" s="29" t="n">
        <v>604</v>
      </c>
      <c r="P621" s="49" t="e">
        <f aca="false">IF((Arterial=0),P620+1,P620)</f>
        <v>#N/A</v>
      </c>
      <c r="Q621" s="49" t="e">
        <f aca="false">IF((Arterial=1),Q620+1,Q620)</f>
        <v>#N/A</v>
      </c>
      <c r="R621" s="50" t="n">
        <f aca="false">IF((RESET=1),0,R621+K621)</f>
        <v>0</v>
      </c>
      <c r="S621" s="19" t="n">
        <f aca="false">IF(RESET=1,0,S621+N621)</f>
        <v>0</v>
      </c>
      <c r="T621" s="0" t="n">
        <f aca="false">IF(RESET=1,0,T621+IF(H621=0,1,0))</f>
        <v>0</v>
      </c>
      <c r="U621" s="0" t="n">
        <f aca="false">IF(RESET=1,0,U621+H621)</f>
        <v>0</v>
      </c>
      <c r="V621" s="19" t="n">
        <f aca="false">R621/(T621+0.00001)</f>
        <v>0</v>
      </c>
      <c r="W621" s="19" t="n">
        <f aca="false">S621/(U621+0.0001)</f>
        <v>0</v>
      </c>
      <c r="X621" s="47" t="e">
        <f aca="false">IF(Informed=1,K621,0)</f>
        <v>#N/A</v>
      </c>
      <c r="Y621" s="47" t="n">
        <f aca="false">IF(Informed=0,K621,0)</f>
        <v>0</v>
      </c>
      <c r="Z621" s="47" t="e">
        <f aca="false">IF(Informed=1,N621,0)</f>
        <v>#N/A</v>
      </c>
      <c r="AA621" s="47" t="n">
        <f aca="false">IF(Informed=0,N621,0)</f>
        <v>0</v>
      </c>
      <c r="AB621" s="51" t="e">
        <f aca="false">IF(Arterial=0,IF(Informed=1,1,0),0)</f>
        <v>#N/A</v>
      </c>
      <c r="AC621" s="51" t="e">
        <f aca="false">IF(Arterial=0,IF(Informed=0,1,0),0)</f>
        <v>#N/A</v>
      </c>
      <c r="AD621" s="51" t="e">
        <f aca="false">IF(Arterial=1,IF(Informed=1,1,0),0)</f>
        <v>#N/A</v>
      </c>
      <c r="AE621" s="51" t="e">
        <f aca="false">IF(Arterial=1,IF(Informed=0,1,0),0)</f>
        <v>#N/A</v>
      </c>
      <c r="AF621" s="44" t="e">
        <f aca="false">IF(AB621=1,(X621-G$1030)^2,0)</f>
        <v>#N/A</v>
      </c>
      <c r="AG621" s="44" t="e">
        <f aca="false">IF(AC621=1,(Y621-H$1030)^2,0)</f>
        <v>#N/A</v>
      </c>
      <c r="AH621" s="44" t="e">
        <f aca="false">IF(AD621=1,(Z621-I$1030)^2,0)</f>
        <v>#N/A</v>
      </c>
      <c r="AI621" s="44" t="e">
        <f aca="false">IF(AE621=1,(AA621-J$1030)^2,0)</f>
        <v>#N/A</v>
      </c>
    </row>
    <row r="622" customFormat="false" ht="12" hidden="false" customHeight="false" outlineLevel="0" collapsed="false">
      <c r="A622" s="29" t="n">
        <v>605</v>
      </c>
      <c r="B622" s="45" t="n">
        <f aca="true">IF(RAND()&lt;$D$8,1,0)</f>
        <v>1</v>
      </c>
      <c r="C622" s="34" t="n">
        <f aca="true">-LN(RAND())/$D$2</f>
        <v>0.133239374801326</v>
      </c>
      <c r="D622" s="46" t="n">
        <f aca="false">D621+C622</f>
        <v>949.863704124484</v>
      </c>
      <c r="E622" s="47" t="e">
        <f aca="false">MAX($D$3,(1+P621-VLOOKUP(VALUE(D622),$J$18:$Q621,7,TRUE()))*$D$3)</f>
        <v>#N/A</v>
      </c>
      <c r="F622" s="47" t="e">
        <f aca="false">MAX($D$4,(1+Q621-VLOOKUP(VALUE(D622),$M$18:$Q621,5,TRUE()))*$D$4)</f>
        <v>#N/A</v>
      </c>
      <c r="G622" s="48" t="n">
        <v>0.5</v>
      </c>
      <c r="H622" s="46" t="e">
        <f aca="true">IF((B622=1),(IF((F622&lt;E622),1,(IF((F622=E622),(IF(RAND()&lt;G622,1,0)),0)))),(IF((RAND()&lt;G622),1,0)))</f>
        <v>#N/A</v>
      </c>
      <c r="I622" s="46" t="e">
        <f aca="true">IF((H622=1),0,$D$3+$D$5*(RAND()-0.5))</f>
        <v>#N/A</v>
      </c>
      <c r="J622" s="46" t="e">
        <f aca="false">I622+MAX(D622,J621)</f>
        <v>#N/A</v>
      </c>
      <c r="K622" s="46" t="e">
        <f aca="false">IF((H622=0),J622-D622,0)</f>
        <v>#N/A</v>
      </c>
      <c r="L622" s="46" t="e">
        <f aca="true">IF(($H622=0),0,$D$4+$D$5*(RAND()-0.5))</f>
        <v>#N/A</v>
      </c>
      <c r="M622" s="46" t="e">
        <f aca="false">L622+MAX(D622,M621)</f>
        <v>#N/A</v>
      </c>
      <c r="N622" s="46" t="e">
        <f aca="false">IF((H622=1),M622-D622,0)</f>
        <v>#N/A</v>
      </c>
      <c r="O622" s="29" t="n">
        <v>605</v>
      </c>
      <c r="P622" s="49" t="e">
        <f aca="false">IF((Arterial=0),P621+1,P621)</f>
        <v>#N/A</v>
      </c>
      <c r="Q622" s="49" t="e">
        <f aca="false">IF((Arterial=1),Q621+1,Q621)</f>
        <v>#N/A</v>
      </c>
      <c r="R622" s="50" t="n">
        <f aca="false">IF((RESET=1),0,R622+K622)</f>
        <v>0</v>
      </c>
      <c r="S622" s="19" t="n">
        <f aca="false">IF(RESET=1,0,S622+N622)</f>
        <v>0</v>
      </c>
      <c r="T622" s="0" t="n">
        <f aca="false">IF(RESET=1,0,T622+IF(H622=0,1,0))</f>
        <v>0</v>
      </c>
      <c r="U622" s="0" t="n">
        <f aca="false">IF(RESET=1,0,U622+H622)</f>
        <v>0</v>
      </c>
      <c r="V622" s="19" t="n">
        <f aca="false">R622/(T622+0.00001)</f>
        <v>0</v>
      </c>
      <c r="W622" s="19" t="n">
        <f aca="false">S622/(U622+0.0001)</f>
        <v>0</v>
      </c>
      <c r="X622" s="47" t="e">
        <f aca="false">IF(Informed=1,K622,0)</f>
        <v>#N/A</v>
      </c>
      <c r="Y622" s="47" t="n">
        <f aca="false">IF(Informed=0,K622,0)</f>
        <v>0</v>
      </c>
      <c r="Z622" s="47" t="e">
        <f aca="false">IF(Informed=1,N622,0)</f>
        <v>#N/A</v>
      </c>
      <c r="AA622" s="47" t="n">
        <f aca="false">IF(Informed=0,N622,0)</f>
        <v>0</v>
      </c>
      <c r="AB622" s="51" t="e">
        <f aca="false">IF(Arterial=0,IF(Informed=1,1,0),0)</f>
        <v>#N/A</v>
      </c>
      <c r="AC622" s="51" t="e">
        <f aca="false">IF(Arterial=0,IF(Informed=0,1,0),0)</f>
        <v>#N/A</v>
      </c>
      <c r="AD622" s="51" t="e">
        <f aca="false">IF(Arterial=1,IF(Informed=1,1,0),0)</f>
        <v>#N/A</v>
      </c>
      <c r="AE622" s="51" t="e">
        <f aca="false">IF(Arterial=1,IF(Informed=0,1,0),0)</f>
        <v>#N/A</v>
      </c>
      <c r="AF622" s="44" t="e">
        <f aca="false">IF(AB622=1,(X622-G$1030)^2,0)</f>
        <v>#N/A</v>
      </c>
      <c r="AG622" s="44" t="e">
        <f aca="false">IF(AC622=1,(Y622-H$1030)^2,0)</f>
        <v>#N/A</v>
      </c>
      <c r="AH622" s="44" t="e">
        <f aca="false">IF(AD622=1,(Z622-I$1030)^2,0)</f>
        <v>#N/A</v>
      </c>
      <c r="AI622" s="44" t="e">
        <f aca="false">IF(AE622=1,(AA622-J$1030)^2,0)</f>
        <v>#N/A</v>
      </c>
    </row>
    <row r="623" customFormat="false" ht="12" hidden="false" customHeight="false" outlineLevel="0" collapsed="false">
      <c r="A623" s="29" t="n">
        <v>606</v>
      </c>
      <c r="B623" s="45" t="n">
        <f aca="true">IF(RAND()&lt;$D$8,1,0)</f>
        <v>1</v>
      </c>
      <c r="C623" s="34" t="n">
        <f aca="true">-LN(RAND())/$D$2</f>
        <v>0.696088023556026</v>
      </c>
      <c r="D623" s="46" t="n">
        <f aca="false">D622+C623</f>
        <v>950.55979214804</v>
      </c>
      <c r="E623" s="47" t="e">
        <f aca="false">MAX($D$3,(1+P622-VLOOKUP(VALUE(D623),$J$18:$Q622,7,TRUE()))*$D$3)</f>
        <v>#N/A</v>
      </c>
      <c r="F623" s="47" t="e">
        <f aca="false">MAX($D$4,(1+Q622-VLOOKUP(VALUE(D623),$M$18:$Q622,5,TRUE()))*$D$4)</f>
        <v>#N/A</v>
      </c>
      <c r="G623" s="48" t="n">
        <v>0.5</v>
      </c>
      <c r="H623" s="46" t="e">
        <f aca="true">IF((B623=1),(IF((F623&lt;E623),1,(IF((F623=E623),(IF(RAND()&lt;G623,1,0)),0)))),(IF((RAND()&lt;G623),1,0)))</f>
        <v>#N/A</v>
      </c>
      <c r="I623" s="46" t="e">
        <f aca="true">IF((H623=1),0,$D$3+$D$5*(RAND()-0.5))</f>
        <v>#N/A</v>
      </c>
      <c r="J623" s="46" t="e">
        <f aca="false">I623+MAX(D623,J622)</f>
        <v>#N/A</v>
      </c>
      <c r="K623" s="46" t="e">
        <f aca="false">IF((H623=0),J623-D623,0)</f>
        <v>#N/A</v>
      </c>
      <c r="L623" s="46" t="e">
        <f aca="true">IF(($H623=0),0,$D$4+$D$5*(RAND()-0.5))</f>
        <v>#N/A</v>
      </c>
      <c r="M623" s="46" t="e">
        <f aca="false">L623+MAX(D623,M622)</f>
        <v>#N/A</v>
      </c>
      <c r="N623" s="46" t="e">
        <f aca="false">IF((H623=1),M623-D623,0)</f>
        <v>#N/A</v>
      </c>
      <c r="O623" s="29" t="n">
        <v>606</v>
      </c>
      <c r="P623" s="49" t="e">
        <f aca="false">IF((Arterial=0),P622+1,P622)</f>
        <v>#N/A</v>
      </c>
      <c r="Q623" s="49" t="e">
        <f aca="false">IF((Arterial=1),Q622+1,Q622)</f>
        <v>#N/A</v>
      </c>
      <c r="R623" s="50" t="n">
        <f aca="false">IF((RESET=1),0,R623+K623)</f>
        <v>0</v>
      </c>
      <c r="S623" s="19" t="n">
        <f aca="false">IF(RESET=1,0,S623+N623)</f>
        <v>0</v>
      </c>
      <c r="T623" s="0" t="n">
        <f aca="false">IF(RESET=1,0,T623+IF(H623=0,1,0))</f>
        <v>0</v>
      </c>
      <c r="U623" s="0" t="n">
        <f aca="false">IF(RESET=1,0,U623+H623)</f>
        <v>0</v>
      </c>
      <c r="V623" s="19" t="n">
        <f aca="false">R623/(T623+0.00001)</f>
        <v>0</v>
      </c>
      <c r="W623" s="19" t="n">
        <f aca="false">S623/(U623+0.0001)</f>
        <v>0</v>
      </c>
      <c r="X623" s="47" t="e">
        <f aca="false">IF(Informed=1,K623,0)</f>
        <v>#N/A</v>
      </c>
      <c r="Y623" s="47" t="n">
        <f aca="false">IF(Informed=0,K623,0)</f>
        <v>0</v>
      </c>
      <c r="Z623" s="47" t="e">
        <f aca="false">IF(Informed=1,N623,0)</f>
        <v>#N/A</v>
      </c>
      <c r="AA623" s="47" t="n">
        <f aca="false">IF(Informed=0,N623,0)</f>
        <v>0</v>
      </c>
      <c r="AB623" s="51" t="e">
        <f aca="false">IF(Arterial=0,IF(Informed=1,1,0),0)</f>
        <v>#N/A</v>
      </c>
      <c r="AC623" s="51" t="e">
        <f aca="false">IF(Arterial=0,IF(Informed=0,1,0),0)</f>
        <v>#N/A</v>
      </c>
      <c r="AD623" s="51" t="e">
        <f aca="false">IF(Arterial=1,IF(Informed=1,1,0),0)</f>
        <v>#N/A</v>
      </c>
      <c r="AE623" s="51" t="e">
        <f aca="false">IF(Arterial=1,IF(Informed=0,1,0),0)</f>
        <v>#N/A</v>
      </c>
      <c r="AF623" s="44" t="e">
        <f aca="false">IF(AB623=1,(X623-G$1030)^2,0)</f>
        <v>#N/A</v>
      </c>
      <c r="AG623" s="44" t="e">
        <f aca="false">IF(AC623=1,(Y623-H$1030)^2,0)</f>
        <v>#N/A</v>
      </c>
      <c r="AH623" s="44" t="e">
        <f aca="false">IF(AD623=1,(Z623-I$1030)^2,0)</f>
        <v>#N/A</v>
      </c>
      <c r="AI623" s="44" t="e">
        <f aca="false">IF(AE623=1,(AA623-J$1030)^2,0)</f>
        <v>#N/A</v>
      </c>
    </row>
    <row r="624" customFormat="false" ht="12" hidden="false" customHeight="false" outlineLevel="0" collapsed="false">
      <c r="A624" s="29" t="n">
        <v>607</v>
      </c>
      <c r="B624" s="45" t="n">
        <f aca="true">IF(RAND()&lt;$D$8,1,0)</f>
        <v>1</v>
      </c>
      <c r="C624" s="34" t="n">
        <f aca="true">-LN(RAND())/$D$2</f>
        <v>0.464856341367666</v>
      </c>
      <c r="D624" s="46" t="n">
        <f aca="false">D623+C624</f>
        <v>951.024648489408</v>
      </c>
      <c r="E624" s="47" t="e">
        <f aca="false">MAX($D$3,(1+P623-VLOOKUP(VALUE(D624),$J$18:$Q623,7,TRUE()))*$D$3)</f>
        <v>#N/A</v>
      </c>
      <c r="F624" s="47" t="e">
        <f aca="false">MAX($D$4,(1+Q623-VLOOKUP(VALUE(D624),$M$18:$Q623,5,TRUE()))*$D$4)</f>
        <v>#N/A</v>
      </c>
      <c r="G624" s="48" t="n">
        <v>0.5</v>
      </c>
      <c r="H624" s="46" t="e">
        <f aca="true">IF((B624=1),(IF((F624&lt;E624),1,(IF((F624=E624),(IF(RAND()&lt;G624,1,0)),0)))),(IF((RAND()&lt;G624),1,0)))</f>
        <v>#N/A</v>
      </c>
      <c r="I624" s="46" t="e">
        <f aca="true">IF((H624=1),0,$D$3+$D$5*(RAND()-0.5))</f>
        <v>#N/A</v>
      </c>
      <c r="J624" s="46" t="e">
        <f aca="false">I624+MAX(D624,J623)</f>
        <v>#N/A</v>
      </c>
      <c r="K624" s="46" t="e">
        <f aca="false">IF((H624=0),J624-D624,0)</f>
        <v>#N/A</v>
      </c>
      <c r="L624" s="46" t="e">
        <f aca="true">IF(($H624=0),0,$D$4+$D$5*(RAND()-0.5))</f>
        <v>#N/A</v>
      </c>
      <c r="M624" s="46" t="e">
        <f aca="false">L624+MAX(D624,M623)</f>
        <v>#N/A</v>
      </c>
      <c r="N624" s="46" t="e">
        <f aca="false">IF((H624=1),M624-D624,0)</f>
        <v>#N/A</v>
      </c>
      <c r="O624" s="29" t="n">
        <v>607</v>
      </c>
      <c r="P624" s="49" t="e">
        <f aca="false">IF((Arterial=0),P623+1,P623)</f>
        <v>#N/A</v>
      </c>
      <c r="Q624" s="49" t="e">
        <f aca="false">IF((Arterial=1),Q623+1,Q623)</f>
        <v>#N/A</v>
      </c>
      <c r="R624" s="50" t="n">
        <f aca="false">IF((RESET=1),0,R624+K624)</f>
        <v>0</v>
      </c>
      <c r="S624" s="19" t="n">
        <f aca="false">IF(RESET=1,0,S624+N624)</f>
        <v>0</v>
      </c>
      <c r="T624" s="0" t="n">
        <f aca="false">IF(RESET=1,0,T624+IF(H624=0,1,0))</f>
        <v>0</v>
      </c>
      <c r="U624" s="0" t="n">
        <f aca="false">IF(RESET=1,0,U624+H624)</f>
        <v>0</v>
      </c>
      <c r="V624" s="19" t="n">
        <f aca="false">R624/(T624+0.00001)</f>
        <v>0</v>
      </c>
      <c r="W624" s="19" t="n">
        <f aca="false">S624/(U624+0.0001)</f>
        <v>0</v>
      </c>
      <c r="X624" s="47" t="e">
        <f aca="false">IF(Informed=1,K624,0)</f>
        <v>#N/A</v>
      </c>
      <c r="Y624" s="47" t="n">
        <f aca="false">IF(Informed=0,K624,0)</f>
        <v>0</v>
      </c>
      <c r="Z624" s="47" t="e">
        <f aca="false">IF(Informed=1,N624,0)</f>
        <v>#N/A</v>
      </c>
      <c r="AA624" s="47" t="n">
        <f aca="false">IF(Informed=0,N624,0)</f>
        <v>0</v>
      </c>
      <c r="AB624" s="51" t="e">
        <f aca="false">IF(Arterial=0,IF(Informed=1,1,0),0)</f>
        <v>#N/A</v>
      </c>
      <c r="AC624" s="51" t="e">
        <f aca="false">IF(Arterial=0,IF(Informed=0,1,0),0)</f>
        <v>#N/A</v>
      </c>
      <c r="AD624" s="51" t="e">
        <f aca="false">IF(Arterial=1,IF(Informed=1,1,0),0)</f>
        <v>#N/A</v>
      </c>
      <c r="AE624" s="51" t="e">
        <f aca="false">IF(Arterial=1,IF(Informed=0,1,0),0)</f>
        <v>#N/A</v>
      </c>
      <c r="AF624" s="44" t="e">
        <f aca="false">IF(AB624=1,(X624-G$1030)^2,0)</f>
        <v>#N/A</v>
      </c>
      <c r="AG624" s="44" t="e">
        <f aca="false">IF(AC624=1,(Y624-H$1030)^2,0)</f>
        <v>#N/A</v>
      </c>
      <c r="AH624" s="44" t="e">
        <f aca="false">IF(AD624=1,(Z624-I$1030)^2,0)</f>
        <v>#N/A</v>
      </c>
      <c r="AI624" s="44" t="e">
        <f aca="false">IF(AE624=1,(AA624-J$1030)^2,0)</f>
        <v>#N/A</v>
      </c>
    </row>
    <row r="625" customFormat="false" ht="12" hidden="false" customHeight="false" outlineLevel="0" collapsed="false">
      <c r="A625" s="29" t="n">
        <v>608</v>
      </c>
      <c r="B625" s="45" t="n">
        <f aca="true">IF(RAND()&lt;$D$8,1,0)</f>
        <v>1</v>
      </c>
      <c r="C625" s="34" t="n">
        <f aca="true">-LN(RAND())/$D$2</f>
        <v>2.02091813537323</v>
      </c>
      <c r="D625" s="46" t="n">
        <f aca="false">D624+C625</f>
        <v>953.045566624781</v>
      </c>
      <c r="E625" s="47" t="e">
        <f aca="false">MAX($D$3,(1+P624-VLOOKUP(VALUE(D625),$J$18:$Q624,7,TRUE()))*$D$3)</f>
        <v>#N/A</v>
      </c>
      <c r="F625" s="47" t="e">
        <f aca="false">MAX($D$4,(1+Q624-VLOOKUP(VALUE(D625),$M$18:$Q624,5,TRUE()))*$D$4)</f>
        <v>#N/A</v>
      </c>
      <c r="G625" s="48" t="n">
        <v>0.5</v>
      </c>
      <c r="H625" s="46" t="e">
        <f aca="true">IF((B625=1),(IF((F625&lt;E625),1,(IF((F625=E625),(IF(RAND()&lt;G625,1,0)),0)))),(IF((RAND()&lt;G625),1,0)))</f>
        <v>#N/A</v>
      </c>
      <c r="I625" s="46" t="e">
        <f aca="true">IF((H625=1),0,$D$3+$D$5*(RAND()-0.5))</f>
        <v>#N/A</v>
      </c>
      <c r="J625" s="46" t="e">
        <f aca="false">I625+MAX(D625,J624)</f>
        <v>#N/A</v>
      </c>
      <c r="K625" s="46" t="e">
        <f aca="false">IF((H625=0),J625-D625,0)</f>
        <v>#N/A</v>
      </c>
      <c r="L625" s="46" t="e">
        <f aca="true">IF(($H625=0),0,$D$4+$D$5*(RAND()-0.5))</f>
        <v>#N/A</v>
      </c>
      <c r="M625" s="46" t="e">
        <f aca="false">L625+MAX(D625,M624)</f>
        <v>#N/A</v>
      </c>
      <c r="N625" s="46" t="e">
        <f aca="false">IF((H625=1),M625-D625,0)</f>
        <v>#N/A</v>
      </c>
      <c r="O625" s="29" t="n">
        <v>608</v>
      </c>
      <c r="P625" s="49" t="e">
        <f aca="false">IF((Arterial=0),P624+1,P624)</f>
        <v>#N/A</v>
      </c>
      <c r="Q625" s="49" t="e">
        <f aca="false">IF((Arterial=1),Q624+1,Q624)</f>
        <v>#N/A</v>
      </c>
      <c r="R625" s="50" t="n">
        <f aca="false">IF((RESET=1),0,R625+K625)</f>
        <v>0</v>
      </c>
      <c r="S625" s="19" t="n">
        <f aca="false">IF(RESET=1,0,S625+N625)</f>
        <v>0</v>
      </c>
      <c r="T625" s="0" t="n">
        <f aca="false">IF(RESET=1,0,T625+IF(H625=0,1,0))</f>
        <v>0</v>
      </c>
      <c r="U625" s="0" t="n">
        <f aca="false">IF(RESET=1,0,U625+H625)</f>
        <v>0</v>
      </c>
      <c r="V625" s="19" t="n">
        <f aca="false">R625/(T625+0.00001)</f>
        <v>0</v>
      </c>
      <c r="W625" s="19" t="n">
        <f aca="false">S625/(U625+0.0001)</f>
        <v>0</v>
      </c>
      <c r="X625" s="47" t="e">
        <f aca="false">IF(Informed=1,K625,0)</f>
        <v>#N/A</v>
      </c>
      <c r="Y625" s="47" t="n">
        <f aca="false">IF(Informed=0,K625,0)</f>
        <v>0</v>
      </c>
      <c r="Z625" s="47" t="e">
        <f aca="false">IF(Informed=1,N625,0)</f>
        <v>#N/A</v>
      </c>
      <c r="AA625" s="47" t="n">
        <f aca="false">IF(Informed=0,N625,0)</f>
        <v>0</v>
      </c>
      <c r="AB625" s="51" t="e">
        <f aca="false">IF(Arterial=0,IF(Informed=1,1,0),0)</f>
        <v>#N/A</v>
      </c>
      <c r="AC625" s="51" t="e">
        <f aca="false">IF(Arterial=0,IF(Informed=0,1,0),0)</f>
        <v>#N/A</v>
      </c>
      <c r="AD625" s="51" t="e">
        <f aca="false">IF(Arterial=1,IF(Informed=1,1,0),0)</f>
        <v>#N/A</v>
      </c>
      <c r="AE625" s="51" t="e">
        <f aca="false">IF(Arterial=1,IF(Informed=0,1,0),0)</f>
        <v>#N/A</v>
      </c>
      <c r="AF625" s="44" t="e">
        <f aca="false">IF(AB625=1,(X625-G$1030)^2,0)</f>
        <v>#N/A</v>
      </c>
      <c r="AG625" s="44" t="e">
        <f aca="false">IF(AC625=1,(Y625-H$1030)^2,0)</f>
        <v>#N/A</v>
      </c>
      <c r="AH625" s="44" t="e">
        <f aca="false">IF(AD625=1,(Z625-I$1030)^2,0)</f>
        <v>#N/A</v>
      </c>
      <c r="AI625" s="44" t="e">
        <f aca="false">IF(AE625=1,(AA625-J$1030)^2,0)</f>
        <v>#N/A</v>
      </c>
    </row>
    <row r="626" customFormat="false" ht="12" hidden="false" customHeight="false" outlineLevel="0" collapsed="false">
      <c r="A626" s="29" t="n">
        <v>609</v>
      </c>
      <c r="B626" s="45" t="n">
        <f aca="true">IF(RAND()&lt;$D$8,1,0)</f>
        <v>1</v>
      </c>
      <c r="C626" s="34" t="n">
        <f aca="true">-LN(RAND())/$D$2</f>
        <v>0.744987606402104</v>
      </c>
      <c r="D626" s="46" t="n">
        <f aca="false">D625+C626</f>
        <v>953.790554231183</v>
      </c>
      <c r="E626" s="47" t="e">
        <f aca="false">MAX($D$3,(1+P625-VLOOKUP(VALUE(D626),$J$18:$Q625,7,TRUE()))*$D$3)</f>
        <v>#N/A</v>
      </c>
      <c r="F626" s="47" t="e">
        <f aca="false">MAX($D$4,(1+Q625-VLOOKUP(VALUE(D626),$M$18:$Q625,5,TRUE()))*$D$4)</f>
        <v>#N/A</v>
      </c>
      <c r="G626" s="48" t="n">
        <v>0.5</v>
      </c>
      <c r="H626" s="46" t="e">
        <f aca="true">IF((B626=1),(IF((F626&lt;E626),1,(IF((F626=E626),(IF(RAND()&lt;G626,1,0)),0)))),(IF((RAND()&lt;G626),1,0)))</f>
        <v>#N/A</v>
      </c>
      <c r="I626" s="46" t="e">
        <f aca="true">IF((H626=1),0,$D$3+$D$5*(RAND()-0.5))</f>
        <v>#N/A</v>
      </c>
      <c r="J626" s="46" t="e">
        <f aca="false">I626+MAX(D626,J625)</f>
        <v>#N/A</v>
      </c>
      <c r="K626" s="46" t="e">
        <f aca="false">IF((H626=0),J626-D626,0)</f>
        <v>#N/A</v>
      </c>
      <c r="L626" s="46" t="e">
        <f aca="true">IF(($H626=0),0,$D$4+$D$5*(RAND()-0.5))</f>
        <v>#N/A</v>
      </c>
      <c r="M626" s="46" t="e">
        <f aca="false">L626+MAX(D626,M625)</f>
        <v>#N/A</v>
      </c>
      <c r="N626" s="46" t="e">
        <f aca="false">IF((H626=1),M626-D626,0)</f>
        <v>#N/A</v>
      </c>
      <c r="O626" s="29" t="n">
        <v>609</v>
      </c>
      <c r="P626" s="49" t="e">
        <f aca="false">IF((Arterial=0),P625+1,P625)</f>
        <v>#N/A</v>
      </c>
      <c r="Q626" s="49" t="e">
        <f aca="false">IF((Arterial=1),Q625+1,Q625)</f>
        <v>#N/A</v>
      </c>
      <c r="R626" s="50" t="n">
        <f aca="false">IF((RESET=1),0,R626+K626)</f>
        <v>0</v>
      </c>
      <c r="S626" s="19" t="n">
        <f aca="false">IF(RESET=1,0,S626+N626)</f>
        <v>0</v>
      </c>
      <c r="T626" s="0" t="n">
        <f aca="false">IF(RESET=1,0,T626+IF(H626=0,1,0))</f>
        <v>0</v>
      </c>
      <c r="U626" s="0" t="n">
        <f aca="false">IF(RESET=1,0,U626+H626)</f>
        <v>0</v>
      </c>
      <c r="V626" s="19" t="n">
        <f aca="false">R626/(T626+0.00001)</f>
        <v>0</v>
      </c>
      <c r="W626" s="19" t="n">
        <f aca="false">S626/(U626+0.0001)</f>
        <v>0</v>
      </c>
      <c r="X626" s="47" t="e">
        <f aca="false">IF(Informed=1,K626,0)</f>
        <v>#N/A</v>
      </c>
      <c r="Y626" s="47" t="n">
        <f aca="false">IF(Informed=0,K626,0)</f>
        <v>0</v>
      </c>
      <c r="Z626" s="47" t="e">
        <f aca="false">IF(Informed=1,N626,0)</f>
        <v>#N/A</v>
      </c>
      <c r="AA626" s="47" t="n">
        <f aca="false">IF(Informed=0,N626,0)</f>
        <v>0</v>
      </c>
      <c r="AB626" s="51" t="e">
        <f aca="false">IF(Arterial=0,IF(Informed=1,1,0),0)</f>
        <v>#N/A</v>
      </c>
      <c r="AC626" s="51" t="e">
        <f aca="false">IF(Arterial=0,IF(Informed=0,1,0),0)</f>
        <v>#N/A</v>
      </c>
      <c r="AD626" s="51" t="e">
        <f aca="false">IF(Arterial=1,IF(Informed=1,1,0),0)</f>
        <v>#N/A</v>
      </c>
      <c r="AE626" s="51" t="e">
        <f aca="false">IF(Arterial=1,IF(Informed=0,1,0),0)</f>
        <v>#N/A</v>
      </c>
      <c r="AF626" s="44" t="e">
        <f aca="false">IF(AB626=1,(X626-G$1030)^2,0)</f>
        <v>#N/A</v>
      </c>
      <c r="AG626" s="44" t="e">
        <f aca="false">IF(AC626=1,(Y626-H$1030)^2,0)</f>
        <v>#N/A</v>
      </c>
      <c r="AH626" s="44" t="e">
        <f aca="false">IF(AD626=1,(Z626-I$1030)^2,0)</f>
        <v>#N/A</v>
      </c>
      <c r="AI626" s="44" t="e">
        <f aca="false">IF(AE626=1,(AA626-J$1030)^2,0)</f>
        <v>#N/A</v>
      </c>
    </row>
    <row r="627" customFormat="false" ht="12" hidden="false" customHeight="false" outlineLevel="0" collapsed="false">
      <c r="A627" s="29" t="n">
        <v>610</v>
      </c>
      <c r="B627" s="45" t="n">
        <f aca="true">IF(RAND()&lt;$D$8,1,0)</f>
        <v>1</v>
      </c>
      <c r="C627" s="34" t="n">
        <f aca="true">-LN(RAND())/$D$2</f>
        <v>0.0686095773441426</v>
      </c>
      <c r="D627" s="46" t="n">
        <f aca="false">D626+C627</f>
        <v>953.859163808527</v>
      </c>
      <c r="E627" s="47" t="e">
        <f aca="false">MAX($D$3,(1+P626-VLOOKUP(VALUE(D627),$J$18:$Q626,7,TRUE()))*$D$3)</f>
        <v>#N/A</v>
      </c>
      <c r="F627" s="47" t="e">
        <f aca="false">MAX($D$4,(1+Q626-VLOOKUP(VALUE(D627),$M$18:$Q626,5,TRUE()))*$D$4)</f>
        <v>#N/A</v>
      </c>
      <c r="G627" s="48" t="n">
        <v>0.5</v>
      </c>
      <c r="H627" s="46" t="e">
        <f aca="true">IF((B627=1),(IF((F627&lt;E627),1,(IF((F627=E627),(IF(RAND()&lt;G627,1,0)),0)))),(IF((RAND()&lt;G627),1,0)))</f>
        <v>#N/A</v>
      </c>
      <c r="I627" s="46" t="e">
        <f aca="true">IF((H627=1),0,$D$3+$D$5*(RAND()-0.5))</f>
        <v>#N/A</v>
      </c>
      <c r="J627" s="46" t="e">
        <f aca="false">I627+MAX(D627,J626)</f>
        <v>#N/A</v>
      </c>
      <c r="K627" s="46" t="e">
        <f aca="false">IF((H627=0),J627-D627,0)</f>
        <v>#N/A</v>
      </c>
      <c r="L627" s="46" t="e">
        <f aca="true">IF(($H627=0),0,$D$4+$D$5*(RAND()-0.5))</f>
        <v>#N/A</v>
      </c>
      <c r="M627" s="46" t="e">
        <f aca="false">L627+MAX(D627,M626)</f>
        <v>#N/A</v>
      </c>
      <c r="N627" s="46" t="e">
        <f aca="false">IF((H627=1),M627-D627,0)</f>
        <v>#N/A</v>
      </c>
      <c r="O627" s="29" t="n">
        <v>610</v>
      </c>
      <c r="P627" s="49" t="e">
        <f aca="false">IF((Arterial=0),P626+1,P626)</f>
        <v>#N/A</v>
      </c>
      <c r="Q627" s="49" t="e">
        <f aca="false">IF((Arterial=1),Q626+1,Q626)</f>
        <v>#N/A</v>
      </c>
      <c r="R627" s="50" t="n">
        <f aca="false">IF((RESET=1),0,R627+K627)</f>
        <v>0</v>
      </c>
      <c r="S627" s="19" t="n">
        <f aca="false">IF(RESET=1,0,S627+N627)</f>
        <v>0</v>
      </c>
      <c r="T627" s="0" t="n">
        <f aca="false">IF(RESET=1,0,T627+IF(H627=0,1,0))</f>
        <v>0</v>
      </c>
      <c r="U627" s="0" t="n">
        <f aca="false">IF(RESET=1,0,U627+H627)</f>
        <v>0</v>
      </c>
      <c r="V627" s="19" t="n">
        <f aca="false">R627/(T627+0.00001)</f>
        <v>0</v>
      </c>
      <c r="W627" s="19" t="n">
        <f aca="false">S627/(U627+0.0001)</f>
        <v>0</v>
      </c>
      <c r="X627" s="47" t="e">
        <f aca="false">IF(Informed=1,K627,0)</f>
        <v>#N/A</v>
      </c>
      <c r="Y627" s="47" t="n">
        <f aca="false">IF(Informed=0,K627,0)</f>
        <v>0</v>
      </c>
      <c r="Z627" s="47" t="e">
        <f aca="false">IF(Informed=1,N627,0)</f>
        <v>#N/A</v>
      </c>
      <c r="AA627" s="47" t="n">
        <f aca="false">IF(Informed=0,N627,0)</f>
        <v>0</v>
      </c>
      <c r="AB627" s="51" t="e">
        <f aca="false">IF(Arterial=0,IF(Informed=1,1,0),0)</f>
        <v>#N/A</v>
      </c>
      <c r="AC627" s="51" t="e">
        <f aca="false">IF(Arterial=0,IF(Informed=0,1,0),0)</f>
        <v>#N/A</v>
      </c>
      <c r="AD627" s="51" t="e">
        <f aca="false">IF(Arterial=1,IF(Informed=1,1,0),0)</f>
        <v>#N/A</v>
      </c>
      <c r="AE627" s="51" t="e">
        <f aca="false">IF(Arterial=1,IF(Informed=0,1,0),0)</f>
        <v>#N/A</v>
      </c>
      <c r="AF627" s="44" t="e">
        <f aca="false">IF(AB627=1,(X627-G$1030)^2,0)</f>
        <v>#N/A</v>
      </c>
      <c r="AG627" s="44" t="e">
        <f aca="false">IF(AC627=1,(Y627-H$1030)^2,0)</f>
        <v>#N/A</v>
      </c>
      <c r="AH627" s="44" t="e">
        <f aca="false">IF(AD627=1,(Z627-I$1030)^2,0)</f>
        <v>#N/A</v>
      </c>
      <c r="AI627" s="44" t="e">
        <f aca="false">IF(AE627=1,(AA627-J$1030)^2,0)</f>
        <v>#N/A</v>
      </c>
    </row>
    <row r="628" customFormat="false" ht="12" hidden="false" customHeight="false" outlineLevel="0" collapsed="false">
      <c r="A628" s="29" t="n">
        <v>611</v>
      </c>
      <c r="B628" s="45" t="n">
        <f aca="true">IF(RAND()&lt;$D$8,1,0)</f>
        <v>1</v>
      </c>
      <c r="C628" s="34" t="n">
        <f aca="true">-LN(RAND())/$D$2</f>
        <v>0.742793701651449</v>
      </c>
      <c r="D628" s="46" t="n">
        <f aca="false">D627+C628</f>
        <v>954.601957510178</v>
      </c>
      <c r="E628" s="47" t="e">
        <f aca="false">MAX($D$3,(1+P627-VLOOKUP(VALUE(D628),$J$18:$Q627,7,TRUE()))*$D$3)</f>
        <v>#N/A</v>
      </c>
      <c r="F628" s="47" t="e">
        <f aca="false">MAX($D$4,(1+Q627-VLOOKUP(VALUE(D628),$M$18:$Q627,5,TRUE()))*$D$4)</f>
        <v>#N/A</v>
      </c>
      <c r="G628" s="48" t="n">
        <v>0.5</v>
      </c>
      <c r="H628" s="46" t="e">
        <f aca="true">IF((B628=1),(IF((F628&lt;E628),1,(IF((F628=E628),(IF(RAND()&lt;G628,1,0)),0)))),(IF((RAND()&lt;G628),1,0)))</f>
        <v>#N/A</v>
      </c>
      <c r="I628" s="46" t="e">
        <f aca="true">IF((H628=1),0,$D$3+$D$5*(RAND()-0.5))</f>
        <v>#N/A</v>
      </c>
      <c r="J628" s="46" t="e">
        <f aca="false">I628+MAX(D628,J627)</f>
        <v>#N/A</v>
      </c>
      <c r="K628" s="46" t="e">
        <f aca="false">IF((H628=0),J628-D628,0)</f>
        <v>#N/A</v>
      </c>
      <c r="L628" s="46" t="e">
        <f aca="true">IF(($H628=0),0,$D$4+$D$5*(RAND()-0.5))</f>
        <v>#N/A</v>
      </c>
      <c r="M628" s="46" t="e">
        <f aca="false">L628+MAX(D628,M627)</f>
        <v>#N/A</v>
      </c>
      <c r="N628" s="46" t="e">
        <f aca="false">IF((H628=1),M628-D628,0)</f>
        <v>#N/A</v>
      </c>
      <c r="O628" s="29" t="n">
        <v>611</v>
      </c>
      <c r="P628" s="49" t="e">
        <f aca="false">IF((Arterial=0),P627+1,P627)</f>
        <v>#N/A</v>
      </c>
      <c r="Q628" s="49" t="e">
        <f aca="false">IF((Arterial=1),Q627+1,Q627)</f>
        <v>#N/A</v>
      </c>
      <c r="R628" s="50" t="n">
        <f aca="false">IF((RESET=1),0,R628+K628)</f>
        <v>0</v>
      </c>
      <c r="S628" s="19" t="n">
        <f aca="false">IF(RESET=1,0,S628+N628)</f>
        <v>0</v>
      </c>
      <c r="T628" s="0" t="n">
        <f aca="false">IF(RESET=1,0,T628+IF(H628=0,1,0))</f>
        <v>0</v>
      </c>
      <c r="U628" s="0" t="n">
        <f aca="false">IF(RESET=1,0,U628+H628)</f>
        <v>0</v>
      </c>
      <c r="V628" s="19" t="n">
        <f aca="false">R628/(T628+0.00001)</f>
        <v>0</v>
      </c>
      <c r="W628" s="19" t="n">
        <f aca="false">S628/(U628+0.0001)</f>
        <v>0</v>
      </c>
      <c r="X628" s="47" t="e">
        <f aca="false">IF(Informed=1,K628,0)</f>
        <v>#N/A</v>
      </c>
      <c r="Y628" s="47" t="n">
        <f aca="false">IF(Informed=0,K628,0)</f>
        <v>0</v>
      </c>
      <c r="Z628" s="47" t="e">
        <f aca="false">IF(Informed=1,N628,0)</f>
        <v>#N/A</v>
      </c>
      <c r="AA628" s="47" t="n">
        <f aca="false">IF(Informed=0,N628,0)</f>
        <v>0</v>
      </c>
      <c r="AB628" s="51" t="e">
        <f aca="false">IF(Arterial=0,IF(Informed=1,1,0),0)</f>
        <v>#N/A</v>
      </c>
      <c r="AC628" s="51" t="e">
        <f aca="false">IF(Arterial=0,IF(Informed=0,1,0),0)</f>
        <v>#N/A</v>
      </c>
      <c r="AD628" s="51" t="e">
        <f aca="false">IF(Arterial=1,IF(Informed=1,1,0),0)</f>
        <v>#N/A</v>
      </c>
      <c r="AE628" s="51" t="e">
        <f aca="false">IF(Arterial=1,IF(Informed=0,1,0),0)</f>
        <v>#N/A</v>
      </c>
      <c r="AF628" s="44" t="e">
        <f aca="false">IF(AB628=1,(X628-G$1030)^2,0)</f>
        <v>#N/A</v>
      </c>
      <c r="AG628" s="44" t="e">
        <f aca="false">IF(AC628=1,(Y628-H$1030)^2,0)</f>
        <v>#N/A</v>
      </c>
      <c r="AH628" s="44" t="e">
        <f aca="false">IF(AD628=1,(Z628-I$1030)^2,0)</f>
        <v>#N/A</v>
      </c>
      <c r="AI628" s="44" t="e">
        <f aca="false">IF(AE628=1,(AA628-J$1030)^2,0)</f>
        <v>#N/A</v>
      </c>
    </row>
    <row r="629" customFormat="false" ht="12" hidden="false" customHeight="false" outlineLevel="0" collapsed="false">
      <c r="A629" s="29" t="n">
        <v>612</v>
      </c>
      <c r="B629" s="45" t="n">
        <f aca="true">IF(RAND()&lt;$D$8,1,0)</f>
        <v>1</v>
      </c>
      <c r="C629" s="34" t="n">
        <f aca="true">-LN(RAND())/$D$2</f>
        <v>7.12972859150083</v>
      </c>
      <c r="D629" s="46" t="n">
        <f aca="false">D628+C629</f>
        <v>961.731686101679</v>
      </c>
      <c r="E629" s="47" t="e">
        <f aca="false">MAX($D$3,(1+P628-VLOOKUP(VALUE(D629),$J$18:$Q628,7,TRUE()))*$D$3)</f>
        <v>#N/A</v>
      </c>
      <c r="F629" s="47" t="e">
        <f aca="false">MAX($D$4,(1+Q628-VLOOKUP(VALUE(D629),$M$18:$Q628,5,TRUE()))*$D$4)</f>
        <v>#N/A</v>
      </c>
      <c r="G629" s="48" t="n">
        <v>0.5</v>
      </c>
      <c r="H629" s="46" t="e">
        <f aca="true">IF((B629=1),(IF((F629&lt;E629),1,(IF((F629=E629),(IF(RAND()&lt;G629,1,0)),0)))),(IF((RAND()&lt;G629),1,0)))</f>
        <v>#N/A</v>
      </c>
      <c r="I629" s="46" t="e">
        <f aca="true">IF((H629=1),0,$D$3+$D$5*(RAND()-0.5))</f>
        <v>#N/A</v>
      </c>
      <c r="J629" s="46" t="e">
        <f aca="false">I629+MAX(D629,J628)</f>
        <v>#N/A</v>
      </c>
      <c r="K629" s="46" t="e">
        <f aca="false">IF((H629=0),J629-D629,0)</f>
        <v>#N/A</v>
      </c>
      <c r="L629" s="46" t="e">
        <f aca="true">IF(($H629=0),0,$D$4+$D$5*(RAND()-0.5))</f>
        <v>#N/A</v>
      </c>
      <c r="M629" s="46" t="e">
        <f aca="false">L629+MAX(D629,M628)</f>
        <v>#N/A</v>
      </c>
      <c r="N629" s="46" t="e">
        <f aca="false">IF((H629=1),M629-D629,0)</f>
        <v>#N/A</v>
      </c>
      <c r="O629" s="29" t="n">
        <v>612</v>
      </c>
      <c r="P629" s="49" t="e">
        <f aca="false">IF((Arterial=0),P628+1,P628)</f>
        <v>#N/A</v>
      </c>
      <c r="Q629" s="49" t="e">
        <f aca="false">IF((Arterial=1),Q628+1,Q628)</f>
        <v>#N/A</v>
      </c>
      <c r="R629" s="50" t="n">
        <f aca="false">IF((RESET=1),0,R629+K629)</f>
        <v>0</v>
      </c>
      <c r="S629" s="19" t="n">
        <f aca="false">IF(RESET=1,0,S629+N629)</f>
        <v>0</v>
      </c>
      <c r="T629" s="0" t="n">
        <f aca="false">IF(RESET=1,0,T629+IF(H629=0,1,0))</f>
        <v>0</v>
      </c>
      <c r="U629" s="0" t="n">
        <f aca="false">IF(RESET=1,0,U629+H629)</f>
        <v>0</v>
      </c>
      <c r="V629" s="19" t="n">
        <f aca="false">R629/(T629+0.00001)</f>
        <v>0</v>
      </c>
      <c r="W629" s="19" t="n">
        <f aca="false">S629/(U629+0.0001)</f>
        <v>0</v>
      </c>
      <c r="X629" s="47" t="e">
        <f aca="false">IF(Informed=1,K629,0)</f>
        <v>#N/A</v>
      </c>
      <c r="Y629" s="47" t="n">
        <f aca="false">IF(Informed=0,K629,0)</f>
        <v>0</v>
      </c>
      <c r="Z629" s="47" t="e">
        <f aca="false">IF(Informed=1,N629,0)</f>
        <v>#N/A</v>
      </c>
      <c r="AA629" s="47" t="n">
        <f aca="false">IF(Informed=0,N629,0)</f>
        <v>0</v>
      </c>
      <c r="AB629" s="51" t="e">
        <f aca="false">IF(Arterial=0,IF(Informed=1,1,0),0)</f>
        <v>#N/A</v>
      </c>
      <c r="AC629" s="51" t="e">
        <f aca="false">IF(Arterial=0,IF(Informed=0,1,0),0)</f>
        <v>#N/A</v>
      </c>
      <c r="AD629" s="51" t="e">
        <f aca="false">IF(Arterial=1,IF(Informed=1,1,0),0)</f>
        <v>#N/A</v>
      </c>
      <c r="AE629" s="51" t="e">
        <f aca="false">IF(Arterial=1,IF(Informed=0,1,0),0)</f>
        <v>#N/A</v>
      </c>
      <c r="AF629" s="44" t="e">
        <f aca="false">IF(AB629=1,(X629-G$1030)^2,0)</f>
        <v>#N/A</v>
      </c>
      <c r="AG629" s="44" t="e">
        <f aca="false">IF(AC629=1,(Y629-H$1030)^2,0)</f>
        <v>#N/A</v>
      </c>
      <c r="AH629" s="44" t="e">
        <f aca="false">IF(AD629=1,(Z629-I$1030)^2,0)</f>
        <v>#N/A</v>
      </c>
      <c r="AI629" s="44" t="e">
        <f aca="false">IF(AE629=1,(AA629-J$1030)^2,0)</f>
        <v>#N/A</v>
      </c>
    </row>
    <row r="630" customFormat="false" ht="12" hidden="false" customHeight="false" outlineLevel="0" collapsed="false">
      <c r="A630" s="29" t="n">
        <v>613</v>
      </c>
      <c r="B630" s="45" t="n">
        <f aca="true">IF(RAND()&lt;$D$8,1,0)</f>
        <v>1</v>
      </c>
      <c r="C630" s="34" t="n">
        <f aca="true">-LN(RAND())/$D$2</f>
        <v>0.112346541986591</v>
      </c>
      <c r="D630" s="46" t="n">
        <f aca="false">D629+C630</f>
        <v>961.844032643666</v>
      </c>
      <c r="E630" s="47" t="e">
        <f aca="false">MAX($D$3,(1+P629-VLOOKUP(VALUE(D630),$J$18:$Q629,7,TRUE()))*$D$3)</f>
        <v>#N/A</v>
      </c>
      <c r="F630" s="47" t="e">
        <f aca="false">MAX($D$4,(1+Q629-VLOOKUP(VALUE(D630),$M$18:$Q629,5,TRUE()))*$D$4)</f>
        <v>#N/A</v>
      </c>
      <c r="G630" s="48" t="n">
        <v>0.5</v>
      </c>
      <c r="H630" s="46" t="e">
        <f aca="true">IF((B630=1),(IF((F630&lt;E630),1,(IF((F630=E630),(IF(RAND()&lt;G630,1,0)),0)))),(IF((RAND()&lt;G630),1,0)))</f>
        <v>#N/A</v>
      </c>
      <c r="I630" s="46" t="e">
        <f aca="true">IF((H630=1),0,$D$3+$D$5*(RAND()-0.5))</f>
        <v>#N/A</v>
      </c>
      <c r="J630" s="46" t="e">
        <f aca="false">I630+MAX(D630,J629)</f>
        <v>#N/A</v>
      </c>
      <c r="K630" s="46" t="e">
        <f aca="false">IF((H630=0),J630-D630,0)</f>
        <v>#N/A</v>
      </c>
      <c r="L630" s="46" t="e">
        <f aca="true">IF(($H630=0),0,$D$4+$D$5*(RAND()-0.5))</f>
        <v>#N/A</v>
      </c>
      <c r="M630" s="46" t="e">
        <f aca="false">L630+MAX(D630,M629)</f>
        <v>#N/A</v>
      </c>
      <c r="N630" s="46" t="e">
        <f aca="false">IF((H630=1),M630-D630,0)</f>
        <v>#N/A</v>
      </c>
      <c r="O630" s="29" t="n">
        <v>613</v>
      </c>
      <c r="P630" s="49" t="e">
        <f aca="false">IF((Arterial=0),P629+1,P629)</f>
        <v>#N/A</v>
      </c>
      <c r="Q630" s="49" t="e">
        <f aca="false">IF((Arterial=1),Q629+1,Q629)</f>
        <v>#N/A</v>
      </c>
      <c r="R630" s="50" t="n">
        <f aca="false">IF((RESET=1),0,R630+K630)</f>
        <v>0</v>
      </c>
      <c r="S630" s="19" t="n">
        <f aca="false">IF(RESET=1,0,S630+N630)</f>
        <v>0</v>
      </c>
      <c r="T630" s="0" t="n">
        <f aca="false">IF(RESET=1,0,T630+IF(H630=0,1,0))</f>
        <v>0</v>
      </c>
      <c r="U630" s="0" t="n">
        <f aca="false">IF(RESET=1,0,U630+H630)</f>
        <v>0</v>
      </c>
      <c r="V630" s="19" t="n">
        <f aca="false">R630/(T630+0.00001)</f>
        <v>0</v>
      </c>
      <c r="W630" s="19" t="n">
        <f aca="false">S630/(U630+0.0001)</f>
        <v>0</v>
      </c>
      <c r="X630" s="47" t="e">
        <f aca="false">IF(Informed=1,K630,0)</f>
        <v>#N/A</v>
      </c>
      <c r="Y630" s="47" t="n">
        <f aca="false">IF(Informed=0,K630,0)</f>
        <v>0</v>
      </c>
      <c r="Z630" s="47" t="e">
        <f aca="false">IF(Informed=1,N630,0)</f>
        <v>#N/A</v>
      </c>
      <c r="AA630" s="47" t="n">
        <f aca="false">IF(Informed=0,N630,0)</f>
        <v>0</v>
      </c>
      <c r="AB630" s="51" t="e">
        <f aca="false">IF(Arterial=0,IF(Informed=1,1,0),0)</f>
        <v>#N/A</v>
      </c>
      <c r="AC630" s="51" t="e">
        <f aca="false">IF(Arterial=0,IF(Informed=0,1,0),0)</f>
        <v>#N/A</v>
      </c>
      <c r="AD630" s="51" t="e">
        <f aca="false">IF(Arterial=1,IF(Informed=1,1,0),0)</f>
        <v>#N/A</v>
      </c>
      <c r="AE630" s="51" t="e">
        <f aca="false">IF(Arterial=1,IF(Informed=0,1,0),0)</f>
        <v>#N/A</v>
      </c>
      <c r="AF630" s="44" t="e">
        <f aca="false">IF(AB630=1,(X630-G$1030)^2,0)</f>
        <v>#N/A</v>
      </c>
      <c r="AG630" s="44" t="e">
        <f aca="false">IF(AC630=1,(Y630-H$1030)^2,0)</f>
        <v>#N/A</v>
      </c>
      <c r="AH630" s="44" t="e">
        <f aca="false">IF(AD630=1,(Z630-I$1030)^2,0)</f>
        <v>#N/A</v>
      </c>
      <c r="AI630" s="44" t="e">
        <f aca="false">IF(AE630=1,(AA630-J$1030)^2,0)</f>
        <v>#N/A</v>
      </c>
    </row>
    <row r="631" customFormat="false" ht="12" hidden="false" customHeight="false" outlineLevel="0" collapsed="false">
      <c r="A631" s="29" t="n">
        <v>614</v>
      </c>
      <c r="B631" s="45" t="n">
        <f aca="true">IF(RAND()&lt;$D$8,1,0)</f>
        <v>1</v>
      </c>
      <c r="C631" s="34" t="n">
        <f aca="true">-LN(RAND())/$D$2</f>
        <v>0.992092472349307</v>
      </c>
      <c r="D631" s="46" t="n">
        <f aca="false">D630+C631</f>
        <v>962.836125116015</v>
      </c>
      <c r="E631" s="47" t="e">
        <f aca="false">MAX($D$3,(1+P630-VLOOKUP(VALUE(D631),$J$18:$Q630,7,TRUE()))*$D$3)</f>
        <v>#N/A</v>
      </c>
      <c r="F631" s="47" t="e">
        <f aca="false">MAX($D$4,(1+Q630-VLOOKUP(VALUE(D631),$M$18:$Q630,5,TRUE()))*$D$4)</f>
        <v>#N/A</v>
      </c>
      <c r="G631" s="48" t="n">
        <v>0.5</v>
      </c>
      <c r="H631" s="46" t="e">
        <f aca="true">IF((B631=1),(IF((F631&lt;E631),1,(IF((F631=E631),(IF(RAND()&lt;G631,1,0)),0)))),(IF((RAND()&lt;G631),1,0)))</f>
        <v>#N/A</v>
      </c>
      <c r="I631" s="46" t="e">
        <f aca="true">IF((H631=1),0,$D$3+$D$5*(RAND()-0.5))</f>
        <v>#N/A</v>
      </c>
      <c r="J631" s="46" t="e">
        <f aca="false">I631+MAX(D631,J630)</f>
        <v>#N/A</v>
      </c>
      <c r="K631" s="46" t="e">
        <f aca="false">IF((H631=0),J631-D631,0)</f>
        <v>#N/A</v>
      </c>
      <c r="L631" s="46" t="e">
        <f aca="true">IF(($H631=0),0,$D$4+$D$5*(RAND()-0.5))</f>
        <v>#N/A</v>
      </c>
      <c r="M631" s="46" t="e">
        <f aca="false">L631+MAX(D631,M630)</f>
        <v>#N/A</v>
      </c>
      <c r="N631" s="46" t="e">
        <f aca="false">IF((H631=1),M631-D631,0)</f>
        <v>#N/A</v>
      </c>
      <c r="O631" s="29" t="n">
        <v>614</v>
      </c>
      <c r="P631" s="49" t="e">
        <f aca="false">IF((Arterial=0),P630+1,P630)</f>
        <v>#N/A</v>
      </c>
      <c r="Q631" s="49" t="e">
        <f aca="false">IF((Arterial=1),Q630+1,Q630)</f>
        <v>#N/A</v>
      </c>
      <c r="R631" s="50" t="n">
        <f aca="false">IF((RESET=1),0,R631+K631)</f>
        <v>0</v>
      </c>
      <c r="S631" s="19" t="n">
        <f aca="false">IF(RESET=1,0,S631+N631)</f>
        <v>0</v>
      </c>
      <c r="T631" s="0" t="n">
        <f aca="false">IF(RESET=1,0,T631+IF(H631=0,1,0))</f>
        <v>0</v>
      </c>
      <c r="U631" s="0" t="n">
        <f aca="false">IF(RESET=1,0,U631+H631)</f>
        <v>0</v>
      </c>
      <c r="V631" s="19" t="n">
        <f aca="false">R631/(T631+0.00001)</f>
        <v>0</v>
      </c>
      <c r="W631" s="19" t="n">
        <f aca="false">S631/(U631+0.0001)</f>
        <v>0</v>
      </c>
      <c r="X631" s="47" t="e">
        <f aca="false">IF(Informed=1,K631,0)</f>
        <v>#N/A</v>
      </c>
      <c r="Y631" s="47" t="n">
        <f aca="false">IF(Informed=0,K631,0)</f>
        <v>0</v>
      </c>
      <c r="Z631" s="47" t="e">
        <f aca="false">IF(Informed=1,N631,0)</f>
        <v>#N/A</v>
      </c>
      <c r="AA631" s="47" t="n">
        <f aca="false">IF(Informed=0,N631,0)</f>
        <v>0</v>
      </c>
      <c r="AB631" s="51" t="e">
        <f aca="false">IF(Arterial=0,IF(Informed=1,1,0),0)</f>
        <v>#N/A</v>
      </c>
      <c r="AC631" s="51" t="e">
        <f aca="false">IF(Arterial=0,IF(Informed=0,1,0),0)</f>
        <v>#N/A</v>
      </c>
      <c r="AD631" s="51" t="e">
        <f aca="false">IF(Arterial=1,IF(Informed=1,1,0),0)</f>
        <v>#N/A</v>
      </c>
      <c r="AE631" s="51" t="e">
        <f aca="false">IF(Arterial=1,IF(Informed=0,1,0),0)</f>
        <v>#N/A</v>
      </c>
      <c r="AF631" s="44" t="e">
        <f aca="false">IF(AB631=1,(X631-G$1030)^2,0)</f>
        <v>#N/A</v>
      </c>
      <c r="AG631" s="44" t="e">
        <f aca="false">IF(AC631=1,(Y631-H$1030)^2,0)</f>
        <v>#N/A</v>
      </c>
      <c r="AH631" s="44" t="e">
        <f aca="false">IF(AD631=1,(Z631-I$1030)^2,0)</f>
        <v>#N/A</v>
      </c>
      <c r="AI631" s="44" t="e">
        <f aca="false">IF(AE631=1,(AA631-J$1030)^2,0)</f>
        <v>#N/A</v>
      </c>
    </row>
    <row r="632" customFormat="false" ht="12" hidden="false" customHeight="false" outlineLevel="0" collapsed="false">
      <c r="A632" s="29" t="n">
        <v>615</v>
      </c>
      <c r="B632" s="45" t="n">
        <f aca="true">IF(RAND()&lt;$D$8,1,0)</f>
        <v>1</v>
      </c>
      <c r="C632" s="34" t="n">
        <f aca="true">-LN(RAND())/$D$2</f>
        <v>0.58006855716492</v>
      </c>
      <c r="D632" s="46" t="n">
        <f aca="false">D631+C632</f>
        <v>963.41619367318</v>
      </c>
      <c r="E632" s="47" t="e">
        <f aca="false">MAX($D$3,(1+P631-VLOOKUP(VALUE(D632),$J$18:$Q631,7,TRUE()))*$D$3)</f>
        <v>#N/A</v>
      </c>
      <c r="F632" s="47" t="e">
        <f aca="false">MAX($D$4,(1+Q631-VLOOKUP(VALUE(D632),$M$18:$Q631,5,TRUE()))*$D$4)</f>
        <v>#N/A</v>
      </c>
      <c r="G632" s="48" t="n">
        <v>0.5</v>
      </c>
      <c r="H632" s="46" t="e">
        <f aca="true">IF((B632=1),(IF((F632&lt;E632),1,(IF((F632=E632),(IF(RAND()&lt;G632,1,0)),0)))),(IF((RAND()&lt;G632),1,0)))</f>
        <v>#N/A</v>
      </c>
      <c r="I632" s="46" t="e">
        <f aca="true">IF((H632=1),0,$D$3+$D$5*(RAND()-0.5))</f>
        <v>#N/A</v>
      </c>
      <c r="J632" s="46" t="e">
        <f aca="false">I632+MAX(D632,J631)</f>
        <v>#N/A</v>
      </c>
      <c r="K632" s="46" t="e">
        <f aca="false">IF((H632=0),J632-D632,0)</f>
        <v>#N/A</v>
      </c>
      <c r="L632" s="46" t="e">
        <f aca="true">IF(($H632=0),0,$D$4+$D$5*(RAND()-0.5))</f>
        <v>#N/A</v>
      </c>
      <c r="M632" s="46" t="e">
        <f aca="false">L632+MAX(D632,M631)</f>
        <v>#N/A</v>
      </c>
      <c r="N632" s="46" t="e">
        <f aca="false">IF((H632=1),M632-D632,0)</f>
        <v>#N/A</v>
      </c>
      <c r="O632" s="29" t="n">
        <v>615</v>
      </c>
      <c r="P632" s="49" t="e">
        <f aca="false">IF((Arterial=0),P631+1,P631)</f>
        <v>#N/A</v>
      </c>
      <c r="Q632" s="49" t="e">
        <f aca="false">IF((Arterial=1),Q631+1,Q631)</f>
        <v>#N/A</v>
      </c>
      <c r="R632" s="50" t="n">
        <f aca="false">IF((RESET=1),0,R632+K632)</f>
        <v>0</v>
      </c>
      <c r="S632" s="19" t="n">
        <f aca="false">IF(RESET=1,0,S632+N632)</f>
        <v>0</v>
      </c>
      <c r="T632" s="0" t="n">
        <f aca="false">IF(RESET=1,0,T632+IF(H632=0,1,0))</f>
        <v>0</v>
      </c>
      <c r="U632" s="0" t="n">
        <f aca="false">IF(RESET=1,0,U632+H632)</f>
        <v>0</v>
      </c>
      <c r="V632" s="19" t="n">
        <f aca="false">R632/(T632+0.00001)</f>
        <v>0</v>
      </c>
      <c r="W632" s="19" t="n">
        <f aca="false">S632/(U632+0.0001)</f>
        <v>0</v>
      </c>
      <c r="X632" s="47" t="e">
        <f aca="false">IF(Informed=1,K632,0)</f>
        <v>#N/A</v>
      </c>
      <c r="Y632" s="47" t="n">
        <f aca="false">IF(Informed=0,K632,0)</f>
        <v>0</v>
      </c>
      <c r="Z632" s="47" t="e">
        <f aca="false">IF(Informed=1,N632,0)</f>
        <v>#N/A</v>
      </c>
      <c r="AA632" s="47" t="n">
        <f aca="false">IF(Informed=0,N632,0)</f>
        <v>0</v>
      </c>
      <c r="AB632" s="51" t="e">
        <f aca="false">IF(Arterial=0,IF(Informed=1,1,0),0)</f>
        <v>#N/A</v>
      </c>
      <c r="AC632" s="51" t="e">
        <f aca="false">IF(Arterial=0,IF(Informed=0,1,0),0)</f>
        <v>#N/A</v>
      </c>
      <c r="AD632" s="51" t="e">
        <f aca="false">IF(Arterial=1,IF(Informed=1,1,0),0)</f>
        <v>#N/A</v>
      </c>
      <c r="AE632" s="51" t="e">
        <f aca="false">IF(Arterial=1,IF(Informed=0,1,0),0)</f>
        <v>#N/A</v>
      </c>
      <c r="AF632" s="44" t="e">
        <f aca="false">IF(AB632=1,(X632-G$1030)^2,0)</f>
        <v>#N/A</v>
      </c>
      <c r="AG632" s="44" t="e">
        <f aca="false">IF(AC632=1,(Y632-H$1030)^2,0)</f>
        <v>#N/A</v>
      </c>
      <c r="AH632" s="44" t="e">
        <f aca="false">IF(AD632=1,(Z632-I$1030)^2,0)</f>
        <v>#N/A</v>
      </c>
      <c r="AI632" s="44" t="e">
        <f aca="false">IF(AE632=1,(AA632-J$1030)^2,0)</f>
        <v>#N/A</v>
      </c>
    </row>
    <row r="633" customFormat="false" ht="12" hidden="false" customHeight="false" outlineLevel="0" collapsed="false">
      <c r="A633" s="29" t="n">
        <v>616</v>
      </c>
      <c r="B633" s="45" t="n">
        <f aca="true">IF(RAND()&lt;$D$8,1,0)</f>
        <v>1</v>
      </c>
      <c r="C633" s="34" t="n">
        <f aca="true">-LN(RAND())/$D$2</f>
        <v>2.57348882471082</v>
      </c>
      <c r="D633" s="46" t="n">
        <f aca="false">D632+C633</f>
        <v>965.989682497891</v>
      </c>
      <c r="E633" s="47" t="e">
        <f aca="false">MAX($D$3,(1+P632-VLOOKUP(VALUE(D633),$J$18:$Q632,7,TRUE()))*$D$3)</f>
        <v>#N/A</v>
      </c>
      <c r="F633" s="47" t="e">
        <f aca="false">MAX($D$4,(1+Q632-VLOOKUP(VALUE(D633),$M$18:$Q632,5,TRUE()))*$D$4)</f>
        <v>#N/A</v>
      </c>
      <c r="G633" s="48" t="n">
        <v>0.5</v>
      </c>
      <c r="H633" s="46" t="e">
        <f aca="true">IF((B633=1),(IF((F633&lt;E633),1,(IF((F633=E633),(IF(RAND()&lt;G633,1,0)),0)))),(IF((RAND()&lt;G633),1,0)))</f>
        <v>#N/A</v>
      </c>
      <c r="I633" s="46" t="e">
        <f aca="true">IF((H633=1),0,$D$3+$D$5*(RAND()-0.5))</f>
        <v>#N/A</v>
      </c>
      <c r="J633" s="46" t="e">
        <f aca="false">I633+MAX(D633,J632)</f>
        <v>#N/A</v>
      </c>
      <c r="K633" s="46" t="e">
        <f aca="false">IF((H633=0),J633-D633,0)</f>
        <v>#N/A</v>
      </c>
      <c r="L633" s="46" t="e">
        <f aca="true">IF(($H633=0),0,$D$4+$D$5*(RAND()-0.5))</f>
        <v>#N/A</v>
      </c>
      <c r="M633" s="46" t="e">
        <f aca="false">L633+MAX(D633,M632)</f>
        <v>#N/A</v>
      </c>
      <c r="N633" s="46" t="e">
        <f aca="false">IF((H633=1),M633-D633,0)</f>
        <v>#N/A</v>
      </c>
      <c r="O633" s="29" t="n">
        <v>616</v>
      </c>
      <c r="P633" s="49" t="e">
        <f aca="false">IF((Arterial=0),P632+1,P632)</f>
        <v>#N/A</v>
      </c>
      <c r="Q633" s="49" t="e">
        <f aca="false">IF((Arterial=1),Q632+1,Q632)</f>
        <v>#N/A</v>
      </c>
      <c r="R633" s="50" t="n">
        <f aca="false">IF((RESET=1),0,R633+K633)</f>
        <v>0</v>
      </c>
      <c r="S633" s="19" t="n">
        <f aca="false">IF(RESET=1,0,S633+N633)</f>
        <v>0</v>
      </c>
      <c r="T633" s="0" t="n">
        <f aca="false">IF(RESET=1,0,T633+IF(H633=0,1,0))</f>
        <v>0</v>
      </c>
      <c r="U633" s="0" t="n">
        <f aca="false">IF(RESET=1,0,U633+H633)</f>
        <v>0</v>
      </c>
      <c r="V633" s="19" t="n">
        <f aca="false">R633/(T633+0.00001)</f>
        <v>0</v>
      </c>
      <c r="W633" s="19" t="n">
        <f aca="false">S633/(U633+0.0001)</f>
        <v>0</v>
      </c>
      <c r="X633" s="47" t="e">
        <f aca="false">IF(Informed=1,K633,0)</f>
        <v>#N/A</v>
      </c>
      <c r="Y633" s="47" t="n">
        <f aca="false">IF(Informed=0,K633,0)</f>
        <v>0</v>
      </c>
      <c r="Z633" s="47" t="e">
        <f aca="false">IF(Informed=1,N633,0)</f>
        <v>#N/A</v>
      </c>
      <c r="AA633" s="47" t="n">
        <f aca="false">IF(Informed=0,N633,0)</f>
        <v>0</v>
      </c>
      <c r="AB633" s="51" t="e">
        <f aca="false">IF(Arterial=0,IF(Informed=1,1,0),0)</f>
        <v>#N/A</v>
      </c>
      <c r="AC633" s="51" t="e">
        <f aca="false">IF(Arterial=0,IF(Informed=0,1,0),0)</f>
        <v>#N/A</v>
      </c>
      <c r="AD633" s="51" t="e">
        <f aca="false">IF(Arterial=1,IF(Informed=1,1,0),0)</f>
        <v>#N/A</v>
      </c>
      <c r="AE633" s="51" t="e">
        <f aca="false">IF(Arterial=1,IF(Informed=0,1,0),0)</f>
        <v>#N/A</v>
      </c>
      <c r="AF633" s="44" t="e">
        <f aca="false">IF(AB633=1,(X633-G$1030)^2,0)</f>
        <v>#N/A</v>
      </c>
      <c r="AG633" s="44" t="e">
        <f aca="false">IF(AC633=1,(Y633-H$1030)^2,0)</f>
        <v>#N/A</v>
      </c>
      <c r="AH633" s="44" t="e">
        <f aca="false">IF(AD633=1,(Z633-I$1030)^2,0)</f>
        <v>#N/A</v>
      </c>
      <c r="AI633" s="44" t="e">
        <f aca="false">IF(AE633=1,(AA633-J$1030)^2,0)</f>
        <v>#N/A</v>
      </c>
    </row>
    <row r="634" customFormat="false" ht="12" hidden="false" customHeight="false" outlineLevel="0" collapsed="false">
      <c r="A634" s="29" t="n">
        <v>617</v>
      </c>
      <c r="B634" s="45" t="n">
        <f aca="true">IF(RAND()&lt;$D$8,1,0)</f>
        <v>1</v>
      </c>
      <c r="C634" s="34" t="n">
        <f aca="true">-LN(RAND())/$D$2</f>
        <v>0.315733830335191</v>
      </c>
      <c r="D634" s="46" t="n">
        <f aca="false">D633+C634</f>
        <v>966.305416328226</v>
      </c>
      <c r="E634" s="47" t="e">
        <f aca="false">MAX($D$3,(1+P633-VLOOKUP(VALUE(D634),$J$18:$Q633,7,TRUE()))*$D$3)</f>
        <v>#N/A</v>
      </c>
      <c r="F634" s="47" t="e">
        <f aca="false">MAX($D$4,(1+Q633-VLOOKUP(VALUE(D634),$M$18:$Q633,5,TRUE()))*$D$4)</f>
        <v>#N/A</v>
      </c>
      <c r="G634" s="48" t="n">
        <v>0.5</v>
      </c>
      <c r="H634" s="46" t="e">
        <f aca="true">IF((B634=1),(IF((F634&lt;E634),1,(IF((F634=E634),(IF(RAND()&lt;G634,1,0)),0)))),(IF((RAND()&lt;G634),1,0)))</f>
        <v>#N/A</v>
      </c>
      <c r="I634" s="46" t="e">
        <f aca="true">IF((H634=1),0,$D$3+$D$5*(RAND()-0.5))</f>
        <v>#N/A</v>
      </c>
      <c r="J634" s="46" t="e">
        <f aca="false">I634+MAX(D634,J633)</f>
        <v>#N/A</v>
      </c>
      <c r="K634" s="46" t="e">
        <f aca="false">IF((H634=0),J634-D634,0)</f>
        <v>#N/A</v>
      </c>
      <c r="L634" s="46" t="e">
        <f aca="true">IF(($H634=0),0,$D$4+$D$5*(RAND()-0.5))</f>
        <v>#N/A</v>
      </c>
      <c r="M634" s="46" t="e">
        <f aca="false">L634+MAX(D634,M633)</f>
        <v>#N/A</v>
      </c>
      <c r="N634" s="46" t="e">
        <f aca="false">IF((H634=1),M634-D634,0)</f>
        <v>#N/A</v>
      </c>
      <c r="O634" s="29" t="n">
        <v>617</v>
      </c>
      <c r="P634" s="49" t="e">
        <f aca="false">IF((Arterial=0),P633+1,P633)</f>
        <v>#N/A</v>
      </c>
      <c r="Q634" s="49" t="e">
        <f aca="false">IF((Arterial=1),Q633+1,Q633)</f>
        <v>#N/A</v>
      </c>
      <c r="R634" s="50" t="n">
        <f aca="false">IF((RESET=1),0,R634+K634)</f>
        <v>0</v>
      </c>
      <c r="S634" s="19" t="n">
        <f aca="false">IF(RESET=1,0,S634+N634)</f>
        <v>0</v>
      </c>
      <c r="T634" s="0" t="n">
        <f aca="false">IF(RESET=1,0,T634+IF(H634=0,1,0))</f>
        <v>0</v>
      </c>
      <c r="U634" s="0" t="n">
        <f aca="false">IF(RESET=1,0,U634+H634)</f>
        <v>0</v>
      </c>
      <c r="V634" s="19" t="n">
        <f aca="false">R634/(T634+0.00001)</f>
        <v>0</v>
      </c>
      <c r="W634" s="19" t="n">
        <f aca="false">S634/(U634+0.0001)</f>
        <v>0</v>
      </c>
      <c r="X634" s="47" t="e">
        <f aca="false">IF(Informed=1,K634,0)</f>
        <v>#N/A</v>
      </c>
      <c r="Y634" s="47" t="n">
        <f aca="false">IF(Informed=0,K634,0)</f>
        <v>0</v>
      </c>
      <c r="Z634" s="47" t="e">
        <f aca="false">IF(Informed=1,N634,0)</f>
        <v>#N/A</v>
      </c>
      <c r="AA634" s="47" t="n">
        <f aca="false">IF(Informed=0,N634,0)</f>
        <v>0</v>
      </c>
      <c r="AB634" s="51" t="e">
        <f aca="false">IF(Arterial=0,IF(Informed=1,1,0),0)</f>
        <v>#N/A</v>
      </c>
      <c r="AC634" s="51" t="e">
        <f aca="false">IF(Arterial=0,IF(Informed=0,1,0),0)</f>
        <v>#N/A</v>
      </c>
      <c r="AD634" s="51" t="e">
        <f aca="false">IF(Arterial=1,IF(Informed=1,1,0),0)</f>
        <v>#N/A</v>
      </c>
      <c r="AE634" s="51" t="e">
        <f aca="false">IF(Arterial=1,IF(Informed=0,1,0),0)</f>
        <v>#N/A</v>
      </c>
      <c r="AF634" s="44" t="e">
        <f aca="false">IF(AB634=1,(X634-G$1030)^2,0)</f>
        <v>#N/A</v>
      </c>
      <c r="AG634" s="44" t="e">
        <f aca="false">IF(AC634=1,(Y634-H$1030)^2,0)</f>
        <v>#N/A</v>
      </c>
      <c r="AH634" s="44" t="e">
        <f aca="false">IF(AD634=1,(Z634-I$1030)^2,0)</f>
        <v>#N/A</v>
      </c>
      <c r="AI634" s="44" t="e">
        <f aca="false">IF(AE634=1,(AA634-J$1030)^2,0)</f>
        <v>#N/A</v>
      </c>
    </row>
    <row r="635" customFormat="false" ht="12" hidden="false" customHeight="false" outlineLevel="0" collapsed="false">
      <c r="A635" s="29" t="n">
        <v>618</v>
      </c>
      <c r="B635" s="45" t="n">
        <f aca="true">IF(RAND()&lt;$D$8,1,0)</f>
        <v>1</v>
      </c>
      <c r="C635" s="34" t="n">
        <f aca="true">-LN(RAND())/$D$2</f>
        <v>1.11541527440685</v>
      </c>
      <c r="D635" s="46" t="n">
        <f aca="false">D634+C635</f>
        <v>967.420831602633</v>
      </c>
      <c r="E635" s="47" t="e">
        <f aca="false">MAX($D$3,(1+P634-VLOOKUP(VALUE(D635),$J$18:$Q634,7,TRUE()))*$D$3)</f>
        <v>#N/A</v>
      </c>
      <c r="F635" s="47" t="e">
        <f aca="false">MAX($D$4,(1+Q634-VLOOKUP(VALUE(D635),$M$18:$Q634,5,TRUE()))*$D$4)</f>
        <v>#N/A</v>
      </c>
      <c r="G635" s="48" t="n">
        <v>0.5</v>
      </c>
      <c r="H635" s="46" t="e">
        <f aca="true">IF((B635=1),(IF((F635&lt;E635),1,(IF((F635=E635),(IF(RAND()&lt;G635,1,0)),0)))),(IF((RAND()&lt;G635),1,0)))</f>
        <v>#N/A</v>
      </c>
      <c r="I635" s="46" t="e">
        <f aca="true">IF((H635=1),0,$D$3+$D$5*(RAND()-0.5))</f>
        <v>#N/A</v>
      </c>
      <c r="J635" s="46" t="e">
        <f aca="false">I635+MAX(D635,J634)</f>
        <v>#N/A</v>
      </c>
      <c r="K635" s="46" t="e">
        <f aca="false">IF((H635=0),J635-D635,0)</f>
        <v>#N/A</v>
      </c>
      <c r="L635" s="46" t="e">
        <f aca="true">IF(($H635=0),0,$D$4+$D$5*(RAND()-0.5))</f>
        <v>#N/A</v>
      </c>
      <c r="M635" s="46" t="e">
        <f aca="false">L635+MAX(D635,M634)</f>
        <v>#N/A</v>
      </c>
      <c r="N635" s="46" t="e">
        <f aca="false">IF((H635=1),M635-D635,0)</f>
        <v>#N/A</v>
      </c>
      <c r="O635" s="29" t="n">
        <v>618</v>
      </c>
      <c r="P635" s="49" t="e">
        <f aca="false">IF((Arterial=0),P634+1,P634)</f>
        <v>#N/A</v>
      </c>
      <c r="Q635" s="49" t="e">
        <f aca="false">IF((Arterial=1),Q634+1,Q634)</f>
        <v>#N/A</v>
      </c>
      <c r="R635" s="50" t="n">
        <f aca="false">IF((RESET=1),0,R635+K635)</f>
        <v>0</v>
      </c>
      <c r="S635" s="19" t="n">
        <f aca="false">IF(RESET=1,0,S635+N635)</f>
        <v>0</v>
      </c>
      <c r="T635" s="0" t="n">
        <f aca="false">IF(RESET=1,0,T635+IF(H635=0,1,0))</f>
        <v>0</v>
      </c>
      <c r="U635" s="0" t="n">
        <f aca="false">IF(RESET=1,0,U635+H635)</f>
        <v>0</v>
      </c>
      <c r="V635" s="19" t="n">
        <f aca="false">R635/(T635+0.00001)</f>
        <v>0</v>
      </c>
      <c r="W635" s="19" t="n">
        <f aca="false">S635/(U635+0.0001)</f>
        <v>0</v>
      </c>
      <c r="X635" s="47" t="e">
        <f aca="false">IF(Informed=1,K635,0)</f>
        <v>#N/A</v>
      </c>
      <c r="Y635" s="47" t="n">
        <f aca="false">IF(Informed=0,K635,0)</f>
        <v>0</v>
      </c>
      <c r="Z635" s="47" t="e">
        <f aca="false">IF(Informed=1,N635,0)</f>
        <v>#N/A</v>
      </c>
      <c r="AA635" s="47" t="n">
        <f aca="false">IF(Informed=0,N635,0)</f>
        <v>0</v>
      </c>
      <c r="AB635" s="51" t="e">
        <f aca="false">IF(Arterial=0,IF(Informed=1,1,0),0)</f>
        <v>#N/A</v>
      </c>
      <c r="AC635" s="51" t="e">
        <f aca="false">IF(Arterial=0,IF(Informed=0,1,0),0)</f>
        <v>#N/A</v>
      </c>
      <c r="AD635" s="51" t="e">
        <f aca="false">IF(Arterial=1,IF(Informed=1,1,0),0)</f>
        <v>#N/A</v>
      </c>
      <c r="AE635" s="51" t="e">
        <f aca="false">IF(Arterial=1,IF(Informed=0,1,0),0)</f>
        <v>#N/A</v>
      </c>
      <c r="AF635" s="44" t="e">
        <f aca="false">IF(AB635=1,(X635-G$1030)^2,0)</f>
        <v>#N/A</v>
      </c>
      <c r="AG635" s="44" t="e">
        <f aca="false">IF(AC635=1,(Y635-H$1030)^2,0)</f>
        <v>#N/A</v>
      </c>
      <c r="AH635" s="44" t="e">
        <f aca="false">IF(AD635=1,(Z635-I$1030)^2,0)</f>
        <v>#N/A</v>
      </c>
      <c r="AI635" s="44" t="e">
        <f aca="false">IF(AE635=1,(AA635-J$1030)^2,0)</f>
        <v>#N/A</v>
      </c>
    </row>
    <row r="636" customFormat="false" ht="12" hidden="false" customHeight="false" outlineLevel="0" collapsed="false">
      <c r="A636" s="29" t="n">
        <v>619</v>
      </c>
      <c r="B636" s="45" t="n">
        <f aca="true">IF(RAND()&lt;$D$8,1,0)</f>
        <v>1</v>
      </c>
      <c r="C636" s="34" t="n">
        <f aca="true">-LN(RAND())/$D$2</f>
        <v>3.92702997764228</v>
      </c>
      <c r="D636" s="46" t="n">
        <f aca="false">D635+C636</f>
        <v>971.347861580275</v>
      </c>
      <c r="E636" s="47" t="e">
        <f aca="false">MAX($D$3,(1+P635-VLOOKUP(VALUE(D636),$J$18:$Q635,7,TRUE()))*$D$3)</f>
        <v>#N/A</v>
      </c>
      <c r="F636" s="47" t="e">
        <f aca="false">MAX($D$4,(1+Q635-VLOOKUP(VALUE(D636),$M$18:$Q635,5,TRUE()))*$D$4)</f>
        <v>#N/A</v>
      </c>
      <c r="G636" s="48" t="n">
        <v>0.5</v>
      </c>
      <c r="H636" s="46" t="e">
        <f aca="true">IF((B636=1),(IF((F636&lt;E636),1,(IF((F636=E636),(IF(RAND()&lt;G636,1,0)),0)))),(IF((RAND()&lt;G636),1,0)))</f>
        <v>#N/A</v>
      </c>
      <c r="I636" s="46" t="e">
        <f aca="true">IF((H636=1),0,$D$3+$D$5*(RAND()-0.5))</f>
        <v>#N/A</v>
      </c>
      <c r="J636" s="46" t="e">
        <f aca="false">I636+MAX(D636,J635)</f>
        <v>#N/A</v>
      </c>
      <c r="K636" s="46" t="e">
        <f aca="false">IF((H636=0),J636-D636,0)</f>
        <v>#N/A</v>
      </c>
      <c r="L636" s="46" t="e">
        <f aca="true">IF(($H636=0),0,$D$4+$D$5*(RAND()-0.5))</f>
        <v>#N/A</v>
      </c>
      <c r="M636" s="46" t="e">
        <f aca="false">L636+MAX(D636,M635)</f>
        <v>#N/A</v>
      </c>
      <c r="N636" s="46" t="e">
        <f aca="false">IF((H636=1),M636-D636,0)</f>
        <v>#N/A</v>
      </c>
      <c r="O636" s="29" t="n">
        <v>619</v>
      </c>
      <c r="P636" s="49" t="e">
        <f aca="false">IF((Arterial=0),P635+1,P635)</f>
        <v>#N/A</v>
      </c>
      <c r="Q636" s="49" t="e">
        <f aca="false">IF((Arterial=1),Q635+1,Q635)</f>
        <v>#N/A</v>
      </c>
      <c r="R636" s="50" t="n">
        <f aca="false">IF((RESET=1),0,R636+K636)</f>
        <v>0</v>
      </c>
      <c r="S636" s="19" t="n">
        <f aca="false">IF(RESET=1,0,S636+N636)</f>
        <v>0</v>
      </c>
      <c r="T636" s="0" t="n">
        <f aca="false">IF(RESET=1,0,T636+IF(H636=0,1,0))</f>
        <v>0</v>
      </c>
      <c r="U636" s="0" t="n">
        <f aca="false">IF(RESET=1,0,U636+H636)</f>
        <v>0</v>
      </c>
      <c r="V636" s="19" t="n">
        <f aca="false">R636/(T636+0.00001)</f>
        <v>0</v>
      </c>
      <c r="W636" s="19" t="n">
        <f aca="false">S636/(U636+0.0001)</f>
        <v>0</v>
      </c>
      <c r="X636" s="47" t="e">
        <f aca="false">IF(Informed=1,K636,0)</f>
        <v>#N/A</v>
      </c>
      <c r="Y636" s="47" t="n">
        <f aca="false">IF(Informed=0,K636,0)</f>
        <v>0</v>
      </c>
      <c r="Z636" s="47" t="e">
        <f aca="false">IF(Informed=1,N636,0)</f>
        <v>#N/A</v>
      </c>
      <c r="AA636" s="47" t="n">
        <f aca="false">IF(Informed=0,N636,0)</f>
        <v>0</v>
      </c>
      <c r="AB636" s="51" t="e">
        <f aca="false">IF(Arterial=0,IF(Informed=1,1,0),0)</f>
        <v>#N/A</v>
      </c>
      <c r="AC636" s="51" t="e">
        <f aca="false">IF(Arterial=0,IF(Informed=0,1,0),0)</f>
        <v>#N/A</v>
      </c>
      <c r="AD636" s="51" t="e">
        <f aca="false">IF(Arterial=1,IF(Informed=1,1,0),0)</f>
        <v>#N/A</v>
      </c>
      <c r="AE636" s="51" t="e">
        <f aca="false">IF(Arterial=1,IF(Informed=0,1,0),0)</f>
        <v>#N/A</v>
      </c>
      <c r="AF636" s="44" t="e">
        <f aca="false">IF(AB636=1,(X636-G$1030)^2,0)</f>
        <v>#N/A</v>
      </c>
      <c r="AG636" s="44" t="e">
        <f aca="false">IF(AC636=1,(Y636-H$1030)^2,0)</f>
        <v>#N/A</v>
      </c>
      <c r="AH636" s="44" t="e">
        <f aca="false">IF(AD636=1,(Z636-I$1030)^2,0)</f>
        <v>#N/A</v>
      </c>
      <c r="AI636" s="44" t="e">
        <f aca="false">IF(AE636=1,(AA636-J$1030)^2,0)</f>
        <v>#N/A</v>
      </c>
    </row>
    <row r="637" customFormat="false" ht="12" hidden="false" customHeight="false" outlineLevel="0" collapsed="false">
      <c r="A637" s="29" t="n">
        <v>620</v>
      </c>
      <c r="B637" s="45" t="n">
        <f aca="true">IF(RAND()&lt;$D$8,1,0)</f>
        <v>1</v>
      </c>
      <c r="C637" s="34" t="n">
        <f aca="true">-LN(RAND())/$D$2</f>
        <v>1.97386641544157</v>
      </c>
      <c r="D637" s="46" t="n">
        <f aca="false">D636+C637</f>
        <v>973.321727995717</v>
      </c>
      <c r="E637" s="47" t="e">
        <f aca="false">MAX($D$3,(1+P636-VLOOKUP(VALUE(D637),$J$18:$Q636,7,TRUE()))*$D$3)</f>
        <v>#N/A</v>
      </c>
      <c r="F637" s="47" t="e">
        <f aca="false">MAX($D$4,(1+Q636-VLOOKUP(VALUE(D637),$M$18:$Q636,5,TRUE()))*$D$4)</f>
        <v>#N/A</v>
      </c>
      <c r="G637" s="48" t="n">
        <v>0.5</v>
      </c>
      <c r="H637" s="46" t="e">
        <f aca="true">IF((B637=1),(IF((F637&lt;E637),1,(IF((F637=E637),(IF(RAND()&lt;G637,1,0)),0)))),(IF((RAND()&lt;G637),1,0)))</f>
        <v>#N/A</v>
      </c>
      <c r="I637" s="46" t="e">
        <f aca="true">IF((H637=1),0,$D$3+$D$5*(RAND()-0.5))</f>
        <v>#N/A</v>
      </c>
      <c r="J637" s="46" t="e">
        <f aca="false">I637+MAX(D637,J636)</f>
        <v>#N/A</v>
      </c>
      <c r="K637" s="46" t="e">
        <f aca="false">IF((H637=0),J637-D637,0)</f>
        <v>#N/A</v>
      </c>
      <c r="L637" s="46" t="e">
        <f aca="true">IF(($H637=0),0,$D$4+$D$5*(RAND()-0.5))</f>
        <v>#N/A</v>
      </c>
      <c r="M637" s="46" t="e">
        <f aca="false">L637+MAX(D637,M636)</f>
        <v>#N/A</v>
      </c>
      <c r="N637" s="46" t="e">
        <f aca="false">IF((H637=1),M637-D637,0)</f>
        <v>#N/A</v>
      </c>
      <c r="O637" s="29" t="n">
        <v>620</v>
      </c>
      <c r="P637" s="49" t="e">
        <f aca="false">IF((Arterial=0),P636+1,P636)</f>
        <v>#N/A</v>
      </c>
      <c r="Q637" s="49" t="e">
        <f aca="false">IF((Arterial=1),Q636+1,Q636)</f>
        <v>#N/A</v>
      </c>
      <c r="R637" s="50" t="n">
        <f aca="false">IF((RESET=1),0,R637+K637)</f>
        <v>0</v>
      </c>
      <c r="S637" s="19" t="n">
        <f aca="false">IF(RESET=1,0,S637+N637)</f>
        <v>0</v>
      </c>
      <c r="T637" s="0" t="n">
        <f aca="false">IF(RESET=1,0,T637+IF(H637=0,1,0))</f>
        <v>0</v>
      </c>
      <c r="U637" s="0" t="n">
        <f aca="false">IF(RESET=1,0,U637+H637)</f>
        <v>0</v>
      </c>
      <c r="V637" s="19" t="n">
        <f aca="false">R637/(T637+0.00001)</f>
        <v>0</v>
      </c>
      <c r="W637" s="19" t="n">
        <f aca="false">S637/(U637+0.0001)</f>
        <v>0</v>
      </c>
      <c r="X637" s="47" t="e">
        <f aca="false">IF(Informed=1,K637,0)</f>
        <v>#N/A</v>
      </c>
      <c r="Y637" s="47" t="n">
        <f aca="false">IF(Informed=0,K637,0)</f>
        <v>0</v>
      </c>
      <c r="Z637" s="47" t="e">
        <f aca="false">IF(Informed=1,N637,0)</f>
        <v>#N/A</v>
      </c>
      <c r="AA637" s="47" t="n">
        <f aca="false">IF(Informed=0,N637,0)</f>
        <v>0</v>
      </c>
      <c r="AB637" s="51" t="e">
        <f aca="false">IF(Arterial=0,IF(Informed=1,1,0),0)</f>
        <v>#N/A</v>
      </c>
      <c r="AC637" s="51" t="e">
        <f aca="false">IF(Arterial=0,IF(Informed=0,1,0),0)</f>
        <v>#N/A</v>
      </c>
      <c r="AD637" s="51" t="e">
        <f aca="false">IF(Arterial=1,IF(Informed=1,1,0),0)</f>
        <v>#N/A</v>
      </c>
      <c r="AE637" s="51" t="e">
        <f aca="false">IF(Arterial=1,IF(Informed=0,1,0),0)</f>
        <v>#N/A</v>
      </c>
      <c r="AF637" s="44" t="e">
        <f aca="false">IF(AB637=1,(X637-G$1030)^2,0)</f>
        <v>#N/A</v>
      </c>
      <c r="AG637" s="44" t="e">
        <f aca="false">IF(AC637=1,(Y637-H$1030)^2,0)</f>
        <v>#N/A</v>
      </c>
      <c r="AH637" s="44" t="e">
        <f aca="false">IF(AD637=1,(Z637-I$1030)^2,0)</f>
        <v>#N/A</v>
      </c>
      <c r="AI637" s="44" t="e">
        <f aca="false">IF(AE637=1,(AA637-J$1030)^2,0)</f>
        <v>#N/A</v>
      </c>
    </row>
    <row r="638" customFormat="false" ht="12" hidden="false" customHeight="false" outlineLevel="0" collapsed="false">
      <c r="A638" s="29" t="n">
        <v>621</v>
      </c>
      <c r="B638" s="45" t="n">
        <f aca="true">IF(RAND()&lt;$D$8,1,0)</f>
        <v>1</v>
      </c>
      <c r="C638" s="34" t="n">
        <f aca="true">-LN(RAND())/$D$2</f>
        <v>0.00266785543829245</v>
      </c>
      <c r="D638" s="46" t="n">
        <f aca="false">D637+C638</f>
        <v>973.324395851155</v>
      </c>
      <c r="E638" s="47" t="e">
        <f aca="false">MAX($D$3,(1+P637-VLOOKUP(VALUE(D638),$J$18:$Q637,7,TRUE()))*$D$3)</f>
        <v>#N/A</v>
      </c>
      <c r="F638" s="47" t="e">
        <f aca="false">MAX($D$4,(1+Q637-VLOOKUP(VALUE(D638),$M$18:$Q637,5,TRUE()))*$D$4)</f>
        <v>#N/A</v>
      </c>
      <c r="G638" s="48" t="n">
        <v>0.5</v>
      </c>
      <c r="H638" s="46" t="e">
        <f aca="true">IF((B638=1),(IF((F638&lt;E638),1,(IF((F638=E638),(IF(RAND()&lt;G638,1,0)),0)))),(IF((RAND()&lt;G638),1,0)))</f>
        <v>#N/A</v>
      </c>
      <c r="I638" s="46" t="e">
        <f aca="true">IF((H638=1),0,$D$3+$D$5*(RAND()-0.5))</f>
        <v>#N/A</v>
      </c>
      <c r="J638" s="46" t="e">
        <f aca="false">I638+MAX(D638,J637)</f>
        <v>#N/A</v>
      </c>
      <c r="K638" s="46" t="e">
        <f aca="false">IF((H638=0),J638-D638,0)</f>
        <v>#N/A</v>
      </c>
      <c r="L638" s="46" t="e">
        <f aca="true">IF(($H638=0),0,$D$4+$D$5*(RAND()-0.5))</f>
        <v>#N/A</v>
      </c>
      <c r="M638" s="46" t="e">
        <f aca="false">L638+MAX(D638,M637)</f>
        <v>#N/A</v>
      </c>
      <c r="N638" s="46" t="e">
        <f aca="false">IF((H638=1),M638-D638,0)</f>
        <v>#N/A</v>
      </c>
      <c r="O638" s="29" t="n">
        <v>621</v>
      </c>
      <c r="P638" s="49" t="e">
        <f aca="false">IF((Arterial=0),P637+1,P637)</f>
        <v>#N/A</v>
      </c>
      <c r="Q638" s="49" t="e">
        <f aca="false">IF((Arterial=1),Q637+1,Q637)</f>
        <v>#N/A</v>
      </c>
      <c r="R638" s="50" t="n">
        <f aca="false">IF((RESET=1),0,R638+K638)</f>
        <v>0</v>
      </c>
      <c r="S638" s="19" t="n">
        <f aca="false">IF(RESET=1,0,S638+N638)</f>
        <v>0</v>
      </c>
      <c r="T638" s="0" t="n">
        <f aca="false">IF(RESET=1,0,T638+IF(H638=0,1,0))</f>
        <v>0</v>
      </c>
      <c r="U638" s="0" t="n">
        <f aca="false">IF(RESET=1,0,U638+H638)</f>
        <v>0</v>
      </c>
      <c r="V638" s="19" t="n">
        <f aca="false">R638/(T638+0.00001)</f>
        <v>0</v>
      </c>
      <c r="W638" s="19" t="n">
        <f aca="false">S638/(U638+0.0001)</f>
        <v>0</v>
      </c>
      <c r="X638" s="47" t="e">
        <f aca="false">IF(Informed=1,K638,0)</f>
        <v>#N/A</v>
      </c>
      <c r="Y638" s="47" t="n">
        <f aca="false">IF(Informed=0,K638,0)</f>
        <v>0</v>
      </c>
      <c r="Z638" s="47" t="e">
        <f aca="false">IF(Informed=1,N638,0)</f>
        <v>#N/A</v>
      </c>
      <c r="AA638" s="47" t="n">
        <f aca="false">IF(Informed=0,N638,0)</f>
        <v>0</v>
      </c>
      <c r="AB638" s="51" t="e">
        <f aca="false">IF(Arterial=0,IF(Informed=1,1,0),0)</f>
        <v>#N/A</v>
      </c>
      <c r="AC638" s="51" t="e">
        <f aca="false">IF(Arterial=0,IF(Informed=0,1,0),0)</f>
        <v>#N/A</v>
      </c>
      <c r="AD638" s="51" t="e">
        <f aca="false">IF(Arterial=1,IF(Informed=1,1,0),0)</f>
        <v>#N/A</v>
      </c>
      <c r="AE638" s="51" t="e">
        <f aca="false">IF(Arterial=1,IF(Informed=0,1,0),0)</f>
        <v>#N/A</v>
      </c>
      <c r="AF638" s="44" t="e">
        <f aca="false">IF(AB638=1,(X638-G$1030)^2,0)</f>
        <v>#N/A</v>
      </c>
      <c r="AG638" s="44" t="e">
        <f aca="false">IF(AC638=1,(Y638-H$1030)^2,0)</f>
        <v>#N/A</v>
      </c>
      <c r="AH638" s="44" t="e">
        <f aca="false">IF(AD638=1,(Z638-I$1030)^2,0)</f>
        <v>#N/A</v>
      </c>
      <c r="AI638" s="44" t="e">
        <f aca="false">IF(AE638=1,(AA638-J$1030)^2,0)</f>
        <v>#N/A</v>
      </c>
    </row>
    <row r="639" customFormat="false" ht="12" hidden="false" customHeight="false" outlineLevel="0" collapsed="false">
      <c r="A639" s="29" t="n">
        <v>622</v>
      </c>
      <c r="B639" s="45" t="n">
        <f aca="true">IF(RAND()&lt;$D$8,1,0)</f>
        <v>1</v>
      </c>
      <c r="C639" s="34" t="n">
        <f aca="true">-LN(RAND())/$D$2</f>
        <v>0.336648399459713</v>
      </c>
      <c r="D639" s="46" t="n">
        <f aca="false">D638+C639</f>
        <v>973.661044250615</v>
      </c>
      <c r="E639" s="47" t="e">
        <f aca="false">MAX($D$3,(1+P638-VLOOKUP(VALUE(D639),$J$18:$Q638,7,TRUE()))*$D$3)</f>
        <v>#N/A</v>
      </c>
      <c r="F639" s="47" t="e">
        <f aca="false">MAX($D$4,(1+Q638-VLOOKUP(VALUE(D639),$M$18:$Q638,5,TRUE()))*$D$4)</f>
        <v>#N/A</v>
      </c>
      <c r="G639" s="48" t="n">
        <v>0.5</v>
      </c>
      <c r="H639" s="46" t="e">
        <f aca="true">IF((B639=1),(IF((F639&lt;E639),1,(IF((F639=E639),(IF(RAND()&lt;G639,1,0)),0)))),(IF((RAND()&lt;G639),1,0)))</f>
        <v>#N/A</v>
      </c>
      <c r="I639" s="46" t="e">
        <f aca="true">IF((H639=1),0,$D$3+$D$5*(RAND()-0.5))</f>
        <v>#N/A</v>
      </c>
      <c r="J639" s="46" t="e">
        <f aca="false">I639+MAX(D639,J638)</f>
        <v>#N/A</v>
      </c>
      <c r="K639" s="46" t="e">
        <f aca="false">IF((H639=0),J639-D639,0)</f>
        <v>#N/A</v>
      </c>
      <c r="L639" s="46" t="e">
        <f aca="true">IF(($H639=0),0,$D$4+$D$5*(RAND()-0.5))</f>
        <v>#N/A</v>
      </c>
      <c r="M639" s="46" t="e">
        <f aca="false">L639+MAX(D639,M638)</f>
        <v>#N/A</v>
      </c>
      <c r="N639" s="46" t="e">
        <f aca="false">IF((H639=1),M639-D639,0)</f>
        <v>#N/A</v>
      </c>
      <c r="O639" s="29" t="n">
        <v>622</v>
      </c>
      <c r="P639" s="49" t="e">
        <f aca="false">IF((Arterial=0),P638+1,P638)</f>
        <v>#N/A</v>
      </c>
      <c r="Q639" s="49" t="e">
        <f aca="false">IF((Arterial=1),Q638+1,Q638)</f>
        <v>#N/A</v>
      </c>
      <c r="R639" s="50" t="n">
        <f aca="false">IF((RESET=1),0,R639+K639)</f>
        <v>0</v>
      </c>
      <c r="S639" s="19" t="n">
        <f aca="false">IF(RESET=1,0,S639+N639)</f>
        <v>0</v>
      </c>
      <c r="T639" s="0" t="n">
        <f aca="false">IF(RESET=1,0,T639+IF(H639=0,1,0))</f>
        <v>0</v>
      </c>
      <c r="U639" s="0" t="n">
        <f aca="false">IF(RESET=1,0,U639+H639)</f>
        <v>0</v>
      </c>
      <c r="V639" s="19" t="n">
        <f aca="false">R639/(T639+0.00001)</f>
        <v>0</v>
      </c>
      <c r="W639" s="19" t="n">
        <f aca="false">S639/(U639+0.0001)</f>
        <v>0</v>
      </c>
      <c r="X639" s="47" t="e">
        <f aca="false">IF(Informed=1,K639,0)</f>
        <v>#N/A</v>
      </c>
      <c r="Y639" s="47" t="n">
        <f aca="false">IF(Informed=0,K639,0)</f>
        <v>0</v>
      </c>
      <c r="Z639" s="47" t="e">
        <f aca="false">IF(Informed=1,N639,0)</f>
        <v>#N/A</v>
      </c>
      <c r="AA639" s="47" t="n">
        <f aca="false">IF(Informed=0,N639,0)</f>
        <v>0</v>
      </c>
      <c r="AB639" s="51" t="e">
        <f aca="false">IF(Arterial=0,IF(Informed=1,1,0),0)</f>
        <v>#N/A</v>
      </c>
      <c r="AC639" s="51" t="e">
        <f aca="false">IF(Arterial=0,IF(Informed=0,1,0),0)</f>
        <v>#N/A</v>
      </c>
      <c r="AD639" s="51" t="e">
        <f aca="false">IF(Arterial=1,IF(Informed=1,1,0),0)</f>
        <v>#N/A</v>
      </c>
      <c r="AE639" s="51" t="e">
        <f aca="false">IF(Arterial=1,IF(Informed=0,1,0),0)</f>
        <v>#N/A</v>
      </c>
      <c r="AF639" s="44" t="e">
        <f aca="false">IF(AB639=1,(X639-G$1030)^2,0)</f>
        <v>#N/A</v>
      </c>
      <c r="AG639" s="44" t="e">
        <f aca="false">IF(AC639=1,(Y639-H$1030)^2,0)</f>
        <v>#N/A</v>
      </c>
      <c r="AH639" s="44" t="e">
        <f aca="false">IF(AD639=1,(Z639-I$1030)^2,0)</f>
        <v>#N/A</v>
      </c>
      <c r="AI639" s="44" t="e">
        <f aca="false">IF(AE639=1,(AA639-J$1030)^2,0)</f>
        <v>#N/A</v>
      </c>
    </row>
    <row r="640" customFormat="false" ht="12" hidden="false" customHeight="false" outlineLevel="0" collapsed="false">
      <c r="A640" s="29" t="n">
        <v>623</v>
      </c>
      <c r="B640" s="45" t="n">
        <f aca="true">IF(RAND()&lt;$D$8,1,0)</f>
        <v>1</v>
      </c>
      <c r="C640" s="34" t="n">
        <f aca="true">-LN(RAND())/$D$2</f>
        <v>0.692102803155175</v>
      </c>
      <c r="D640" s="46" t="n">
        <f aca="false">D639+C640</f>
        <v>974.35314705377</v>
      </c>
      <c r="E640" s="47" t="e">
        <f aca="false">MAX($D$3,(1+P639-VLOOKUP(VALUE(D640),$J$18:$Q639,7,TRUE()))*$D$3)</f>
        <v>#N/A</v>
      </c>
      <c r="F640" s="47" t="e">
        <f aca="false">MAX($D$4,(1+Q639-VLOOKUP(VALUE(D640),$M$18:$Q639,5,TRUE()))*$D$4)</f>
        <v>#N/A</v>
      </c>
      <c r="G640" s="48" t="n">
        <v>0.5</v>
      </c>
      <c r="H640" s="46" t="e">
        <f aca="true">IF((B640=1),(IF((F640&lt;E640),1,(IF((F640=E640),(IF(RAND()&lt;G640,1,0)),0)))),(IF((RAND()&lt;G640),1,0)))</f>
        <v>#N/A</v>
      </c>
      <c r="I640" s="46" t="e">
        <f aca="true">IF((H640=1),0,$D$3+$D$5*(RAND()-0.5))</f>
        <v>#N/A</v>
      </c>
      <c r="J640" s="46" t="e">
        <f aca="false">I640+MAX(D640,J639)</f>
        <v>#N/A</v>
      </c>
      <c r="K640" s="46" t="e">
        <f aca="false">IF((H640=0),J640-D640,0)</f>
        <v>#N/A</v>
      </c>
      <c r="L640" s="46" t="e">
        <f aca="true">IF(($H640=0),0,$D$4+$D$5*(RAND()-0.5))</f>
        <v>#N/A</v>
      </c>
      <c r="M640" s="46" t="e">
        <f aca="false">L640+MAX(D640,M639)</f>
        <v>#N/A</v>
      </c>
      <c r="N640" s="46" t="e">
        <f aca="false">IF((H640=1),M640-D640,0)</f>
        <v>#N/A</v>
      </c>
      <c r="O640" s="29" t="n">
        <v>623</v>
      </c>
      <c r="P640" s="49" t="e">
        <f aca="false">IF((Arterial=0),P639+1,P639)</f>
        <v>#N/A</v>
      </c>
      <c r="Q640" s="49" t="e">
        <f aca="false">IF((Arterial=1),Q639+1,Q639)</f>
        <v>#N/A</v>
      </c>
      <c r="R640" s="50" t="n">
        <f aca="false">IF((RESET=1),0,R640+K640)</f>
        <v>0</v>
      </c>
      <c r="S640" s="19" t="n">
        <f aca="false">IF(RESET=1,0,S640+N640)</f>
        <v>0</v>
      </c>
      <c r="T640" s="0" t="n">
        <f aca="false">IF(RESET=1,0,T640+IF(H640=0,1,0))</f>
        <v>0</v>
      </c>
      <c r="U640" s="0" t="n">
        <f aca="false">IF(RESET=1,0,U640+H640)</f>
        <v>0</v>
      </c>
      <c r="V640" s="19" t="n">
        <f aca="false">R640/(T640+0.00001)</f>
        <v>0</v>
      </c>
      <c r="W640" s="19" t="n">
        <f aca="false">S640/(U640+0.0001)</f>
        <v>0</v>
      </c>
      <c r="X640" s="47" t="e">
        <f aca="false">IF(Informed=1,K640,0)</f>
        <v>#N/A</v>
      </c>
      <c r="Y640" s="47" t="n">
        <f aca="false">IF(Informed=0,K640,0)</f>
        <v>0</v>
      </c>
      <c r="Z640" s="47" t="e">
        <f aca="false">IF(Informed=1,N640,0)</f>
        <v>#N/A</v>
      </c>
      <c r="AA640" s="47" t="n">
        <f aca="false">IF(Informed=0,N640,0)</f>
        <v>0</v>
      </c>
      <c r="AB640" s="51" t="e">
        <f aca="false">IF(Arterial=0,IF(Informed=1,1,0),0)</f>
        <v>#N/A</v>
      </c>
      <c r="AC640" s="51" t="e">
        <f aca="false">IF(Arterial=0,IF(Informed=0,1,0),0)</f>
        <v>#N/A</v>
      </c>
      <c r="AD640" s="51" t="e">
        <f aca="false">IF(Arterial=1,IF(Informed=1,1,0),0)</f>
        <v>#N/A</v>
      </c>
      <c r="AE640" s="51" t="e">
        <f aca="false">IF(Arterial=1,IF(Informed=0,1,0),0)</f>
        <v>#N/A</v>
      </c>
      <c r="AF640" s="44" t="e">
        <f aca="false">IF(AB640=1,(X640-G$1030)^2,0)</f>
        <v>#N/A</v>
      </c>
      <c r="AG640" s="44" t="e">
        <f aca="false">IF(AC640=1,(Y640-H$1030)^2,0)</f>
        <v>#N/A</v>
      </c>
      <c r="AH640" s="44" t="e">
        <f aca="false">IF(AD640=1,(Z640-I$1030)^2,0)</f>
        <v>#N/A</v>
      </c>
      <c r="AI640" s="44" t="e">
        <f aca="false">IF(AE640=1,(AA640-J$1030)^2,0)</f>
        <v>#N/A</v>
      </c>
    </row>
    <row r="641" customFormat="false" ht="12" hidden="false" customHeight="false" outlineLevel="0" collapsed="false">
      <c r="A641" s="29" t="n">
        <v>624</v>
      </c>
      <c r="B641" s="45" t="n">
        <f aca="true">IF(RAND()&lt;$D$8,1,0)</f>
        <v>1</v>
      </c>
      <c r="C641" s="34" t="n">
        <f aca="true">-LN(RAND())/$D$2</f>
        <v>0.651889949090533</v>
      </c>
      <c r="D641" s="46" t="n">
        <f aca="false">D640+C641</f>
        <v>975.00503700286</v>
      </c>
      <c r="E641" s="47" t="e">
        <f aca="false">MAX($D$3,(1+P640-VLOOKUP(VALUE(D641),$J$18:$Q640,7,TRUE()))*$D$3)</f>
        <v>#N/A</v>
      </c>
      <c r="F641" s="47" t="e">
        <f aca="false">MAX($D$4,(1+Q640-VLOOKUP(VALUE(D641),$M$18:$Q640,5,TRUE()))*$D$4)</f>
        <v>#N/A</v>
      </c>
      <c r="G641" s="48" t="n">
        <v>0.5</v>
      </c>
      <c r="H641" s="46" t="e">
        <f aca="true">IF((B641=1),(IF((F641&lt;E641),1,(IF((F641=E641),(IF(RAND()&lt;G641,1,0)),0)))),(IF((RAND()&lt;G641),1,0)))</f>
        <v>#N/A</v>
      </c>
      <c r="I641" s="46" t="e">
        <f aca="true">IF((H641=1),0,$D$3+$D$5*(RAND()-0.5))</f>
        <v>#N/A</v>
      </c>
      <c r="J641" s="46" t="e">
        <f aca="false">I641+MAX(D641,J640)</f>
        <v>#N/A</v>
      </c>
      <c r="K641" s="46" t="e">
        <f aca="false">IF((H641=0),J641-D641,0)</f>
        <v>#N/A</v>
      </c>
      <c r="L641" s="46" t="e">
        <f aca="true">IF(($H641=0),0,$D$4+$D$5*(RAND()-0.5))</f>
        <v>#N/A</v>
      </c>
      <c r="M641" s="46" t="e">
        <f aca="false">L641+MAX(D641,M640)</f>
        <v>#N/A</v>
      </c>
      <c r="N641" s="46" t="e">
        <f aca="false">IF((H641=1),M641-D641,0)</f>
        <v>#N/A</v>
      </c>
      <c r="O641" s="29" t="n">
        <v>624</v>
      </c>
      <c r="P641" s="49" t="e">
        <f aca="false">IF((Arterial=0),P640+1,P640)</f>
        <v>#N/A</v>
      </c>
      <c r="Q641" s="49" t="e">
        <f aca="false">IF((Arterial=1),Q640+1,Q640)</f>
        <v>#N/A</v>
      </c>
      <c r="R641" s="50" t="n">
        <f aca="false">IF((RESET=1),0,R641+K641)</f>
        <v>0</v>
      </c>
      <c r="S641" s="19" t="n">
        <f aca="false">IF(RESET=1,0,S641+N641)</f>
        <v>0</v>
      </c>
      <c r="T641" s="0" t="n">
        <f aca="false">IF(RESET=1,0,T641+IF(H641=0,1,0))</f>
        <v>0</v>
      </c>
      <c r="U641" s="0" t="n">
        <f aca="false">IF(RESET=1,0,U641+H641)</f>
        <v>0</v>
      </c>
      <c r="V641" s="19" t="n">
        <f aca="false">R641/(T641+0.00001)</f>
        <v>0</v>
      </c>
      <c r="W641" s="19" t="n">
        <f aca="false">S641/(U641+0.0001)</f>
        <v>0</v>
      </c>
      <c r="X641" s="47" t="e">
        <f aca="false">IF(Informed=1,K641,0)</f>
        <v>#N/A</v>
      </c>
      <c r="Y641" s="47" t="n">
        <f aca="false">IF(Informed=0,K641,0)</f>
        <v>0</v>
      </c>
      <c r="Z641" s="47" t="e">
        <f aca="false">IF(Informed=1,N641,0)</f>
        <v>#N/A</v>
      </c>
      <c r="AA641" s="47" t="n">
        <f aca="false">IF(Informed=0,N641,0)</f>
        <v>0</v>
      </c>
      <c r="AB641" s="51" t="e">
        <f aca="false">IF(Arterial=0,IF(Informed=1,1,0),0)</f>
        <v>#N/A</v>
      </c>
      <c r="AC641" s="51" t="e">
        <f aca="false">IF(Arterial=0,IF(Informed=0,1,0),0)</f>
        <v>#N/A</v>
      </c>
      <c r="AD641" s="51" t="e">
        <f aca="false">IF(Arterial=1,IF(Informed=1,1,0),0)</f>
        <v>#N/A</v>
      </c>
      <c r="AE641" s="51" t="e">
        <f aca="false">IF(Arterial=1,IF(Informed=0,1,0),0)</f>
        <v>#N/A</v>
      </c>
      <c r="AF641" s="44" t="e">
        <f aca="false">IF(AB641=1,(X641-G$1030)^2,0)</f>
        <v>#N/A</v>
      </c>
      <c r="AG641" s="44" t="e">
        <f aca="false">IF(AC641=1,(Y641-H$1030)^2,0)</f>
        <v>#N/A</v>
      </c>
      <c r="AH641" s="44" t="e">
        <f aca="false">IF(AD641=1,(Z641-I$1030)^2,0)</f>
        <v>#N/A</v>
      </c>
      <c r="AI641" s="44" t="e">
        <f aca="false">IF(AE641=1,(AA641-J$1030)^2,0)</f>
        <v>#N/A</v>
      </c>
    </row>
    <row r="642" customFormat="false" ht="12" hidden="false" customHeight="false" outlineLevel="0" collapsed="false">
      <c r="A642" s="29" t="n">
        <v>625</v>
      </c>
      <c r="B642" s="45" t="n">
        <f aca="true">IF(RAND()&lt;$D$8,1,0)</f>
        <v>1</v>
      </c>
      <c r="C642" s="34" t="n">
        <f aca="true">-LN(RAND())/$D$2</f>
        <v>1.5651548115409</v>
      </c>
      <c r="D642" s="46" t="n">
        <f aca="false">D641+C642</f>
        <v>976.570191814401</v>
      </c>
      <c r="E642" s="47" t="e">
        <f aca="false">MAX($D$3,(1+P641-VLOOKUP(VALUE(D642),$J$18:$Q641,7,TRUE()))*$D$3)</f>
        <v>#N/A</v>
      </c>
      <c r="F642" s="47" t="e">
        <f aca="false">MAX($D$4,(1+Q641-VLOOKUP(VALUE(D642),$M$18:$Q641,5,TRUE()))*$D$4)</f>
        <v>#N/A</v>
      </c>
      <c r="G642" s="48" t="n">
        <v>0.5</v>
      </c>
      <c r="H642" s="46" t="e">
        <f aca="true">IF((B642=1),(IF((F642&lt;E642),1,(IF((F642=E642),(IF(RAND()&lt;G642,1,0)),0)))),(IF((RAND()&lt;G642),1,0)))</f>
        <v>#N/A</v>
      </c>
      <c r="I642" s="46" t="e">
        <f aca="true">IF((H642=1),0,$D$3+$D$5*(RAND()-0.5))</f>
        <v>#N/A</v>
      </c>
      <c r="J642" s="46" t="e">
        <f aca="false">I642+MAX(D642,J641)</f>
        <v>#N/A</v>
      </c>
      <c r="K642" s="46" t="e">
        <f aca="false">IF((H642=0),J642-D642,0)</f>
        <v>#N/A</v>
      </c>
      <c r="L642" s="46" t="e">
        <f aca="true">IF(($H642=0),0,$D$4+$D$5*(RAND()-0.5))</f>
        <v>#N/A</v>
      </c>
      <c r="M642" s="46" t="e">
        <f aca="false">L642+MAX(D642,M641)</f>
        <v>#N/A</v>
      </c>
      <c r="N642" s="46" t="e">
        <f aca="false">IF((H642=1),M642-D642,0)</f>
        <v>#N/A</v>
      </c>
      <c r="O642" s="29" t="n">
        <v>625</v>
      </c>
      <c r="P642" s="49" t="e">
        <f aca="false">IF((Arterial=0),P641+1,P641)</f>
        <v>#N/A</v>
      </c>
      <c r="Q642" s="49" t="e">
        <f aca="false">IF((Arterial=1),Q641+1,Q641)</f>
        <v>#N/A</v>
      </c>
      <c r="R642" s="50" t="n">
        <f aca="false">IF((RESET=1),0,R642+K642)</f>
        <v>0</v>
      </c>
      <c r="S642" s="19" t="n">
        <f aca="false">IF(RESET=1,0,S642+N642)</f>
        <v>0</v>
      </c>
      <c r="T642" s="0" t="n">
        <f aca="false">IF(RESET=1,0,T642+IF(H642=0,1,0))</f>
        <v>0</v>
      </c>
      <c r="U642" s="0" t="n">
        <f aca="false">IF(RESET=1,0,U642+H642)</f>
        <v>0</v>
      </c>
      <c r="V642" s="19" t="n">
        <f aca="false">R642/(T642+0.00001)</f>
        <v>0</v>
      </c>
      <c r="W642" s="19" t="n">
        <f aca="false">S642/(U642+0.0001)</f>
        <v>0</v>
      </c>
      <c r="X642" s="47" t="e">
        <f aca="false">IF(Informed=1,K642,0)</f>
        <v>#N/A</v>
      </c>
      <c r="Y642" s="47" t="n">
        <f aca="false">IF(Informed=0,K642,0)</f>
        <v>0</v>
      </c>
      <c r="Z642" s="47" t="e">
        <f aca="false">IF(Informed=1,N642,0)</f>
        <v>#N/A</v>
      </c>
      <c r="AA642" s="47" t="n">
        <f aca="false">IF(Informed=0,N642,0)</f>
        <v>0</v>
      </c>
      <c r="AB642" s="51" t="e">
        <f aca="false">IF(Arterial=0,IF(Informed=1,1,0),0)</f>
        <v>#N/A</v>
      </c>
      <c r="AC642" s="51" t="e">
        <f aca="false">IF(Arterial=0,IF(Informed=0,1,0),0)</f>
        <v>#N/A</v>
      </c>
      <c r="AD642" s="51" t="e">
        <f aca="false">IF(Arterial=1,IF(Informed=1,1,0),0)</f>
        <v>#N/A</v>
      </c>
      <c r="AE642" s="51" t="e">
        <f aca="false">IF(Arterial=1,IF(Informed=0,1,0),0)</f>
        <v>#N/A</v>
      </c>
      <c r="AF642" s="44" t="e">
        <f aca="false">IF(AB642=1,(X642-G$1030)^2,0)</f>
        <v>#N/A</v>
      </c>
      <c r="AG642" s="44" t="e">
        <f aca="false">IF(AC642=1,(Y642-H$1030)^2,0)</f>
        <v>#N/A</v>
      </c>
      <c r="AH642" s="44" t="e">
        <f aca="false">IF(AD642=1,(Z642-I$1030)^2,0)</f>
        <v>#N/A</v>
      </c>
      <c r="AI642" s="44" t="e">
        <f aca="false">IF(AE642=1,(AA642-J$1030)^2,0)</f>
        <v>#N/A</v>
      </c>
    </row>
    <row r="643" customFormat="false" ht="12" hidden="false" customHeight="false" outlineLevel="0" collapsed="false">
      <c r="A643" s="29" t="n">
        <v>626</v>
      </c>
      <c r="B643" s="45" t="n">
        <f aca="true">IF(RAND()&lt;$D$8,1,0)</f>
        <v>1</v>
      </c>
      <c r="C643" s="34" t="n">
        <f aca="true">-LN(RAND())/$D$2</f>
        <v>0.958758357267724</v>
      </c>
      <c r="D643" s="46" t="n">
        <f aca="false">D642+C643</f>
        <v>977.528950171669</v>
      </c>
      <c r="E643" s="47" t="e">
        <f aca="false">MAX($D$3,(1+P642-VLOOKUP(VALUE(D643),$J$18:$Q642,7,TRUE()))*$D$3)</f>
        <v>#N/A</v>
      </c>
      <c r="F643" s="47" t="e">
        <f aca="false">MAX($D$4,(1+Q642-VLOOKUP(VALUE(D643),$M$18:$Q642,5,TRUE()))*$D$4)</f>
        <v>#N/A</v>
      </c>
      <c r="G643" s="48" t="n">
        <v>0.5</v>
      </c>
      <c r="H643" s="46" t="e">
        <f aca="true">IF((B643=1),(IF((F643&lt;E643),1,(IF((F643=E643),(IF(RAND()&lt;G643,1,0)),0)))),(IF((RAND()&lt;G643),1,0)))</f>
        <v>#N/A</v>
      </c>
      <c r="I643" s="46" t="e">
        <f aca="true">IF((H643=1),0,$D$3+$D$5*(RAND()-0.5))</f>
        <v>#N/A</v>
      </c>
      <c r="J643" s="46" t="e">
        <f aca="false">I643+MAX(D643,J642)</f>
        <v>#N/A</v>
      </c>
      <c r="K643" s="46" t="e">
        <f aca="false">IF((H643=0),J643-D643,0)</f>
        <v>#N/A</v>
      </c>
      <c r="L643" s="46" t="e">
        <f aca="true">IF(($H643=0),0,$D$4+$D$5*(RAND()-0.5))</f>
        <v>#N/A</v>
      </c>
      <c r="M643" s="46" t="e">
        <f aca="false">L643+MAX(D643,M642)</f>
        <v>#N/A</v>
      </c>
      <c r="N643" s="46" t="e">
        <f aca="false">IF((H643=1),M643-D643,0)</f>
        <v>#N/A</v>
      </c>
      <c r="O643" s="29" t="n">
        <v>626</v>
      </c>
      <c r="P643" s="49" t="e">
        <f aca="false">IF((Arterial=0),P642+1,P642)</f>
        <v>#N/A</v>
      </c>
      <c r="Q643" s="49" t="e">
        <f aca="false">IF((Arterial=1),Q642+1,Q642)</f>
        <v>#N/A</v>
      </c>
      <c r="R643" s="50" t="n">
        <f aca="false">IF((RESET=1),0,R643+K643)</f>
        <v>0</v>
      </c>
      <c r="S643" s="19" t="n">
        <f aca="false">IF(RESET=1,0,S643+N643)</f>
        <v>0</v>
      </c>
      <c r="T643" s="0" t="n">
        <f aca="false">IF(RESET=1,0,T643+IF(H643=0,1,0))</f>
        <v>0</v>
      </c>
      <c r="U643" s="0" t="n">
        <f aca="false">IF(RESET=1,0,U643+H643)</f>
        <v>0</v>
      </c>
      <c r="V643" s="19" t="n">
        <f aca="false">R643/(T643+0.00001)</f>
        <v>0</v>
      </c>
      <c r="W643" s="19" t="n">
        <f aca="false">S643/(U643+0.0001)</f>
        <v>0</v>
      </c>
      <c r="X643" s="47" t="e">
        <f aca="false">IF(Informed=1,K643,0)</f>
        <v>#N/A</v>
      </c>
      <c r="Y643" s="47" t="n">
        <f aca="false">IF(Informed=0,K643,0)</f>
        <v>0</v>
      </c>
      <c r="Z643" s="47" t="e">
        <f aca="false">IF(Informed=1,N643,0)</f>
        <v>#N/A</v>
      </c>
      <c r="AA643" s="47" t="n">
        <f aca="false">IF(Informed=0,N643,0)</f>
        <v>0</v>
      </c>
      <c r="AB643" s="51" t="e">
        <f aca="false">IF(Arterial=0,IF(Informed=1,1,0),0)</f>
        <v>#N/A</v>
      </c>
      <c r="AC643" s="51" t="e">
        <f aca="false">IF(Arterial=0,IF(Informed=0,1,0),0)</f>
        <v>#N/A</v>
      </c>
      <c r="AD643" s="51" t="e">
        <f aca="false">IF(Arterial=1,IF(Informed=1,1,0),0)</f>
        <v>#N/A</v>
      </c>
      <c r="AE643" s="51" t="e">
        <f aca="false">IF(Arterial=1,IF(Informed=0,1,0),0)</f>
        <v>#N/A</v>
      </c>
      <c r="AF643" s="44" t="e">
        <f aca="false">IF(AB643=1,(X643-G$1030)^2,0)</f>
        <v>#N/A</v>
      </c>
      <c r="AG643" s="44" t="e">
        <f aca="false">IF(AC643=1,(Y643-H$1030)^2,0)</f>
        <v>#N/A</v>
      </c>
      <c r="AH643" s="44" t="e">
        <f aca="false">IF(AD643=1,(Z643-I$1030)^2,0)</f>
        <v>#N/A</v>
      </c>
      <c r="AI643" s="44" t="e">
        <f aca="false">IF(AE643=1,(AA643-J$1030)^2,0)</f>
        <v>#N/A</v>
      </c>
    </row>
    <row r="644" customFormat="false" ht="12" hidden="false" customHeight="false" outlineLevel="0" collapsed="false">
      <c r="A644" s="29" t="n">
        <v>627</v>
      </c>
      <c r="B644" s="45" t="n">
        <f aca="true">IF(RAND()&lt;$D$8,1,0)</f>
        <v>1</v>
      </c>
      <c r="C644" s="34" t="n">
        <f aca="true">-LN(RAND())/$D$2</f>
        <v>3.7486066784069</v>
      </c>
      <c r="D644" s="46" t="n">
        <f aca="false">D643+C644</f>
        <v>981.277556850076</v>
      </c>
      <c r="E644" s="47" t="e">
        <f aca="false">MAX($D$3,(1+P643-VLOOKUP(VALUE(D644),$J$18:$Q643,7,TRUE()))*$D$3)</f>
        <v>#N/A</v>
      </c>
      <c r="F644" s="47" t="e">
        <f aca="false">MAX($D$4,(1+Q643-VLOOKUP(VALUE(D644),$M$18:$Q643,5,TRUE()))*$D$4)</f>
        <v>#N/A</v>
      </c>
      <c r="G644" s="48" t="n">
        <v>0.5</v>
      </c>
      <c r="H644" s="46" t="e">
        <f aca="true">IF((B644=1),(IF((F644&lt;E644),1,(IF((F644=E644),(IF(RAND()&lt;G644,1,0)),0)))),(IF((RAND()&lt;G644),1,0)))</f>
        <v>#N/A</v>
      </c>
      <c r="I644" s="46" t="e">
        <f aca="true">IF((H644=1),0,$D$3+$D$5*(RAND()-0.5))</f>
        <v>#N/A</v>
      </c>
      <c r="J644" s="46" t="e">
        <f aca="false">I644+MAX(D644,J643)</f>
        <v>#N/A</v>
      </c>
      <c r="K644" s="46" t="e">
        <f aca="false">IF((H644=0),J644-D644,0)</f>
        <v>#N/A</v>
      </c>
      <c r="L644" s="46" t="e">
        <f aca="true">IF(($H644=0),0,$D$4+$D$5*(RAND()-0.5))</f>
        <v>#N/A</v>
      </c>
      <c r="M644" s="46" t="e">
        <f aca="false">L644+MAX(D644,M643)</f>
        <v>#N/A</v>
      </c>
      <c r="N644" s="46" t="e">
        <f aca="false">IF((H644=1),M644-D644,0)</f>
        <v>#N/A</v>
      </c>
      <c r="O644" s="29" t="n">
        <v>627</v>
      </c>
      <c r="P644" s="49" t="e">
        <f aca="false">IF((Arterial=0),P643+1,P643)</f>
        <v>#N/A</v>
      </c>
      <c r="Q644" s="49" t="e">
        <f aca="false">IF((Arterial=1),Q643+1,Q643)</f>
        <v>#N/A</v>
      </c>
      <c r="R644" s="50" t="n">
        <f aca="false">IF((RESET=1),0,R644+K644)</f>
        <v>0</v>
      </c>
      <c r="S644" s="19" t="n">
        <f aca="false">IF(RESET=1,0,S644+N644)</f>
        <v>0</v>
      </c>
      <c r="T644" s="0" t="n">
        <f aca="false">IF(RESET=1,0,T644+IF(H644=0,1,0))</f>
        <v>0</v>
      </c>
      <c r="U644" s="0" t="n">
        <f aca="false">IF(RESET=1,0,U644+H644)</f>
        <v>0</v>
      </c>
      <c r="V644" s="19" t="n">
        <f aca="false">R644/(T644+0.00001)</f>
        <v>0</v>
      </c>
      <c r="W644" s="19" t="n">
        <f aca="false">S644/(U644+0.0001)</f>
        <v>0</v>
      </c>
      <c r="X644" s="47" t="e">
        <f aca="false">IF(Informed=1,K644,0)</f>
        <v>#N/A</v>
      </c>
      <c r="Y644" s="47" t="n">
        <f aca="false">IF(Informed=0,K644,0)</f>
        <v>0</v>
      </c>
      <c r="Z644" s="47" t="e">
        <f aca="false">IF(Informed=1,N644,0)</f>
        <v>#N/A</v>
      </c>
      <c r="AA644" s="47" t="n">
        <f aca="false">IF(Informed=0,N644,0)</f>
        <v>0</v>
      </c>
      <c r="AB644" s="51" t="e">
        <f aca="false">IF(Arterial=0,IF(Informed=1,1,0),0)</f>
        <v>#N/A</v>
      </c>
      <c r="AC644" s="51" t="e">
        <f aca="false">IF(Arterial=0,IF(Informed=0,1,0),0)</f>
        <v>#N/A</v>
      </c>
      <c r="AD644" s="51" t="e">
        <f aca="false">IF(Arterial=1,IF(Informed=1,1,0),0)</f>
        <v>#N/A</v>
      </c>
      <c r="AE644" s="51" t="e">
        <f aca="false">IF(Arterial=1,IF(Informed=0,1,0),0)</f>
        <v>#N/A</v>
      </c>
      <c r="AF644" s="44" t="e">
        <f aca="false">IF(AB644=1,(X644-G$1030)^2,0)</f>
        <v>#N/A</v>
      </c>
      <c r="AG644" s="44" t="e">
        <f aca="false">IF(AC644=1,(Y644-H$1030)^2,0)</f>
        <v>#N/A</v>
      </c>
      <c r="AH644" s="44" t="e">
        <f aca="false">IF(AD644=1,(Z644-I$1030)^2,0)</f>
        <v>#N/A</v>
      </c>
      <c r="AI644" s="44" t="e">
        <f aca="false">IF(AE644=1,(AA644-J$1030)^2,0)</f>
        <v>#N/A</v>
      </c>
    </row>
    <row r="645" customFormat="false" ht="12" hidden="false" customHeight="false" outlineLevel="0" collapsed="false">
      <c r="A645" s="29" t="n">
        <v>628</v>
      </c>
      <c r="B645" s="45" t="n">
        <f aca="true">IF(RAND()&lt;$D$8,1,0)</f>
        <v>1</v>
      </c>
      <c r="C645" s="34" t="n">
        <f aca="true">-LN(RAND())/$D$2</f>
        <v>0.446619427626601</v>
      </c>
      <c r="D645" s="46" t="n">
        <f aca="false">D644+C645</f>
        <v>981.724176277702</v>
      </c>
      <c r="E645" s="47" t="e">
        <f aca="false">MAX($D$3,(1+P644-VLOOKUP(VALUE(D645),$J$18:$Q644,7,TRUE()))*$D$3)</f>
        <v>#N/A</v>
      </c>
      <c r="F645" s="47" t="e">
        <f aca="false">MAX($D$4,(1+Q644-VLOOKUP(VALUE(D645),$M$18:$Q644,5,TRUE()))*$D$4)</f>
        <v>#N/A</v>
      </c>
      <c r="G645" s="48" t="n">
        <v>0.5</v>
      </c>
      <c r="H645" s="46" t="e">
        <f aca="true">IF((B645=1),(IF((F645&lt;E645),1,(IF((F645=E645),(IF(RAND()&lt;G645,1,0)),0)))),(IF((RAND()&lt;G645),1,0)))</f>
        <v>#N/A</v>
      </c>
      <c r="I645" s="46" t="e">
        <f aca="true">IF((H645=1),0,$D$3+$D$5*(RAND()-0.5))</f>
        <v>#N/A</v>
      </c>
      <c r="J645" s="46" t="e">
        <f aca="false">I645+MAX(D645,J644)</f>
        <v>#N/A</v>
      </c>
      <c r="K645" s="46" t="e">
        <f aca="false">IF((H645=0),J645-D645,0)</f>
        <v>#N/A</v>
      </c>
      <c r="L645" s="46" t="e">
        <f aca="true">IF(($H645=0),0,$D$4+$D$5*(RAND()-0.5))</f>
        <v>#N/A</v>
      </c>
      <c r="M645" s="46" t="e">
        <f aca="false">L645+MAX(D645,M644)</f>
        <v>#N/A</v>
      </c>
      <c r="N645" s="46" t="e">
        <f aca="false">IF((H645=1),M645-D645,0)</f>
        <v>#N/A</v>
      </c>
      <c r="O645" s="29" t="n">
        <v>628</v>
      </c>
      <c r="P645" s="49" t="e">
        <f aca="false">IF((Arterial=0),P644+1,P644)</f>
        <v>#N/A</v>
      </c>
      <c r="Q645" s="49" t="e">
        <f aca="false">IF((Arterial=1),Q644+1,Q644)</f>
        <v>#N/A</v>
      </c>
      <c r="R645" s="50" t="n">
        <f aca="false">IF((RESET=1),0,R645+K645)</f>
        <v>0</v>
      </c>
      <c r="S645" s="19" t="n">
        <f aca="false">IF(RESET=1,0,S645+N645)</f>
        <v>0</v>
      </c>
      <c r="T645" s="0" t="n">
        <f aca="false">IF(RESET=1,0,T645+IF(H645=0,1,0))</f>
        <v>0</v>
      </c>
      <c r="U645" s="0" t="n">
        <f aca="false">IF(RESET=1,0,U645+H645)</f>
        <v>0</v>
      </c>
      <c r="V645" s="19" t="n">
        <f aca="false">R645/(T645+0.00001)</f>
        <v>0</v>
      </c>
      <c r="W645" s="19" t="n">
        <f aca="false">S645/(U645+0.0001)</f>
        <v>0</v>
      </c>
      <c r="X645" s="47" t="e">
        <f aca="false">IF(Informed=1,K645,0)</f>
        <v>#N/A</v>
      </c>
      <c r="Y645" s="47" t="n">
        <f aca="false">IF(Informed=0,K645,0)</f>
        <v>0</v>
      </c>
      <c r="Z645" s="47" t="e">
        <f aca="false">IF(Informed=1,N645,0)</f>
        <v>#N/A</v>
      </c>
      <c r="AA645" s="47" t="n">
        <f aca="false">IF(Informed=0,N645,0)</f>
        <v>0</v>
      </c>
      <c r="AB645" s="51" t="e">
        <f aca="false">IF(Arterial=0,IF(Informed=1,1,0),0)</f>
        <v>#N/A</v>
      </c>
      <c r="AC645" s="51" t="e">
        <f aca="false">IF(Arterial=0,IF(Informed=0,1,0),0)</f>
        <v>#N/A</v>
      </c>
      <c r="AD645" s="51" t="e">
        <f aca="false">IF(Arterial=1,IF(Informed=1,1,0),0)</f>
        <v>#N/A</v>
      </c>
      <c r="AE645" s="51" t="e">
        <f aca="false">IF(Arterial=1,IF(Informed=0,1,0),0)</f>
        <v>#N/A</v>
      </c>
      <c r="AF645" s="44" t="e">
        <f aca="false">IF(AB645=1,(X645-G$1030)^2,0)</f>
        <v>#N/A</v>
      </c>
      <c r="AG645" s="44" t="e">
        <f aca="false">IF(AC645=1,(Y645-H$1030)^2,0)</f>
        <v>#N/A</v>
      </c>
      <c r="AH645" s="44" t="e">
        <f aca="false">IF(AD645=1,(Z645-I$1030)^2,0)</f>
        <v>#N/A</v>
      </c>
      <c r="AI645" s="44" t="e">
        <f aca="false">IF(AE645=1,(AA645-J$1030)^2,0)</f>
        <v>#N/A</v>
      </c>
    </row>
    <row r="646" customFormat="false" ht="12" hidden="false" customHeight="false" outlineLevel="0" collapsed="false">
      <c r="A646" s="29" t="n">
        <v>629</v>
      </c>
      <c r="B646" s="45" t="n">
        <f aca="true">IF(RAND()&lt;$D$8,1,0)</f>
        <v>1</v>
      </c>
      <c r="C646" s="34" t="n">
        <f aca="true">-LN(RAND())/$D$2</f>
        <v>1.15218526438864</v>
      </c>
      <c r="D646" s="46" t="n">
        <f aca="false">D645+C646</f>
        <v>982.876361542091</v>
      </c>
      <c r="E646" s="47" t="e">
        <f aca="false">MAX($D$3,(1+P645-VLOOKUP(VALUE(D646),$J$18:$Q645,7,TRUE()))*$D$3)</f>
        <v>#N/A</v>
      </c>
      <c r="F646" s="47" t="e">
        <f aca="false">MAX($D$4,(1+Q645-VLOOKUP(VALUE(D646),$M$18:$Q645,5,TRUE()))*$D$4)</f>
        <v>#N/A</v>
      </c>
      <c r="G646" s="48" t="n">
        <v>0.5</v>
      </c>
      <c r="H646" s="46" t="e">
        <f aca="true">IF((B646=1),(IF((F646&lt;E646),1,(IF((F646=E646),(IF(RAND()&lt;G646,1,0)),0)))),(IF((RAND()&lt;G646),1,0)))</f>
        <v>#N/A</v>
      </c>
      <c r="I646" s="46" t="e">
        <f aca="true">IF((H646=1),0,$D$3+$D$5*(RAND()-0.5))</f>
        <v>#N/A</v>
      </c>
      <c r="J646" s="46" t="e">
        <f aca="false">I646+MAX(D646,J645)</f>
        <v>#N/A</v>
      </c>
      <c r="K646" s="46" t="e">
        <f aca="false">IF((H646=0),J646-D646,0)</f>
        <v>#N/A</v>
      </c>
      <c r="L646" s="46" t="e">
        <f aca="true">IF(($H646=0),0,$D$4+$D$5*(RAND()-0.5))</f>
        <v>#N/A</v>
      </c>
      <c r="M646" s="46" t="e">
        <f aca="false">L646+MAX(D646,M645)</f>
        <v>#N/A</v>
      </c>
      <c r="N646" s="46" t="e">
        <f aca="false">IF((H646=1),M646-D646,0)</f>
        <v>#N/A</v>
      </c>
      <c r="O646" s="29" t="n">
        <v>629</v>
      </c>
      <c r="P646" s="49" t="e">
        <f aca="false">IF((Arterial=0),P645+1,P645)</f>
        <v>#N/A</v>
      </c>
      <c r="Q646" s="49" t="e">
        <f aca="false">IF((Arterial=1),Q645+1,Q645)</f>
        <v>#N/A</v>
      </c>
      <c r="R646" s="50" t="n">
        <f aca="false">IF((RESET=1),0,R646+K646)</f>
        <v>0</v>
      </c>
      <c r="S646" s="19" t="n">
        <f aca="false">IF(RESET=1,0,S646+N646)</f>
        <v>0</v>
      </c>
      <c r="T646" s="0" t="n">
        <f aca="false">IF(RESET=1,0,T646+IF(H646=0,1,0))</f>
        <v>0</v>
      </c>
      <c r="U646" s="0" t="n">
        <f aca="false">IF(RESET=1,0,U646+H646)</f>
        <v>0</v>
      </c>
      <c r="V646" s="19" t="n">
        <f aca="false">R646/(T646+0.00001)</f>
        <v>0</v>
      </c>
      <c r="W646" s="19" t="n">
        <f aca="false">S646/(U646+0.0001)</f>
        <v>0</v>
      </c>
      <c r="X646" s="47" t="e">
        <f aca="false">IF(Informed=1,K646,0)</f>
        <v>#N/A</v>
      </c>
      <c r="Y646" s="47" t="n">
        <f aca="false">IF(Informed=0,K646,0)</f>
        <v>0</v>
      </c>
      <c r="Z646" s="47" t="e">
        <f aca="false">IF(Informed=1,N646,0)</f>
        <v>#N/A</v>
      </c>
      <c r="AA646" s="47" t="n">
        <f aca="false">IF(Informed=0,N646,0)</f>
        <v>0</v>
      </c>
      <c r="AB646" s="51" t="e">
        <f aca="false">IF(Arterial=0,IF(Informed=1,1,0),0)</f>
        <v>#N/A</v>
      </c>
      <c r="AC646" s="51" t="e">
        <f aca="false">IF(Arterial=0,IF(Informed=0,1,0),0)</f>
        <v>#N/A</v>
      </c>
      <c r="AD646" s="51" t="e">
        <f aca="false">IF(Arterial=1,IF(Informed=1,1,0),0)</f>
        <v>#N/A</v>
      </c>
      <c r="AE646" s="51" t="e">
        <f aca="false">IF(Arterial=1,IF(Informed=0,1,0),0)</f>
        <v>#N/A</v>
      </c>
      <c r="AF646" s="44" t="e">
        <f aca="false">IF(AB646=1,(X646-G$1030)^2,0)</f>
        <v>#N/A</v>
      </c>
      <c r="AG646" s="44" t="e">
        <f aca="false">IF(AC646=1,(Y646-H$1030)^2,0)</f>
        <v>#N/A</v>
      </c>
      <c r="AH646" s="44" t="e">
        <f aca="false">IF(AD646=1,(Z646-I$1030)^2,0)</f>
        <v>#N/A</v>
      </c>
      <c r="AI646" s="44" t="e">
        <f aca="false">IF(AE646=1,(AA646-J$1030)^2,0)</f>
        <v>#N/A</v>
      </c>
    </row>
    <row r="647" customFormat="false" ht="12" hidden="false" customHeight="false" outlineLevel="0" collapsed="false">
      <c r="A647" s="29" t="n">
        <v>630</v>
      </c>
      <c r="B647" s="45" t="n">
        <f aca="true">IF(RAND()&lt;$D$8,1,0)</f>
        <v>1</v>
      </c>
      <c r="C647" s="34" t="n">
        <f aca="true">-LN(RAND())/$D$2</f>
        <v>0.404813033838552</v>
      </c>
      <c r="D647" s="46" t="n">
        <f aca="false">D646+C647</f>
        <v>983.28117457593</v>
      </c>
      <c r="E647" s="47" t="e">
        <f aca="false">MAX($D$3,(1+P646-VLOOKUP(VALUE(D647),$J$18:$Q646,7,TRUE()))*$D$3)</f>
        <v>#N/A</v>
      </c>
      <c r="F647" s="47" t="e">
        <f aca="false">MAX($D$4,(1+Q646-VLOOKUP(VALUE(D647),$M$18:$Q646,5,TRUE()))*$D$4)</f>
        <v>#N/A</v>
      </c>
      <c r="G647" s="48" t="n">
        <v>0.5</v>
      </c>
      <c r="H647" s="46" t="e">
        <f aca="true">IF((B647=1),(IF((F647&lt;E647),1,(IF((F647=E647),(IF(RAND()&lt;G647,1,0)),0)))),(IF((RAND()&lt;G647),1,0)))</f>
        <v>#N/A</v>
      </c>
      <c r="I647" s="46" t="e">
        <f aca="true">IF((H647=1),0,$D$3+$D$5*(RAND()-0.5))</f>
        <v>#N/A</v>
      </c>
      <c r="J647" s="46" t="e">
        <f aca="false">I647+MAX(D647,J646)</f>
        <v>#N/A</v>
      </c>
      <c r="K647" s="46" t="e">
        <f aca="false">IF((H647=0),J647-D647,0)</f>
        <v>#N/A</v>
      </c>
      <c r="L647" s="46" t="e">
        <f aca="true">IF(($H647=0),0,$D$4+$D$5*(RAND()-0.5))</f>
        <v>#N/A</v>
      </c>
      <c r="M647" s="46" t="e">
        <f aca="false">L647+MAX(D647,M646)</f>
        <v>#N/A</v>
      </c>
      <c r="N647" s="46" t="e">
        <f aca="false">IF((H647=1),M647-D647,0)</f>
        <v>#N/A</v>
      </c>
      <c r="O647" s="29" t="n">
        <v>630</v>
      </c>
      <c r="P647" s="49" t="e">
        <f aca="false">IF((Arterial=0),P646+1,P646)</f>
        <v>#N/A</v>
      </c>
      <c r="Q647" s="49" t="e">
        <f aca="false">IF((Arterial=1),Q646+1,Q646)</f>
        <v>#N/A</v>
      </c>
      <c r="R647" s="50" t="n">
        <f aca="false">IF((RESET=1),0,R647+K647)</f>
        <v>0</v>
      </c>
      <c r="S647" s="19" t="n">
        <f aca="false">IF(RESET=1,0,S647+N647)</f>
        <v>0</v>
      </c>
      <c r="T647" s="0" t="n">
        <f aca="false">IF(RESET=1,0,T647+IF(H647=0,1,0))</f>
        <v>0</v>
      </c>
      <c r="U647" s="0" t="n">
        <f aca="false">IF(RESET=1,0,U647+H647)</f>
        <v>0</v>
      </c>
      <c r="V647" s="19" t="n">
        <f aca="false">R647/(T647+0.00001)</f>
        <v>0</v>
      </c>
      <c r="W647" s="19" t="n">
        <f aca="false">S647/(U647+0.0001)</f>
        <v>0</v>
      </c>
      <c r="X647" s="47" t="e">
        <f aca="false">IF(Informed=1,K647,0)</f>
        <v>#N/A</v>
      </c>
      <c r="Y647" s="47" t="n">
        <f aca="false">IF(Informed=0,K647,0)</f>
        <v>0</v>
      </c>
      <c r="Z647" s="47" t="e">
        <f aca="false">IF(Informed=1,N647,0)</f>
        <v>#N/A</v>
      </c>
      <c r="AA647" s="47" t="n">
        <f aca="false">IF(Informed=0,N647,0)</f>
        <v>0</v>
      </c>
      <c r="AB647" s="51" t="e">
        <f aca="false">IF(Arterial=0,IF(Informed=1,1,0),0)</f>
        <v>#N/A</v>
      </c>
      <c r="AC647" s="51" t="e">
        <f aca="false">IF(Arterial=0,IF(Informed=0,1,0),0)</f>
        <v>#N/A</v>
      </c>
      <c r="AD647" s="51" t="e">
        <f aca="false">IF(Arterial=1,IF(Informed=1,1,0),0)</f>
        <v>#N/A</v>
      </c>
      <c r="AE647" s="51" t="e">
        <f aca="false">IF(Arterial=1,IF(Informed=0,1,0),0)</f>
        <v>#N/A</v>
      </c>
      <c r="AF647" s="44" t="e">
        <f aca="false">IF(AB647=1,(X647-G$1030)^2,0)</f>
        <v>#N/A</v>
      </c>
      <c r="AG647" s="44" t="e">
        <f aca="false">IF(AC647=1,(Y647-H$1030)^2,0)</f>
        <v>#N/A</v>
      </c>
      <c r="AH647" s="44" t="e">
        <f aca="false">IF(AD647=1,(Z647-I$1030)^2,0)</f>
        <v>#N/A</v>
      </c>
      <c r="AI647" s="44" t="e">
        <f aca="false">IF(AE647=1,(AA647-J$1030)^2,0)</f>
        <v>#N/A</v>
      </c>
    </row>
    <row r="648" customFormat="false" ht="12" hidden="false" customHeight="false" outlineLevel="0" collapsed="false">
      <c r="A648" s="29" t="n">
        <v>631</v>
      </c>
      <c r="B648" s="45" t="n">
        <f aca="true">IF(RAND()&lt;$D$8,1,0)</f>
        <v>1</v>
      </c>
      <c r="C648" s="34" t="n">
        <f aca="true">-LN(RAND())/$D$2</f>
        <v>2.11737738511658</v>
      </c>
      <c r="D648" s="46" t="n">
        <f aca="false">D647+C648</f>
        <v>985.398551961046</v>
      </c>
      <c r="E648" s="47" t="e">
        <f aca="false">MAX($D$3,(1+P647-VLOOKUP(VALUE(D648),$J$18:$Q647,7,TRUE()))*$D$3)</f>
        <v>#N/A</v>
      </c>
      <c r="F648" s="47" t="e">
        <f aca="false">MAX($D$4,(1+Q647-VLOOKUP(VALUE(D648),$M$18:$Q647,5,TRUE()))*$D$4)</f>
        <v>#N/A</v>
      </c>
      <c r="G648" s="48" t="n">
        <v>0.5</v>
      </c>
      <c r="H648" s="46" t="e">
        <f aca="true">IF((B648=1),(IF((F648&lt;E648),1,(IF((F648=E648),(IF(RAND()&lt;G648,1,0)),0)))),(IF((RAND()&lt;G648),1,0)))</f>
        <v>#N/A</v>
      </c>
      <c r="I648" s="46" t="e">
        <f aca="true">IF((H648=1),0,$D$3+$D$5*(RAND()-0.5))</f>
        <v>#N/A</v>
      </c>
      <c r="J648" s="46" t="e">
        <f aca="false">I648+MAX(D648,J647)</f>
        <v>#N/A</v>
      </c>
      <c r="K648" s="46" t="e">
        <f aca="false">IF((H648=0),J648-D648,0)</f>
        <v>#N/A</v>
      </c>
      <c r="L648" s="46" t="e">
        <f aca="true">IF(($H648=0),0,$D$4+$D$5*(RAND()-0.5))</f>
        <v>#N/A</v>
      </c>
      <c r="M648" s="46" t="e">
        <f aca="false">L648+MAX(D648,M647)</f>
        <v>#N/A</v>
      </c>
      <c r="N648" s="46" t="e">
        <f aca="false">IF((H648=1),M648-D648,0)</f>
        <v>#N/A</v>
      </c>
      <c r="O648" s="29" t="n">
        <v>631</v>
      </c>
      <c r="P648" s="49" t="e">
        <f aca="false">IF((Arterial=0),P647+1,P647)</f>
        <v>#N/A</v>
      </c>
      <c r="Q648" s="49" t="e">
        <f aca="false">IF((Arterial=1),Q647+1,Q647)</f>
        <v>#N/A</v>
      </c>
      <c r="R648" s="50" t="n">
        <f aca="false">IF((RESET=1),0,R648+K648)</f>
        <v>0</v>
      </c>
      <c r="S648" s="19" t="n">
        <f aca="false">IF(RESET=1,0,S648+N648)</f>
        <v>0</v>
      </c>
      <c r="T648" s="0" t="n">
        <f aca="false">IF(RESET=1,0,T648+IF(H648=0,1,0))</f>
        <v>0</v>
      </c>
      <c r="U648" s="0" t="n">
        <f aca="false">IF(RESET=1,0,U648+H648)</f>
        <v>0</v>
      </c>
      <c r="V648" s="19" t="n">
        <f aca="false">R648/(T648+0.00001)</f>
        <v>0</v>
      </c>
      <c r="W648" s="19" t="n">
        <f aca="false">S648/(U648+0.0001)</f>
        <v>0</v>
      </c>
      <c r="X648" s="47" t="e">
        <f aca="false">IF(Informed=1,K648,0)</f>
        <v>#N/A</v>
      </c>
      <c r="Y648" s="47" t="n">
        <f aca="false">IF(Informed=0,K648,0)</f>
        <v>0</v>
      </c>
      <c r="Z648" s="47" t="e">
        <f aca="false">IF(Informed=1,N648,0)</f>
        <v>#N/A</v>
      </c>
      <c r="AA648" s="47" t="n">
        <f aca="false">IF(Informed=0,N648,0)</f>
        <v>0</v>
      </c>
      <c r="AB648" s="51" t="e">
        <f aca="false">IF(Arterial=0,IF(Informed=1,1,0),0)</f>
        <v>#N/A</v>
      </c>
      <c r="AC648" s="51" t="e">
        <f aca="false">IF(Arterial=0,IF(Informed=0,1,0),0)</f>
        <v>#N/A</v>
      </c>
      <c r="AD648" s="51" t="e">
        <f aca="false">IF(Arterial=1,IF(Informed=1,1,0),0)</f>
        <v>#N/A</v>
      </c>
      <c r="AE648" s="51" t="e">
        <f aca="false">IF(Arterial=1,IF(Informed=0,1,0),0)</f>
        <v>#N/A</v>
      </c>
      <c r="AF648" s="44" t="e">
        <f aca="false">IF(AB648=1,(X648-G$1030)^2,0)</f>
        <v>#N/A</v>
      </c>
      <c r="AG648" s="44" t="e">
        <f aca="false">IF(AC648=1,(Y648-H$1030)^2,0)</f>
        <v>#N/A</v>
      </c>
      <c r="AH648" s="44" t="e">
        <f aca="false">IF(AD648=1,(Z648-I$1030)^2,0)</f>
        <v>#N/A</v>
      </c>
      <c r="AI648" s="44" t="e">
        <f aca="false">IF(AE648=1,(AA648-J$1030)^2,0)</f>
        <v>#N/A</v>
      </c>
    </row>
    <row r="649" customFormat="false" ht="12" hidden="false" customHeight="false" outlineLevel="0" collapsed="false">
      <c r="A649" s="29" t="n">
        <v>632</v>
      </c>
      <c r="B649" s="45" t="n">
        <f aca="true">IF(RAND()&lt;$D$8,1,0)</f>
        <v>1</v>
      </c>
      <c r="C649" s="34" t="n">
        <f aca="true">-LN(RAND())/$D$2</f>
        <v>0.46605653981779</v>
      </c>
      <c r="D649" s="46" t="n">
        <f aca="false">D648+C649</f>
        <v>985.864608500864</v>
      </c>
      <c r="E649" s="47" t="e">
        <f aca="false">MAX($D$3,(1+P648-VLOOKUP(VALUE(D649),$J$18:$Q648,7,TRUE()))*$D$3)</f>
        <v>#N/A</v>
      </c>
      <c r="F649" s="47" t="e">
        <f aca="false">MAX($D$4,(1+Q648-VLOOKUP(VALUE(D649),$M$18:$Q648,5,TRUE()))*$D$4)</f>
        <v>#N/A</v>
      </c>
      <c r="G649" s="48" t="n">
        <v>0.5</v>
      </c>
      <c r="H649" s="46" t="e">
        <f aca="true">IF((B649=1),(IF((F649&lt;E649),1,(IF((F649=E649),(IF(RAND()&lt;G649,1,0)),0)))),(IF((RAND()&lt;G649),1,0)))</f>
        <v>#N/A</v>
      </c>
      <c r="I649" s="46" t="e">
        <f aca="true">IF((H649=1),0,$D$3+$D$5*(RAND()-0.5))</f>
        <v>#N/A</v>
      </c>
      <c r="J649" s="46" t="e">
        <f aca="false">I649+MAX(D649,J648)</f>
        <v>#N/A</v>
      </c>
      <c r="K649" s="46" t="e">
        <f aca="false">IF((H649=0),J649-D649,0)</f>
        <v>#N/A</v>
      </c>
      <c r="L649" s="46" t="e">
        <f aca="true">IF(($H649=0),0,$D$4+$D$5*(RAND()-0.5))</f>
        <v>#N/A</v>
      </c>
      <c r="M649" s="46" t="e">
        <f aca="false">L649+MAX(D649,M648)</f>
        <v>#N/A</v>
      </c>
      <c r="N649" s="46" t="e">
        <f aca="false">IF((H649=1),M649-D649,0)</f>
        <v>#N/A</v>
      </c>
      <c r="O649" s="29" t="n">
        <v>632</v>
      </c>
      <c r="P649" s="49" t="e">
        <f aca="false">IF((Arterial=0),P648+1,P648)</f>
        <v>#N/A</v>
      </c>
      <c r="Q649" s="49" t="e">
        <f aca="false">IF((Arterial=1),Q648+1,Q648)</f>
        <v>#N/A</v>
      </c>
      <c r="R649" s="50" t="n">
        <f aca="false">IF((RESET=1),0,R649+K649)</f>
        <v>0</v>
      </c>
      <c r="S649" s="19" t="n">
        <f aca="false">IF(RESET=1,0,S649+N649)</f>
        <v>0</v>
      </c>
      <c r="T649" s="0" t="n">
        <f aca="false">IF(RESET=1,0,T649+IF(H649=0,1,0))</f>
        <v>0</v>
      </c>
      <c r="U649" s="0" t="n">
        <f aca="false">IF(RESET=1,0,U649+H649)</f>
        <v>0</v>
      </c>
      <c r="V649" s="19" t="n">
        <f aca="false">R649/(T649+0.00001)</f>
        <v>0</v>
      </c>
      <c r="W649" s="19" t="n">
        <f aca="false">S649/(U649+0.0001)</f>
        <v>0</v>
      </c>
      <c r="X649" s="47" t="e">
        <f aca="false">IF(Informed=1,K649,0)</f>
        <v>#N/A</v>
      </c>
      <c r="Y649" s="47" t="n">
        <f aca="false">IF(Informed=0,K649,0)</f>
        <v>0</v>
      </c>
      <c r="Z649" s="47" t="e">
        <f aca="false">IF(Informed=1,N649,0)</f>
        <v>#N/A</v>
      </c>
      <c r="AA649" s="47" t="n">
        <f aca="false">IF(Informed=0,N649,0)</f>
        <v>0</v>
      </c>
      <c r="AB649" s="51" t="e">
        <f aca="false">IF(Arterial=0,IF(Informed=1,1,0),0)</f>
        <v>#N/A</v>
      </c>
      <c r="AC649" s="51" t="e">
        <f aca="false">IF(Arterial=0,IF(Informed=0,1,0),0)</f>
        <v>#N/A</v>
      </c>
      <c r="AD649" s="51" t="e">
        <f aca="false">IF(Arterial=1,IF(Informed=1,1,0),0)</f>
        <v>#N/A</v>
      </c>
      <c r="AE649" s="51" t="e">
        <f aca="false">IF(Arterial=1,IF(Informed=0,1,0),0)</f>
        <v>#N/A</v>
      </c>
      <c r="AF649" s="44" t="e">
        <f aca="false">IF(AB649=1,(X649-G$1030)^2,0)</f>
        <v>#N/A</v>
      </c>
      <c r="AG649" s="44" t="e">
        <f aca="false">IF(AC649=1,(Y649-H$1030)^2,0)</f>
        <v>#N/A</v>
      </c>
      <c r="AH649" s="44" t="e">
        <f aca="false">IF(AD649=1,(Z649-I$1030)^2,0)</f>
        <v>#N/A</v>
      </c>
      <c r="AI649" s="44" t="e">
        <f aca="false">IF(AE649=1,(AA649-J$1030)^2,0)</f>
        <v>#N/A</v>
      </c>
    </row>
    <row r="650" customFormat="false" ht="12" hidden="false" customHeight="false" outlineLevel="0" collapsed="false">
      <c r="A650" s="29" t="n">
        <v>633</v>
      </c>
      <c r="B650" s="45" t="n">
        <f aca="true">IF(RAND()&lt;$D$8,1,0)</f>
        <v>1</v>
      </c>
      <c r="C650" s="34" t="n">
        <f aca="true">-LN(RAND())/$D$2</f>
        <v>0.431026020964887</v>
      </c>
      <c r="D650" s="46" t="n">
        <f aca="false">D649+C650</f>
        <v>986.295634521829</v>
      </c>
      <c r="E650" s="47" t="e">
        <f aca="false">MAX($D$3,(1+P649-VLOOKUP(VALUE(D650),$J$18:$Q649,7,TRUE()))*$D$3)</f>
        <v>#N/A</v>
      </c>
      <c r="F650" s="47" t="e">
        <f aca="false">MAX($D$4,(1+Q649-VLOOKUP(VALUE(D650),$M$18:$Q649,5,TRUE()))*$D$4)</f>
        <v>#N/A</v>
      </c>
      <c r="G650" s="48" t="n">
        <v>0.5</v>
      </c>
      <c r="H650" s="46" t="e">
        <f aca="true">IF((B650=1),(IF((F650&lt;E650),1,(IF((F650=E650),(IF(RAND()&lt;G650,1,0)),0)))),(IF((RAND()&lt;G650),1,0)))</f>
        <v>#N/A</v>
      </c>
      <c r="I650" s="46" t="e">
        <f aca="true">IF((H650=1),0,$D$3+$D$5*(RAND()-0.5))</f>
        <v>#N/A</v>
      </c>
      <c r="J650" s="46" t="e">
        <f aca="false">I650+MAX(D650,J649)</f>
        <v>#N/A</v>
      </c>
      <c r="K650" s="46" t="e">
        <f aca="false">IF((H650=0),J650-D650,0)</f>
        <v>#N/A</v>
      </c>
      <c r="L650" s="46" t="e">
        <f aca="true">IF(($H650=0),0,$D$4+$D$5*(RAND()-0.5))</f>
        <v>#N/A</v>
      </c>
      <c r="M650" s="46" t="e">
        <f aca="false">L650+MAX(D650,M649)</f>
        <v>#N/A</v>
      </c>
      <c r="N650" s="46" t="e">
        <f aca="false">IF((H650=1),M650-D650,0)</f>
        <v>#N/A</v>
      </c>
      <c r="O650" s="29" t="n">
        <v>633</v>
      </c>
      <c r="P650" s="49" t="e">
        <f aca="false">IF((Arterial=0),P649+1,P649)</f>
        <v>#N/A</v>
      </c>
      <c r="Q650" s="49" t="e">
        <f aca="false">IF((Arterial=1),Q649+1,Q649)</f>
        <v>#N/A</v>
      </c>
      <c r="R650" s="50" t="n">
        <f aca="false">IF((RESET=1),0,R650+K650)</f>
        <v>0</v>
      </c>
      <c r="S650" s="19" t="n">
        <f aca="false">IF(RESET=1,0,S650+N650)</f>
        <v>0</v>
      </c>
      <c r="T650" s="0" t="n">
        <f aca="false">IF(RESET=1,0,T650+IF(H650=0,1,0))</f>
        <v>0</v>
      </c>
      <c r="U650" s="0" t="n">
        <f aca="false">IF(RESET=1,0,U650+H650)</f>
        <v>0</v>
      </c>
      <c r="V650" s="19" t="n">
        <f aca="false">R650/(T650+0.00001)</f>
        <v>0</v>
      </c>
      <c r="W650" s="19" t="n">
        <f aca="false">S650/(U650+0.0001)</f>
        <v>0</v>
      </c>
      <c r="X650" s="47" t="e">
        <f aca="false">IF(Informed=1,K650,0)</f>
        <v>#N/A</v>
      </c>
      <c r="Y650" s="47" t="n">
        <f aca="false">IF(Informed=0,K650,0)</f>
        <v>0</v>
      </c>
      <c r="Z650" s="47" t="e">
        <f aca="false">IF(Informed=1,N650,0)</f>
        <v>#N/A</v>
      </c>
      <c r="AA650" s="47" t="n">
        <f aca="false">IF(Informed=0,N650,0)</f>
        <v>0</v>
      </c>
      <c r="AB650" s="51" t="e">
        <f aca="false">IF(Arterial=0,IF(Informed=1,1,0),0)</f>
        <v>#N/A</v>
      </c>
      <c r="AC650" s="51" t="e">
        <f aca="false">IF(Arterial=0,IF(Informed=0,1,0),0)</f>
        <v>#N/A</v>
      </c>
      <c r="AD650" s="51" t="e">
        <f aca="false">IF(Arterial=1,IF(Informed=1,1,0),0)</f>
        <v>#N/A</v>
      </c>
      <c r="AE650" s="51" t="e">
        <f aca="false">IF(Arterial=1,IF(Informed=0,1,0),0)</f>
        <v>#N/A</v>
      </c>
      <c r="AF650" s="44" t="e">
        <f aca="false">IF(AB650=1,(X650-G$1030)^2,0)</f>
        <v>#N/A</v>
      </c>
      <c r="AG650" s="44" t="e">
        <f aca="false">IF(AC650=1,(Y650-H$1030)^2,0)</f>
        <v>#N/A</v>
      </c>
      <c r="AH650" s="44" t="e">
        <f aca="false">IF(AD650=1,(Z650-I$1030)^2,0)</f>
        <v>#N/A</v>
      </c>
      <c r="AI650" s="44" t="e">
        <f aca="false">IF(AE650=1,(AA650-J$1030)^2,0)</f>
        <v>#N/A</v>
      </c>
    </row>
    <row r="651" customFormat="false" ht="12" hidden="false" customHeight="false" outlineLevel="0" collapsed="false">
      <c r="A651" s="29" t="n">
        <v>634</v>
      </c>
      <c r="B651" s="45" t="n">
        <f aca="true">IF(RAND()&lt;$D$8,1,0)</f>
        <v>1</v>
      </c>
      <c r="C651" s="34" t="n">
        <f aca="true">-LN(RAND())/$D$2</f>
        <v>0.733758550423523</v>
      </c>
      <c r="D651" s="46" t="n">
        <f aca="false">D650+C651</f>
        <v>987.029393072252</v>
      </c>
      <c r="E651" s="47" t="e">
        <f aca="false">MAX($D$3,(1+P650-VLOOKUP(VALUE(D651),$J$18:$Q650,7,TRUE()))*$D$3)</f>
        <v>#N/A</v>
      </c>
      <c r="F651" s="47" t="e">
        <f aca="false">MAX($D$4,(1+Q650-VLOOKUP(VALUE(D651),$M$18:$Q650,5,TRUE()))*$D$4)</f>
        <v>#N/A</v>
      </c>
      <c r="G651" s="48" t="n">
        <v>0.5</v>
      </c>
      <c r="H651" s="46" t="e">
        <f aca="true">IF((B651=1),(IF((F651&lt;E651),1,(IF((F651=E651),(IF(RAND()&lt;G651,1,0)),0)))),(IF((RAND()&lt;G651),1,0)))</f>
        <v>#N/A</v>
      </c>
      <c r="I651" s="46" t="e">
        <f aca="true">IF((H651=1),0,$D$3+$D$5*(RAND()-0.5))</f>
        <v>#N/A</v>
      </c>
      <c r="J651" s="46" t="e">
        <f aca="false">I651+MAX(D651,J650)</f>
        <v>#N/A</v>
      </c>
      <c r="K651" s="46" t="e">
        <f aca="false">IF((H651=0),J651-D651,0)</f>
        <v>#N/A</v>
      </c>
      <c r="L651" s="46" t="e">
        <f aca="true">IF(($H651=0),0,$D$4+$D$5*(RAND()-0.5))</f>
        <v>#N/A</v>
      </c>
      <c r="M651" s="46" t="e">
        <f aca="false">L651+MAX(D651,M650)</f>
        <v>#N/A</v>
      </c>
      <c r="N651" s="46" t="e">
        <f aca="false">IF((H651=1),M651-D651,0)</f>
        <v>#N/A</v>
      </c>
      <c r="O651" s="29" t="n">
        <v>634</v>
      </c>
      <c r="P651" s="49" t="e">
        <f aca="false">IF((Arterial=0),P650+1,P650)</f>
        <v>#N/A</v>
      </c>
      <c r="Q651" s="49" t="e">
        <f aca="false">IF((Arterial=1),Q650+1,Q650)</f>
        <v>#N/A</v>
      </c>
      <c r="R651" s="50" t="n">
        <f aca="false">IF((RESET=1),0,R651+K651)</f>
        <v>0</v>
      </c>
      <c r="S651" s="19" t="n">
        <f aca="false">IF(RESET=1,0,S651+N651)</f>
        <v>0</v>
      </c>
      <c r="T651" s="0" t="n">
        <f aca="false">IF(RESET=1,0,T651+IF(H651=0,1,0))</f>
        <v>0</v>
      </c>
      <c r="U651" s="0" t="n">
        <f aca="false">IF(RESET=1,0,U651+H651)</f>
        <v>0</v>
      </c>
      <c r="V651" s="19" t="n">
        <f aca="false">R651/(T651+0.00001)</f>
        <v>0</v>
      </c>
      <c r="W651" s="19" t="n">
        <f aca="false">S651/(U651+0.0001)</f>
        <v>0</v>
      </c>
      <c r="X651" s="47" t="e">
        <f aca="false">IF(Informed=1,K651,0)</f>
        <v>#N/A</v>
      </c>
      <c r="Y651" s="47" t="n">
        <f aca="false">IF(Informed=0,K651,0)</f>
        <v>0</v>
      </c>
      <c r="Z651" s="47" t="e">
        <f aca="false">IF(Informed=1,N651,0)</f>
        <v>#N/A</v>
      </c>
      <c r="AA651" s="47" t="n">
        <f aca="false">IF(Informed=0,N651,0)</f>
        <v>0</v>
      </c>
      <c r="AB651" s="51" t="e">
        <f aca="false">IF(Arterial=0,IF(Informed=1,1,0),0)</f>
        <v>#N/A</v>
      </c>
      <c r="AC651" s="51" t="e">
        <f aca="false">IF(Arterial=0,IF(Informed=0,1,0),0)</f>
        <v>#N/A</v>
      </c>
      <c r="AD651" s="51" t="e">
        <f aca="false">IF(Arterial=1,IF(Informed=1,1,0),0)</f>
        <v>#N/A</v>
      </c>
      <c r="AE651" s="51" t="e">
        <f aca="false">IF(Arterial=1,IF(Informed=0,1,0),0)</f>
        <v>#N/A</v>
      </c>
      <c r="AF651" s="44" t="e">
        <f aca="false">IF(AB651=1,(X651-G$1030)^2,0)</f>
        <v>#N/A</v>
      </c>
      <c r="AG651" s="44" t="e">
        <f aca="false">IF(AC651=1,(Y651-H$1030)^2,0)</f>
        <v>#N/A</v>
      </c>
      <c r="AH651" s="44" t="e">
        <f aca="false">IF(AD651=1,(Z651-I$1030)^2,0)</f>
        <v>#N/A</v>
      </c>
      <c r="AI651" s="44" t="e">
        <f aca="false">IF(AE651=1,(AA651-J$1030)^2,0)</f>
        <v>#N/A</v>
      </c>
    </row>
    <row r="652" customFormat="false" ht="12" hidden="false" customHeight="false" outlineLevel="0" collapsed="false">
      <c r="A652" s="29" t="n">
        <v>635</v>
      </c>
      <c r="B652" s="45" t="n">
        <f aca="true">IF(RAND()&lt;$D$8,1,0)</f>
        <v>1</v>
      </c>
      <c r="C652" s="34" t="n">
        <f aca="true">-LN(RAND())/$D$2</f>
        <v>0.704547220668648</v>
      </c>
      <c r="D652" s="46" t="n">
        <f aca="false">D651+C652</f>
        <v>987.733940292921</v>
      </c>
      <c r="E652" s="47" t="e">
        <f aca="false">MAX($D$3,(1+P651-VLOOKUP(VALUE(D652),$J$18:$Q651,7,TRUE()))*$D$3)</f>
        <v>#N/A</v>
      </c>
      <c r="F652" s="47" t="e">
        <f aca="false">MAX($D$4,(1+Q651-VLOOKUP(VALUE(D652),$M$18:$Q651,5,TRUE()))*$D$4)</f>
        <v>#N/A</v>
      </c>
      <c r="G652" s="48" t="n">
        <v>0.5</v>
      </c>
      <c r="H652" s="46" t="e">
        <f aca="true">IF((B652=1),(IF((F652&lt;E652),1,(IF((F652=E652),(IF(RAND()&lt;G652,1,0)),0)))),(IF((RAND()&lt;G652),1,0)))</f>
        <v>#N/A</v>
      </c>
      <c r="I652" s="46" t="e">
        <f aca="true">IF((H652=1),0,$D$3+$D$5*(RAND()-0.5))</f>
        <v>#N/A</v>
      </c>
      <c r="J652" s="46" t="e">
        <f aca="false">I652+MAX(D652,J651)</f>
        <v>#N/A</v>
      </c>
      <c r="K652" s="46" t="e">
        <f aca="false">IF((H652=0),J652-D652,0)</f>
        <v>#N/A</v>
      </c>
      <c r="L652" s="46" t="e">
        <f aca="true">IF(($H652=0),0,$D$4+$D$5*(RAND()-0.5))</f>
        <v>#N/A</v>
      </c>
      <c r="M652" s="46" t="e">
        <f aca="false">L652+MAX(D652,M651)</f>
        <v>#N/A</v>
      </c>
      <c r="N652" s="46" t="e">
        <f aca="false">IF((H652=1),M652-D652,0)</f>
        <v>#N/A</v>
      </c>
      <c r="O652" s="29" t="n">
        <v>635</v>
      </c>
      <c r="P652" s="49" t="e">
        <f aca="false">IF((Arterial=0),P651+1,P651)</f>
        <v>#N/A</v>
      </c>
      <c r="Q652" s="49" t="e">
        <f aca="false">IF((Arterial=1),Q651+1,Q651)</f>
        <v>#N/A</v>
      </c>
      <c r="R652" s="50" t="n">
        <f aca="false">IF((RESET=1),0,R652+K652)</f>
        <v>0</v>
      </c>
      <c r="S652" s="19" t="n">
        <f aca="false">IF(RESET=1,0,S652+N652)</f>
        <v>0</v>
      </c>
      <c r="T652" s="0" t="n">
        <f aca="false">IF(RESET=1,0,T652+IF(H652=0,1,0))</f>
        <v>0</v>
      </c>
      <c r="U652" s="0" t="n">
        <f aca="false">IF(RESET=1,0,U652+H652)</f>
        <v>0</v>
      </c>
      <c r="V652" s="19" t="n">
        <f aca="false">R652/(T652+0.00001)</f>
        <v>0</v>
      </c>
      <c r="W652" s="19" t="n">
        <f aca="false">S652/(U652+0.0001)</f>
        <v>0</v>
      </c>
      <c r="X652" s="47" t="e">
        <f aca="false">IF(Informed=1,K652,0)</f>
        <v>#N/A</v>
      </c>
      <c r="Y652" s="47" t="n">
        <f aca="false">IF(Informed=0,K652,0)</f>
        <v>0</v>
      </c>
      <c r="Z652" s="47" t="e">
        <f aca="false">IF(Informed=1,N652,0)</f>
        <v>#N/A</v>
      </c>
      <c r="AA652" s="47" t="n">
        <f aca="false">IF(Informed=0,N652,0)</f>
        <v>0</v>
      </c>
      <c r="AB652" s="51" t="e">
        <f aca="false">IF(Arterial=0,IF(Informed=1,1,0),0)</f>
        <v>#N/A</v>
      </c>
      <c r="AC652" s="51" t="e">
        <f aca="false">IF(Arterial=0,IF(Informed=0,1,0),0)</f>
        <v>#N/A</v>
      </c>
      <c r="AD652" s="51" t="e">
        <f aca="false">IF(Arterial=1,IF(Informed=1,1,0),0)</f>
        <v>#N/A</v>
      </c>
      <c r="AE652" s="51" t="e">
        <f aca="false">IF(Arterial=1,IF(Informed=0,1,0),0)</f>
        <v>#N/A</v>
      </c>
      <c r="AF652" s="44" t="e">
        <f aca="false">IF(AB652=1,(X652-G$1030)^2,0)</f>
        <v>#N/A</v>
      </c>
      <c r="AG652" s="44" t="e">
        <f aca="false">IF(AC652=1,(Y652-H$1030)^2,0)</f>
        <v>#N/A</v>
      </c>
      <c r="AH652" s="44" t="e">
        <f aca="false">IF(AD652=1,(Z652-I$1030)^2,0)</f>
        <v>#N/A</v>
      </c>
      <c r="AI652" s="44" t="e">
        <f aca="false">IF(AE652=1,(AA652-J$1030)^2,0)</f>
        <v>#N/A</v>
      </c>
    </row>
    <row r="653" customFormat="false" ht="12" hidden="false" customHeight="false" outlineLevel="0" collapsed="false">
      <c r="A653" s="29" t="n">
        <v>636</v>
      </c>
      <c r="B653" s="45" t="n">
        <f aca="true">IF(RAND()&lt;$D$8,1,0)</f>
        <v>1</v>
      </c>
      <c r="C653" s="34" t="n">
        <f aca="true">-LN(RAND())/$D$2</f>
        <v>0.026139292106462</v>
      </c>
      <c r="D653" s="46" t="n">
        <f aca="false">D652+C653</f>
        <v>987.760079585028</v>
      </c>
      <c r="E653" s="47" t="e">
        <f aca="false">MAX($D$3,(1+P652-VLOOKUP(VALUE(D653),$J$18:$Q652,7,TRUE()))*$D$3)</f>
        <v>#N/A</v>
      </c>
      <c r="F653" s="47" t="e">
        <f aca="false">MAX($D$4,(1+Q652-VLOOKUP(VALUE(D653),$M$18:$Q652,5,TRUE()))*$D$4)</f>
        <v>#N/A</v>
      </c>
      <c r="G653" s="48" t="n">
        <v>0.5</v>
      </c>
      <c r="H653" s="46" t="e">
        <f aca="true">IF((B653=1),(IF((F653&lt;E653),1,(IF((F653=E653),(IF(RAND()&lt;G653,1,0)),0)))),(IF((RAND()&lt;G653),1,0)))</f>
        <v>#N/A</v>
      </c>
      <c r="I653" s="46" t="e">
        <f aca="true">IF((H653=1),0,$D$3+$D$5*(RAND()-0.5))</f>
        <v>#N/A</v>
      </c>
      <c r="J653" s="46" t="e">
        <f aca="false">I653+MAX(D653,J652)</f>
        <v>#N/A</v>
      </c>
      <c r="K653" s="46" t="e">
        <f aca="false">IF((H653=0),J653-D653,0)</f>
        <v>#N/A</v>
      </c>
      <c r="L653" s="46" t="e">
        <f aca="true">IF(($H653=0),0,$D$4+$D$5*(RAND()-0.5))</f>
        <v>#N/A</v>
      </c>
      <c r="M653" s="46" t="e">
        <f aca="false">L653+MAX(D653,M652)</f>
        <v>#N/A</v>
      </c>
      <c r="N653" s="46" t="e">
        <f aca="false">IF((H653=1),M653-D653,0)</f>
        <v>#N/A</v>
      </c>
      <c r="O653" s="29" t="n">
        <v>636</v>
      </c>
      <c r="P653" s="49" t="e">
        <f aca="false">IF((Arterial=0),P652+1,P652)</f>
        <v>#N/A</v>
      </c>
      <c r="Q653" s="49" t="e">
        <f aca="false">IF((Arterial=1),Q652+1,Q652)</f>
        <v>#N/A</v>
      </c>
      <c r="R653" s="50" t="n">
        <f aca="false">IF((RESET=1),0,R653+K653)</f>
        <v>0</v>
      </c>
      <c r="S653" s="19" t="n">
        <f aca="false">IF(RESET=1,0,S653+N653)</f>
        <v>0</v>
      </c>
      <c r="T653" s="0" t="n">
        <f aca="false">IF(RESET=1,0,T653+IF(H653=0,1,0))</f>
        <v>0</v>
      </c>
      <c r="U653" s="0" t="n">
        <f aca="false">IF(RESET=1,0,U653+H653)</f>
        <v>0</v>
      </c>
      <c r="V653" s="19" t="n">
        <f aca="false">R653/(T653+0.00001)</f>
        <v>0</v>
      </c>
      <c r="W653" s="19" t="n">
        <f aca="false">S653/(U653+0.0001)</f>
        <v>0</v>
      </c>
      <c r="X653" s="47" t="e">
        <f aca="false">IF(Informed=1,K653,0)</f>
        <v>#N/A</v>
      </c>
      <c r="Y653" s="47" t="n">
        <f aca="false">IF(Informed=0,K653,0)</f>
        <v>0</v>
      </c>
      <c r="Z653" s="47" t="e">
        <f aca="false">IF(Informed=1,N653,0)</f>
        <v>#N/A</v>
      </c>
      <c r="AA653" s="47" t="n">
        <f aca="false">IF(Informed=0,N653,0)</f>
        <v>0</v>
      </c>
      <c r="AB653" s="51" t="e">
        <f aca="false">IF(Arterial=0,IF(Informed=1,1,0),0)</f>
        <v>#N/A</v>
      </c>
      <c r="AC653" s="51" t="e">
        <f aca="false">IF(Arterial=0,IF(Informed=0,1,0),0)</f>
        <v>#N/A</v>
      </c>
      <c r="AD653" s="51" t="e">
        <f aca="false">IF(Arterial=1,IF(Informed=1,1,0),0)</f>
        <v>#N/A</v>
      </c>
      <c r="AE653" s="51" t="e">
        <f aca="false">IF(Arterial=1,IF(Informed=0,1,0),0)</f>
        <v>#N/A</v>
      </c>
      <c r="AF653" s="44" t="e">
        <f aca="false">IF(AB653=1,(X653-G$1030)^2,0)</f>
        <v>#N/A</v>
      </c>
      <c r="AG653" s="44" t="e">
        <f aca="false">IF(AC653=1,(Y653-H$1030)^2,0)</f>
        <v>#N/A</v>
      </c>
      <c r="AH653" s="44" t="e">
        <f aca="false">IF(AD653=1,(Z653-I$1030)^2,0)</f>
        <v>#N/A</v>
      </c>
      <c r="AI653" s="44" t="e">
        <f aca="false">IF(AE653=1,(AA653-J$1030)^2,0)</f>
        <v>#N/A</v>
      </c>
    </row>
    <row r="654" customFormat="false" ht="12" hidden="false" customHeight="false" outlineLevel="0" collapsed="false">
      <c r="A654" s="29" t="n">
        <v>637</v>
      </c>
      <c r="B654" s="45" t="n">
        <f aca="true">IF(RAND()&lt;$D$8,1,0)</f>
        <v>1</v>
      </c>
      <c r="C654" s="34" t="n">
        <f aca="true">-LN(RAND())/$D$2</f>
        <v>0.631800268742272</v>
      </c>
      <c r="D654" s="46" t="n">
        <f aca="false">D653+C654</f>
        <v>988.39187985377</v>
      </c>
      <c r="E654" s="47" t="e">
        <f aca="false">MAX($D$3,(1+P653-VLOOKUP(VALUE(D654),$J$18:$Q653,7,TRUE()))*$D$3)</f>
        <v>#N/A</v>
      </c>
      <c r="F654" s="47" t="e">
        <f aca="false">MAX($D$4,(1+Q653-VLOOKUP(VALUE(D654),$M$18:$Q653,5,TRUE()))*$D$4)</f>
        <v>#N/A</v>
      </c>
      <c r="G654" s="48" t="n">
        <v>0.5</v>
      </c>
      <c r="H654" s="46" t="e">
        <f aca="true">IF((B654=1),(IF((F654&lt;E654),1,(IF((F654=E654),(IF(RAND()&lt;G654,1,0)),0)))),(IF((RAND()&lt;G654),1,0)))</f>
        <v>#N/A</v>
      </c>
      <c r="I654" s="46" t="e">
        <f aca="true">IF((H654=1),0,$D$3+$D$5*(RAND()-0.5))</f>
        <v>#N/A</v>
      </c>
      <c r="J654" s="46" t="e">
        <f aca="false">I654+MAX(D654,J653)</f>
        <v>#N/A</v>
      </c>
      <c r="K654" s="46" t="e">
        <f aca="false">IF((H654=0),J654-D654,0)</f>
        <v>#N/A</v>
      </c>
      <c r="L654" s="46" t="e">
        <f aca="true">IF(($H654=0),0,$D$4+$D$5*(RAND()-0.5))</f>
        <v>#N/A</v>
      </c>
      <c r="M654" s="46" t="e">
        <f aca="false">L654+MAX(D654,M653)</f>
        <v>#N/A</v>
      </c>
      <c r="N654" s="46" t="e">
        <f aca="false">IF((H654=1),M654-D654,0)</f>
        <v>#N/A</v>
      </c>
      <c r="O654" s="29" t="n">
        <v>637</v>
      </c>
      <c r="P654" s="49" t="e">
        <f aca="false">IF((Arterial=0),P653+1,P653)</f>
        <v>#N/A</v>
      </c>
      <c r="Q654" s="49" t="e">
        <f aca="false">IF((Arterial=1),Q653+1,Q653)</f>
        <v>#N/A</v>
      </c>
      <c r="R654" s="50" t="n">
        <f aca="false">IF((RESET=1),0,R654+K654)</f>
        <v>0</v>
      </c>
      <c r="S654" s="19" t="n">
        <f aca="false">IF(RESET=1,0,S654+N654)</f>
        <v>0</v>
      </c>
      <c r="T654" s="0" t="n">
        <f aca="false">IF(RESET=1,0,T654+IF(H654=0,1,0))</f>
        <v>0</v>
      </c>
      <c r="U654" s="0" t="n">
        <f aca="false">IF(RESET=1,0,U654+H654)</f>
        <v>0</v>
      </c>
      <c r="V654" s="19" t="n">
        <f aca="false">R654/(T654+0.00001)</f>
        <v>0</v>
      </c>
      <c r="W654" s="19" t="n">
        <f aca="false">S654/(U654+0.0001)</f>
        <v>0</v>
      </c>
      <c r="X654" s="47" t="e">
        <f aca="false">IF(Informed=1,K654,0)</f>
        <v>#N/A</v>
      </c>
      <c r="Y654" s="47" t="n">
        <f aca="false">IF(Informed=0,K654,0)</f>
        <v>0</v>
      </c>
      <c r="Z654" s="47" t="e">
        <f aca="false">IF(Informed=1,N654,0)</f>
        <v>#N/A</v>
      </c>
      <c r="AA654" s="47" t="n">
        <f aca="false">IF(Informed=0,N654,0)</f>
        <v>0</v>
      </c>
      <c r="AB654" s="51" t="e">
        <f aca="false">IF(Arterial=0,IF(Informed=1,1,0),0)</f>
        <v>#N/A</v>
      </c>
      <c r="AC654" s="51" t="e">
        <f aca="false">IF(Arterial=0,IF(Informed=0,1,0),0)</f>
        <v>#N/A</v>
      </c>
      <c r="AD654" s="51" t="e">
        <f aca="false">IF(Arterial=1,IF(Informed=1,1,0),0)</f>
        <v>#N/A</v>
      </c>
      <c r="AE654" s="51" t="e">
        <f aca="false">IF(Arterial=1,IF(Informed=0,1,0),0)</f>
        <v>#N/A</v>
      </c>
      <c r="AF654" s="44" t="e">
        <f aca="false">IF(AB654=1,(X654-G$1030)^2,0)</f>
        <v>#N/A</v>
      </c>
      <c r="AG654" s="44" t="e">
        <f aca="false">IF(AC654=1,(Y654-H$1030)^2,0)</f>
        <v>#N/A</v>
      </c>
      <c r="AH654" s="44" t="e">
        <f aca="false">IF(AD654=1,(Z654-I$1030)^2,0)</f>
        <v>#N/A</v>
      </c>
      <c r="AI654" s="44" t="e">
        <f aca="false">IF(AE654=1,(AA654-J$1030)^2,0)</f>
        <v>#N/A</v>
      </c>
    </row>
    <row r="655" customFormat="false" ht="12" hidden="false" customHeight="false" outlineLevel="0" collapsed="false">
      <c r="A655" s="29" t="n">
        <v>638</v>
      </c>
      <c r="B655" s="45" t="n">
        <f aca="true">IF(RAND()&lt;$D$8,1,0)</f>
        <v>1</v>
      </c>
      <c r="C655" s="34" t="n">
        <f aca="true">-LN(RAND())/$D$2</f>
        <v>3.99178866536663</v>
      </c>
      <c r="D655" s="46" t="n">
        <f aca="false">D654+C655</f>
        <v>992.383668519136</v>
      </c>
      <c r="E655" s="47" t="e">
        <f aca="false">MAX($D$3,(1+P654-VLOOKUP(VALUE(D655),$J$18:$Q654,7,TRUE()))*$D$3)</f>
        <v>#N/A</v>
      </c>
      <c r="F655" s="47" t="e">
        <f aca="false">MAX($D$4,(1+Q654-VLOOKUP(VALUE(D655),$M$18:$Q654,5,TRUE()))*$D$4)</f>
        <v>#N/A</v>
      </c>
      <c r="G655" s="48" t="n">
        <v>0.5</v>
      </c>
      <c r="H655" s="46" t="e">
        <f aca="true">IF((B655=1),(IF((F655&lt;E655),1,(IF((F655=E655),(IF(RAND()&lt;G655,1,0)),0)))),(IF((RAND()&lt;G655),1,0)))</f>
        <v>#N/A</v>
      </c>
      <c r="I655" s="46" t="e">
        <f aca="true">IF((H655=1),0,$D$3+$D$5*(RAND()-0.5))</f>
        <v>#N/A</v>
      </c>
      <c r="J655" s="46" t="e">
        <f aca="false">I655+MAX(D655,J654)</f>
        <v>#N/A</v>
      </c>
      <c r="K655" s="46" t="e">
        <f aca="false">IF((H655=0),J655-D655,0)</f>
        <v>#N/A</v>
      </c>
      <c r="L655" s="46" t="e">
        <f aca="true">IF(($H655=0),0,$D$4+$D$5*(RAND()-0.5))</f>
        <v>#N/A</v>
      </c>
      <c r="M655" s="46" t="e">
        <f aca="false">L655+MAX(D655,M654)</f>
        <v>#N/A</v>
      </c>
      <c r="N655" s="46" t="e">
        <f aca="false">IF((H655=1),M655-D655,0)</f>
        <v>#N/A</v>
      </c>
      <c r="O655" s="29" t="n">
        <v>638</v>
      </c>
      <c r="P655" s="49" t="e">
        <f aca="false">IF((Arterial=0),P654+1,P654)</f>
        <v>#N/A</v>
      </c>
      <c r="Q655" s="49" t="e">
        <f aca="false">IF((Arterial=1),Q654+1,Q654)</f>
        <v>#N/A</v>
      </c>
      <c r="R655" s="50" t="n">
        <f aca="false">IF((RESET=1),0,R655+K655)</f>
        <v>0</v>
      </c>
      <c r="S655" s="19" t="n">
        <f aca="false">IF(RESET=1,0,S655+N655)</f>
        <v>0</v>
      </c>
      <c r="T655" s="0" t="n">
        <f aca="false">IF(RESET=1,0,T655+IF(H655=0,1,0))</f>
        <v>0</v>
      </c>
      <c r="U655" s="0" t="n">
        <f aca="false">IF(RESET=1,0,U655+H655)</f>
        <v>0</v>
      </c>
      <c r="V655" s="19" t="n">
        <f aca="false">R655/(T655+0.00001)</f>
        <v>0</v>
      </c>
      <c r="W655" s="19" t="n">
        <f aca="false">S655/(U655+0.0001)</f>
        <v>0</v>
      </c>
      <c r="X655" s="47" t="e">
        <f aca="false">IF(Informed=1,K655,0)</f>
        <v>#N/A</v>
      </c>
      <c r="Y655" s="47" t="n">
        <f aca="false">IF(Informed=0,K655,0)</f>
        <v>0</v>
      </c>
      <c r="Z655" s="47" t="e">
        <f aca="false">IF(Informed=1,N655,0)</f>
        <v>#N/A</v>
      </c>
      <c r="AA655" s="47" t="n">
        <f aca="false">IF(Informed=0,N655,0)</f>
        <v>0</v>
      </c>
      <c r="AB655" s="51" t="e">
        <f aca="false">IF(Arterial=0,IF(Informed=1,1,0),0)</f>
        <v>#N/A</v>
      </c>
      <c r="AC655" s="51" t="e">
        <f aca="false">IF(Arterial=0,IF(Informed=0,1,0),0)</f>
        <v>#N/A</v>
      </c>
      <c r="AD655" s="51" t="e">
        <f aca="false">IF(Arterial=1,IF(Informed=1,1,0),0)</f>
        <v>#N/A</v>
      </c>
      <c r="AE655" s="51" t="e">
        <f aca="false">IF(Arterial=1,IF(Informed=0,1,0),0)</f>
        <v>#N/A</v>
      </c>
      <c r="AF655" s="44" t="e">
        <f aca="false">IF(AB655=1,(X655-G$1030)^2,0)</f>
        <v>#N/A</v>
      </c>
      <c r="AG655" s="44" t="e">
        <f aca="false">IF(AC655=1,(Y655-H$1030)^2,0)</f>
        <v>#N/A</v>
      </c>
      <c r="AH655" s="44" t="e">
        <f aca="false">IF(AD655=1,(Z655-I$1030)^2,0)</f>
        <v>#N/A</v>
      </c>
      <c r="AI655" s="44" t="e">
        <f aca="false">IF(AE655=1,(AA655-J$1030)^2,0)</f>
        <v>#N/A</v>
      </c>
    </row>
    <row r="656" customFormat="false" ht="12" hidden="false" customHeight="false" outlineLevel="0" collapsed="false">
      <c r="A656" s="29" t="n">
        <v>639</v>
      </c>
      <c r="B656" s="45" t="n">
        <f aca="true">IF(RAND()&lt;$D$8,1,0)</f>
        <v>1</v>
      </c>
      <c r="C656" s="34" t="n">
        <f aca="true">-LN(RAND())/$D$2</f>
        <v>1.14965876692454</v>
      </c>
      <c r="D656" s="46" t="n">
        <f aca="false">D655+C656</f>
        <v>993.533327286061</v>
      </c>
      <c r="E656" s="47" t="e">
        <f aca="false">MAX($D$3,(1+P655-VLOOKUP(VALUE(D656),$J$18:$Q655,7,TRUE()))*$D$3)</f>
        <v>#N/A</v>
      </c>
      <c r="F656" s="47" t="e">
        <f aca="false">MAX($D$4,(1+Q655-VLOOKUP(VALUE(D656),$M$18:$Q655,5,TRUE()))*$D$4)</f>
        <v>#N/A</v>
      </c>
      <c r="G656" s="48" t="n">
        <v>0.5</v>
      </c>
      <c r="H656" s="46" t="e">
        <f aca="true">IF((B656=1),(IF((F656&lt;E656),1,(IF((F656=E656),(IF(RAND()&lt;G656,1,0)),0)))),(IF((RAND()&lt;G656),1,0)))</f>
        <v>#N/A</v>
      </c>
      <c r="I656" s="46" t="e">
        <f aca="true">IF((H656=1),0,$D$3+$D$5*(RAND()-0.5))</f>
        <v>#N/A</v>
      </c>
      <c r="J656" s="46" t="e">
        <f aca="false">I656+MAX(D656,J655)</f>
        <v>#N/A</v>
      </c>
      <c r="K656" s="46" t="e">
        <f aca="false">IF((H656=0),J656-D656,0)</f>
        <v>#N/A</v>
      </c>
      <c r="L656" s="46" t="e">
        <f aca="true">IF(($H656=0),0,$D$4+$D$5*(RAND()-0.5))</f>
        <v>#N/A</v>
      </c>
      <c r="M656" s="46" t="e">
        <f aca="false">L656+MAX(D656,M655)</f>
        <v>#N/A</v>
      </c>
      <c r="N656" s="46" t="e">
        <f aca="false">IF((H656=1),M656-D656,0)</f>
        <v>#N/A</v>
      </c>
      <c r="O656" s="29" t="n">
        <v>639</v>
      </c>
      <c r="P656" s="49" t="e">
        <f aca="false">IF((Arterial=0),P655+1,P655)</f>
        <v>#N/A</v>
      </c>
      <c r="Q656" s="49" t="e">
        <f aca="false">IF((Arterial=1),Q655+1,Q655)</f>
        <v>#N/A</v>
      </c>
      <c r="R656" s="50" t="n">
        <f aca="false">IF((RESET=1),0,R656+K656)</f>
        <v>0</v>
      </c>
      <c r="S656" s="19" t="n">
        <f aca="false">IF(RESET=1,0,S656+N656)</f>
        <v>0</v>
      </c>
      <c r="T656" s="0" t="n">
        <f aca="false">IF(RESET=1,0,T656+IF(H656=0,1,0))</f>
        <v>0</v>
      </c>
      <c r="U656" s="0" t="n">
        <f aca="false">IF(RESET=1,0,U656+H656)</f>
        <v>0</v>
      </c>
      <c r="V656" s="19" t="n">
        <f aca="false">R656/(T656+0.00001)</f>
        <v>0</v>
      </c>
      <c r="W656" s="19" t="n">
        <f aca="false">S656/(U656+0.0001)</f>
        <v>0</v>
      </c>
      <c r="X656" s="47" t="e">
        <f aca="false">IF(Informed=1,K656,0)</f>
        <v>#N/A</v>
      </c>
      <c r="Y656" s="47" t="n">
        <f aca="false">IF(Informed=0,K656,0)</f>
        <v>0</v>
      </c>
      <c r="Z656" s="47" t="e">
        <f aca="false">IF(Informed=1,N656,0)</f>
        <v>#N/A</v>
      </c>
      <c r="AA656" s="47" t="n">
        <f aca="false">IF(Informed=0,N656,0)</f>
        <v>0</v>
      </c>
      <c r="AB656" s="51" t="e">
        <f aca="false">IF(Arterial=0,IF(Informed=1,1,0),0)</f>
        <v>#N/A</v>
      </c>
      <c r="AC656" s="51" t="e">
        <f aca="false">IF(Arterial=0,IF(Informed=0,1,0),0)</f>
        <v>#N/A</v>
      </c>
      <c r="AD656" s="51" t="e">
        <f aca="false">IF(Arterial=1,IF(Informed=1,1,0),0)</f>
        <v>#N/A</v>
      </c>
      <c r="AE656" s="51" t="e">
        <f aca="false">IF(Arterial=1,IF(Informed=0,1,0),0)</f>
        <v>#N/A</v>
      </c>
      <c r="AF656" s="44" t="e">
        <f aca="false">IF(AB656=1,(X656-G$1030)^2,0)</f>
        <v>#N/A</v>
      </c>
      <c r="AG656" s="44" t="e">
        <f aca="false">IF(AC656=1,(Y656-H$1030)^2,0)</f>
        <v>#N/A</v>
      </c>
      <c r="AH656" s="44" t="e">
        <f aca="false">IF(AD656=1,(Z656-I$1030)^2,0)</f>
        <v>#N/A</v>
      </c>
      <c r="AI656" s="44" t="e">
        <f aca="false">IF(AE656=1,(AA656-J$1030)^2,0)</f>
        <v>#N/A</v>
      </c>
    </row>
    <row r="657" customFormat="false" ht="12" hidden="false" customHeight="false" outlineLevel="0" collapsed="false">
      <c r="A657" s="29" t="n">
        <v>640</v>
      </c>
      <c r="B657" s="45" t="n">
        <f aca="true">IF(RAND()&lt;$D$8,1,0)</f>
        <v>1</v>
      </c>
      <c r="C657" s="34" t="n">
        <f aca="true">-LN(RAND())/$D$2</f>
        <v>2.88940740353575</v>
      </c>
      <c r="D657" s="46" t="n">
        <f aca="false">D656+C657</f>
        <v>996.422734689597</v>
      </c>
      <c r="E657" s="47" t="e">
        <f aca="false">MAX($D$3,(1+P656-VLOOKUP(VALUE(D657),$J$18:$Q656,7,TRUE()))*$D$3)</f>
        <v>#N/A</v>
      </c>
      <c r="F657" s="47" t="e">
        <f aca="false">MAX($D$4,(1+Q656-VLOOKUP(VALUE(D657),$M$18:$Q656,5,TRUE()))*$D$4)</f>
        <v>#N/A</v>
      </c>
      <c r="G657" s="48" t="n">
        <v>0.5</v>
      </c>
      <c r="H657" s="46" t="e">
        <f aca="true">IF((B657=1),(IF((F657&lt;E657),1,(IF((F657=E657),(IF(RAND()&lt;G657,1,0)),0)))),(IF((RAND()&lt;G657),1,0)))</f>
        <v>#N/A</v>
      </c>
      <c r="I657" s="46" t="e">
        <f aca="true">IF((H657=1),0,$D$3+$D$5*(RAND()-0.5))</f>
        <v>#N/A</v>
      </c>
      <c r="J657" s="46" t="e">
        <f aca="false">I657+MAX(D657,J656)</f>
        <v>#N/A</v>
      </c>
      <c r="K657" s="46" t="e">
        <f aca="false">IF((H657=0),J657-D657,0)</f>
        <v>#N/A</v>
      </c>
      <c r="L657" s="46" t="e">
        <f aca="true">IF(($H657=0),0,$D$4+$D$5*(RAND()-0.5))</f>
        <v>#N/A</v>
      </c>
      <c r="M657" s="46" t="e">
        <f aca="false">L657+MAX(D657,M656)</f>
        <v>#N/A</v>
      </c>
      <c r="N657" s="46" t="e">
        <f aca="false">IF((H657=1),M657-D657,0)</f>
        <v>#N/A</v>
      </c>
      <c r="O657" s="29" t="n">
        <v>640</v>
      </c>
      <c r="P657" s="49" t="e">
        <f aca="false">IF((Arterial=0),P656+1,P656)</f>
        <v>#N/A</v>
      </c>
      <c r="Q657" s="49" t="e">
        <f aca="false">IF((Arterial=1),Q656+1,Q656)</f>
        <v>#N/A</v>
      </c>
      <c r="R657" s="50" t="n">
        <f aca="false">IF((RESET=1),0,R657+K657)</f>
        <v>0</v>
      </c>
      <c r="S657" s="19" t="n">
        <f aca="false">IF(RESET=1,0,S657+N657)</f>
        <v>0</v>
      </c>
      <c r="T657" s="0" t="n">
        <f aca="false">IF(RESET=1,0,T657+IF(H657=0,1,0))</f>
        <v>0</v>
      </c>
      <c r="U657" s="0" t="n">
        <f aca="false">IF(RESET=1,0,U657+H657)</f>
        <v>0</v>
      </c>
      <c r="V657" s="19" t="n">
        <f aca="false">R657/(T657+0.00001)</f>
        <v>0</v>
      </c>
      <c r="W657" s="19" t="n">
        <f aca="false">S657/(U657+0.0001)</f>
        <v>0</v>
      </c>
      <c r="X657" s="47" t="e">
        <f aca="false">IF(Informed=1,K657,0)</f>
        <v>#N/A</v>
      </c>
      <c r="Y657" s="47" t="n">
        <f aca="false">IF(Informed=0,K657,0)</f>
        <v>0</v>
      </c>
      <c r="Z657" s="47" t="e">
        <f aca="false">IF(Informed=1,N657,0)</f>
        <v>#N/A</v>
      </c>
      <c r="AA657" s="47" t="n">
        <f aca="false">IF(Informed=0,N657,0)</f>
        <v>0</v>
      </c>
      <c r="AB657" s="51" t="e">
        <f aca="false">IF(Arterial=0,IF(Informed=1,1,0),0)</f>
        <v>#N/A</v>
      </c>
      <c r="AC657" s="51" t="e">
        <f aca="false">IF(Arterial=0,IF(Informed=0,1,0),0)</f>
        <v>#N/A</v>
      </c>
      <c r="AD657" s="51" t="e">
        <f aca="false">IF(Arterial=1,IF(Informed=1,1,0),0)</f>
        <v>#N/A</v>
      </c>
      <c r="AE657" s="51" t="e">
        <f aca="false">IF(Arterial=1,IF(Informed=0,1,0),0)</f>
        <v>#N/A</v>
      </c>
      <c r="AF657" s="44" t="e">
        <f aca="false">IF(AB657=1,(X657-G$1030)^2,0)</f>
        <v>#N/A</v>
      </c>
      <c r="AG657" s="44" t="e">
        <f aca="false">IF(AC657=1,(Y657-H$1030)^2,0)</f>
        <v>#N/A</v>
      </c>
      <c r="AH657" s="44" t="e">
        <f aca="false">IF(AD657=1,(Z657-I$1030)^2,0)</f>
        <v>#N/A</v>
      </c>
      <c r="AI657" s="44" t="e">
        <f aca="false">IF(AE657=1,(AA657-J$1030)^2,0)</f>
        <v>#N/A</v>
      </c>
    </row>
    <row r="658" customFormat="false" ht="12" hidden="false" customHeight="false" outlineLevel="0" collapsed="false">
      <c r="A658" s="29" t="n">
        <v>641</v>
      </c>
      <c r="B658" s="45" t="n">
        <f aca="true">IF(RAND()&lt;$D$8,1,0)</f>
        <v>1</v>
      </c>
      <c r="C658" s="34" t="n">
        <f aca="true">-LN(RAND())/$D$2</f>
        <v>0.94541897219332</v>
      </c>
      <c r="D658" s="46" t="n">
        <f aca="false">D657+C658</f>
        <v>997.36815366179</v>
      </c>
      <c r="E658" s="47" t="e">
        <f aca="false">MAX($D$3,(1+P657-VLOOKUP(VALUE(D658),$J$18:$Q657,7,TRUE()))*$D$3)</f>
        <v>#N/A</v>
      </c>
      <c r="F658" s="47" t="e">
        <f aca="false">MAX($D$4,(1+Q657-VLOOKUP(VALUE(D658),$M$18:$Q657,5,TRUE()))*$D$4)</f>
        <v>#N/A</v>
      </c>
      <c r="G658" s="48" t="n">
        <v>0.5</v>
      </c>
      <c r="H658" s="46" t="e">
        <f aca="true">IF((B658=1),(IF((F658&lt;E658),1,(IF((F658=E658),(IF(RAND()&lt;G658,1,0)),0)))),(IF((RAND()&lt;G658),1,0)))</f>
        <v>#N/A</v>
      </c>
      <c r="I658" s="46" t="e">
        <f aca="true">IF((H658=1),0,$D$3+$D$5*(RAND()-0.5))</f>
        <v>#N/A</v>
      </c>
      <c r="J658" s="46" t="e">
        <f aca="false">I658+MAX(D658,J657)</f>
        <v>#N/A</v>
      </c>
      <c r="K658" s="46" t="e">
        <f aca="false">IF((H658=0),J658-D658,0)</f>
        <v>#N/A</v>
      </c>
      <c r="L658" s="46" t="e">
        <f aca="true">IF(($H658=0),0,$D$4+$D$5*(RAND()-0.5))</f>
        <v>#N/A</v>
      </c>
      <c r="M658" s="46" t="e">
        <f aca="false">L658+MAX(D658,M657)</f>
        <v>#N/A</v>
      </c>
      <c r="N658" s="46" t="e">
        <f aca="false">IF((H658=1),M658-D658,0)</f>
        <v>#N/A</v>
      </c>
      <c r="O658" s="29" t="n">
        <v>641</v>
      </c>
      <c r="P658" s="49" t="e">
        <f aca="false">IF((Arterial=0),P657+1,P657)</f>
        <v>#N/A</v>
      </c>
      <c r="Q658" s="49" t="e">
        <f aca="false">IF((Arterial=1),Q657+1,Q657)</f>
        <v>#N/A</v>
      </c>
      <c r="R658" s="50" t="n">
        <f aca="false">IF((RESET=1),0,R658+K658)</f>
        <v>0</v>
      </c>
      <c r="S658" s="19" t="n">
        <f aca="false">IF(RESET=1,0,S658+N658)</f>
        <v>0</v>
      </c>
      <c r="T658" s="0" t="n">
        <f aca="false">IF(RESET=1,0,T658+IF(H658=0,1,0))</f>
        <v>0</v>
      </c>
      <c r="U658" s="0" t="n">
        <f aca="false">IF(RESET=1,0,U658+H658)</f>
        <v>0</v>
      </c>
      <c r="V658" s="19" t="n">
        <f aca="false">R658/(T658+0.00001)</f>
        <v>0</v>
      </c>
      <c r="W658" s="19" t="n">
        <f aca="false">S658/(U658+0.0001)</f>
        <v>0</v>
      </c>
      <c r="X658" s="47" t="e">
        <f aca="false">IF(Informed=1,K658,0)</f>
        <v>#N/A</v>
      </c>
      <c r="Y658" s="47" t="n">
        <f aca="false">IF(Informed=0,K658,0)</f>
        <v>0</v>
      </c>
      <c r="Z658" s="47" t="e">
        <f aca="false">IF(Informed=1,N658,0)</f>
        <v>#N/A</v>
      </c>
      <c r="AA658" s="47" t="n">
        <f aca="false">IF(Informed=0,N658,0)</f>
        <v>0</v>
      </c>
      <c r="AB658" s="51" t="e">
        <f aca="false">IF(Arterial=0,IF(Informed=1,1,0),0)</f>
        <v>#N/A</v>
      </c>
      <c r="AC658" s="51" t="e">
        <f aca="false">IF(Arterial=0,IF(Informed=0,1,0),0)</f>
        <v>#N/A</v>
      </c>
      <c r="AD658" s="51" t="e">
        <f aca="false">IF(Arterial=1,IF(Informed=1,1,0),0)</f>
        <v>#N/A</v>
      </c>
      <c r="AE658" s="51" t="e">
        <f aca="false">IF(Arterial=1,IF(Informed=0,1,0),0)</f>
        <v>#N/A</v>
      </c>
      <c r="AF658" s="44" t="e">
        <f aca="false">IF(AB658=1,(X658-G$1030)^2,0)</f>
        <v>#N/A</v>
      </c>
      <c r="AG658" s="44" t="e">
        <f aca="false">IF(AC658=1,(Y658-H$1030)^2,0)</f>
        <v>#N/A</v>
      </c>
      <c r="AH658" s="44" t="e">
        <f aca="false">IF(AD658=1,(Z658-I$1030)^2,0)</f>
        <v>#N/A</v>
      </c>
      <c r="AI658" s="44" t="e">
        <f aca="false">IF(AE658=1,(AA658-J$1030)^2,0)</f>
        <v>#N/A</v>
      </c>
    </row>
    <row r="659" customFormat="false" ht="12" hidden="false" customHeight="false" outlineLevel="0" collapsed="false">
      <c r="A659" s="29" t="n">
        <v>642</v>
      </c>
      <c r="B659" s="45" t="n">
        <f aca="true">IF(RAND()&lt;$D$8,1,0)</f>
        <v>1</v>
      </c>
      <c r="C659" s="34" t="n">
        <f aca="true">-LN(RAND())/$D$2</f>
        <v>1.43422773263297</v>
      </c>
      <c r="D659" s="46" t="n">
        <f aca="false">D658+C659</f>
        <v>998.802381394423</v>
      </c>
      <c r="E659" s="47" t="e">
        <f aca="false">MAX($D$3,(1+P658-VLOOKUP(VALUE(D659),$J$18:$Q658,7,TRUE()))*$D$3)</f>
        <v>#N/A</v>
      </c>
      <c r="F659" s="47" t="e">
        <f aca="false">MAX($D$4,(1+Q658-VLOOKUP(VALUE(D659),$M$18:$Q658,5,TRUE()))*$D$4)</f>
        <v>#N/A</v>
      </c>
      <c r="G659" s="48" t="n">
        <v>0.5</v>
      </c>
      <c r="H659" s="46" t="e">
        <f aca="true">IF((B659=1),(IF((F659&lt;E659),1,(IF((F659=E659),(IF(RAND()&lt;G659,1,0)),0)))),(IF((RAND()&lt;G659),1,0)))</f>
        <v>#N/A</v>
      </c>
      <c r="I659" s="46" t="e">
        <f aca="true">IF((H659=1),0,$D$3+$D$5*(RAND()-0.5))</f>
        <v>#N/A</v>
      </c>
      <c r="J659" s="46" t="e">
        <f aca="false">I659+MAX(D659,J658)</f>
        <v>#N/A</v>
      </c>
      <c r="K659" s="46" t="e">
        <f aca="false">IF((H659=0),J659-D659,0)</f>
        <v>#N/A</v>
      </c>
      <c r="L659" s="46" t="e">
        <f aca="true">IF(($H659=0),0,$D$4+$D$5*(RAND()-0.5))</f>
        <v>#N/A</v>
      </c>
      <c r="M659" s="46" t="e">
        <f aca="false">L659+MAX(D659,M658)</f>
        <v>#N/A</v>
      </c>
      <c r="N659" s="46" t="e">
        <f aca="false">IF((H659=1),M659-D659,0)</f>
        <v>#N/A</v>
      </c>
      <c r="O659" s="29" t="n">
        <v>642</v>
      </c>
      <c r="P659" s="49" t="e">
        <f aca="false">IF((Arterial=0),P658+1,P658)</f>
        <v>#N/A</v>
      </c>
      <c r="Q659" s="49" t="e">
        <f aca="false">IF((Arterial=1),Q658+1,Q658)</f>
        <v>#N/A</v>
      </c>
      <c r="R659" s="50" t="n">
        <f aca="false">IF((RESET=1),0,R659+K659)</f>
        <v>0</v>
      </c>
      <c r="S659" s="19" t="n">
        <f aca="false">IF(RESET=1,0,S659+N659)</f>
        <v>0</v>
      </c>
      <c r="T659" s="0" t="n">
        <f aca="false">IF(RESET=1,0,T659+IF(H659=0,1,0))</f>
        <v>0</v>
      </c>
      <c r="U659" s="0" t="n">
        <f aca="false">IF(RESET=1,0,U659+H659)</f>
        <v>0</v>
      </c>
      <c r="V659" s="19" t="n">
        <f aca="false">R659/(T659+0.00001)</f>
        <v>0</v>
      </c>
      <c r="W659" s="19" t="n">
        <f aca="false">S659/(U659+0.0001)</f>
        <v>0</v>
      </c>
      <c r="X659" s="47" t="e">
        <f aca="false">IF(Informed=1,K659,0)</f>
        <v>#N/A</v>
      </c>
      <c r="Y659" s="47" t="n">
        <f aca="false">IF(Informed=0,K659,0)</f>
        <v>0</v>
      </c>
      <c r="Z659" s="47" t="e">
        <f aca="false">IF(Informed=1,N659,0)</f>
        <v>#N/A</v>
      </c>
      <c r="AA659" s="47" t="n">
        <f aca="false">IF(Informed=0,N659,0)</f>
        <v>0</v>
      </c>
      <c r="AB659" s="51" t="e">
        <f aca="false">IF(Arterial=0,IF(Informed=1,1,0),0)</f>
        <v>#N/A</v>
      </c>
      <c r="AC659" s="51" t="e">
        <f aca="false">IF(Arterial=0,IF(Informed=0,1,0),0)</f>
        <v>#N/A</v>
      </c>
      <c r="AD659" s="51" t="e">
        <f aca="false">IF(Arterial=1,IF(Informed=1,1,0),0)</f>
        <v>#N/A</v>
      </c>
      <c r="AE659" s="51" t="e">
        <f aca="false">IF(Arterial=1,IF(Informed=0,1,0),0)</f>
        <v>#N/A</v>
      </c>
      <c r="AF659" s="44" t="e">
        <f aca="false">IF(AB659=1,(X659-G$1030)^2,0)</f>
        <v>#N/A</v>
      </c>
      <c r="AG659" s="44" t="e">
        <f aca="false">IF(AC659=1,(Y659-H$1030)^2,0)</f>
        <v>#N/A</v>
      </c>
      <c r="AH659" s="44" t="e">
        <f aca="false">IF(AD659=1,(Z659-I$1030)^2,0)</f>
        <v>#N/A</v>
      </c>
      <c r="AI659" s="44" t="e">
        <f aca="false">IF(AE659=1,(AA659-J$1030)^2,0)</f>
        <v>#N/A</v>
      </c>
    </row>
    <row r="660" customFormat="false" ht="12" hidden="false" customHeight="false" outlineLevel="0" collapsed="false">
      <c r="A660" s="29" t="n">
        <v>643</v>
      </c>
      <c r="B660" s="45" t="n">
        <f aca="true">IF(RAND()&lt;$D$8,1,0)</f>
        <v>1</v>
      </c>
      <c r="C660" s="34" t="n">
        <f aca="true">-LN(RAND())/$D$2</f>
        <v>2.59252269372961</v>
      </c>
      <c r="D660" s="46" t="n">
        <f aca="false">D659+C660</f>
        <v>1001.39490408815</v>
      </c>
      <c r="E660" s="47" t="e">
        <f aca="false">MAX($D$3,(1+P659-VLOOKUP(VALUE(D660),$J$18:$Q659,7,TRUE()))*$D$3)</f>
        <v>#N/A</v>
      </c>
      <c r="F660" s="47" t="e">
        <f aca="false">MAX($D$4,(1+Q659-VLOOKUP(VALUE(D660),$M$18:$Q659,5,TRUE()))*$D$4)</f>
        <v>#N/A</v>
      </c>
      <c r="G660" s="48" t="n">
        <v>0.5</v>
      </c>
      <c r="H660" s="46" t="e">
        <f aca="true">IF((B660=1),(IF((F660&lt;E660),1,(IF((F660=E660),(IF(RAND()&lt;G660,1,0)),0)))),(IF((RAND()&lt;G660),1,0)))</f>
        <v>#N/A</v>
      </c>
      <c r="I660" s="46" t="e">
        <f aca="true">IF((H660=1),0,$D$3+$D$5*(RAND()-0.5))</f>
        <v>#N/A</v>
      </c>
      <c r="J660" s="46" t="e">
        <f aca="false">I660+MAX(D660,J659)</f>
        <v>#N/A</v>
      </c>
      <c r="K660" s="46" t="e">
        <f aca="false">IF((H660=0),J660-D660,0)</f>
        <v>#N/A</v>
      </c>
      <c r="L660" s="46" t="e">
        <f aca="true">IF(($H660=0),0,$D$4+$D$5*(RAND()-0.5))</f>
        <v>#N/A</v>
      </c>
      <c r="M660" s="46" t="e">
        <f aca="false">L660+MAX(D660,M659)</f>
        <v>#N/A</v>
      </c>
      <c r="N660" s="46" t="e">
        <f aca="false">IF((H660=1),M660-D660,0)</f>
        <v>#N/A</v>
      </c>
      <c r="O660" s="29" t="n">
        <v>643</v>
      </c>
      <c r="P660" s="49" t="e">
        <f aca="false">IF((Arterial=0),P659+1,P659)</f>
        <v>#N/A</v>
      </c>
      <c r="Q660" s="49" t="e">
        <f aca="false">IF((Arterial=1),Q659+1,Q659)</f>
        <v>#N/A</v>
      </c>
      <c r="R660" s="50" t="n">
        <f aca="false">IF((RESET=1),0,R660+K660)</f>
        <v>0</v>
      </c>
      <c r="S660" s="19" t="n">
        <f aca="false">IF(RESET=1,0,S660+N660)</f>
        <v>0</v>
      </c>
      <c r="T660" s="0" t="n">
        <f aca="false">IF(RESET=1,0,T660+IF(H660=0,1,0))</f>
        <v>0</v>
      </c>
      <c r="U660" s="0" t="n">
        <f aca="false">IF(RESET=1,0,U660+H660)</f>
        <v>0</v>
      </c>
      <c r="V660" s="19" t="n">
        <f aca="false">R660/(T660+0.00001)</f>
        <v>0</v>
      </c>
      <c r="W660" s="19" t="n">
        <f aca="false">S660/(U660+0.0001)</f>
        <v>0</v>
      </c>
      <c r="X660" s="47" t="e">
        <f aca="false">IF(Informed=1,K660,0)</f>
        <v>#N/A</v>
      </c>
      <c r="Y660" s="47" t="n">
        <f aca="false">IF(Informed=0,K660,0)</f>
        <v>0</v>
      </c>
      <c r="Z660" s="47" t="e">
        <f aca="false">IF(Informed=1,N660,0)</f>
        <v>#N/A</v>
      </c>
      <c r="AA660" s="47" t="n">
        <f aca="false">IF(Informed=0,N660,0)</f>
        <v>0</v>
      </c>
      <c r="AB660" s="51" t="e">
        <f aca="false">IF(Arterial=0,IF(Informed=1,1,0),0)</f>
        <v>#N/A</v>
      </c>
      <c r="AC660" s="51" t="e">
        <f aca="false">IF(Arterial=0,IF(Informed=0,1,0),0)</f>
        <v>#N/A</v>
      </c>
      <c r="AD660" s="51" t="e">
        <f aca="false">IF(Arterial=1,IF(Informed=1,1,0),0)</f>
        <v>#N/A</v>
      </c>
      <c r="AE660" s="51" t="e">
        <f aca="false">IF(Arterial=1,IF(Informed=0,1,0),0)</f>
        <v>#N/A</v>
      </c>
      <c r="AF660" s="44" t="e">
        <f aca="false">IF(AB660=1,(X660-G$1030)^2,0)</f>
        <v>#N/A</v>
      </c>
      <c r="AG660" s="44" t="e">
        <f aca="false">IF(AC660=1,(Y660-H$1030)^2,0)</f>
        <v>#N/A</v>
      </c>
      <c r="AH660" s="44" t="e">
        <f aca="false">IF(AD660=1,(Z660-I$1030)^2,0)</f>
        <v>#N/A</v>
      </c>
      <c r="AI660" s="44" t="e">
        <f aca="false">IF(AE660=1,(AA660-J$1030)^2,0)</f>
        <v>#N/A</v>
      </c>
    </row>
    <row r="661" customFormat="false" ht="12" hidden="false" customHeight="false" outlineLevel="0" collapsed="false">
      <c r="A661" s="29" t="n">
        <v>644</v>
      </c>
      <c r="B661" s="45" t="n">
        <f aca="true">IF(RAND()&lt;$D$8,1,0)</f>
        <v>1</v>
      </c>
      <c r="C661" s="34" t="n">
        <f aca="true">-LN(RAND())/$D$2</f>
        <v>1.39877496756231</v>
      </c>
      <c r="D661" s="46" t="n">
        <f aca="false">D660+C661</f>
        <v>1002.79367905571</v>
      </c>
      <c r="E661" s="47" t="e">
        <f aca="false">MAX($D$3,(1+P660-VLOOKUP(VALUE(D661),$J$18:$Q660,7,TRUE()))*$D$3)</f>
        <v>#N/A</v>
      </c>
      <c r="F661" s="47" t="e">
        <f aca="false">MAX($D$4,(1+Q660-VLOOKUP(VALUE(D661),$M$18:$Q660,5,TRUE()))*$D$4)</f>
        <v>#N/A</v>
      </c>
      <c r="G661" s="48" t="n">
        <v>0.5</v>
      </c>
      <c r="H661" s="46" t="e">
        <f aca="true">IF((B661=1),(IF((F661&lt;E661),1,(IF((F661=E661),(IF(RAND()&lt;G661,1,0)),0)))),(IF((RAND()&lt;G661),1,0)))</f>
        <v>#N/A</v>
      </c>
      <c r="I661" s="46" t="e">
        <f aca="true">IF((H661=1),0,$D$3+$D$5*(RAND()-0.5))</f>
        <v>#N/A</v>
      </c>
      <c r="J661" s="46" t="e">
        <f aca="false">I661+MAX(D661,J660)</f>
        <v>#N/A</v>
      </c>
      <c r="K661" s="46" t="e">
        <f aca="false">IF((H661=0),J661-D661,0)</f>
        <v>#N/A</v>
      </c>
      <c r="L661" s="46" t="e">
        <f aca="true">IF(($H661=0),0,$D$4+$D$5*(RAND()-0.5))</f>
        <v>#N/A</v>
      </c>
      <c r="M661" s="46" t="e">
        <f aca="false">L661+MAX(D661,M660)</f>
        <v>#N/A</v>
      </c>
      <c r="N661" s="46" t="e">
        <f aca="false">IF((H661=1),M661-D661,0)</f>
        <v>#N/A</v>
      </c>
      <c r="O661" s="29" t="n">
        <v>644</v>
      </c>
      <c r="P661" s="49" t="e">
        <f aca="false">IF((Arterial=0),P660+1,P660)</f>
        <v>#N/A</v>
      </c>
      <c r="Q661" s="49" t="e">
        <f aca="false">IF((Arterial=1),Q660+1,Q660)</f>
        <v>#N/A</v>
      </c>
      <c r="R661" s="50" t="n">
        <f aca="false">IF((RESET=1),0,R661+K661)</f>
        <v>0</v>
      </c>
      <c r="S661" s="19" t="n">
        <f aca="false">IF(RESET=1,0,S661+N661)</f>
        <v>0</v>
      </c>
      <c r="T661" s="0" t="n">
        <f aca="false">IF(RESET=1,0,T661+IF(H661=0,1,0))</f>
        <v>0</v>
      </c>
      <c r="U661" s="0" t="n">
        <f aca="false">IF(RESET=1,0,U661+H661)</f>
        <v>0</v>
      </c>
      <c r="V661" s="19" t="n">
        <f aca="false">R661/(T661+0.00001)</f>
        <v>0</v>
      </c>
      <c r="W661" s="19" t="n">
        <f aca="false">S661/(U661+0.0001)</f>
        <v>0</v>
      </c>
      <c r="X661" s="47" t="e">
        <f aca="false">IF(Informed=1,K661,0)</f>
        <v>#N/A</v>
      </c>
      <c r="Y661" s="47" t="n">
        <f aca="false">IF(Informed=0,K661,0)</f>
        <v>0</v>
      </c>
      <c r="Z661" s="47" t="e">
        <f aca="false">IF(Informed=1,N661,0)</f>
        <v>#N/A</v>
      </c>
      <c r="AA661" s="47" t="n">
        <f aca="false">IF(Informed=0,N661,0)</f>
        <v>0</v>
      </c>
      <c r="AB661" s="51" t="e">
        <f aca="false">IF(Arterial=0,IF(Informed=1,1,0),0)</f>
        <v>#N/A</v>
      </c>
      <c r="AC661" s="51" t="e">
        <f aca="false">IF(Arterial=0,IF(Informed=0,1,0),0)</f>
        <v>#N/A</v>
      </c>
      <c r="AD661" s="51" t="e">
        <f aca="false">IF(Arterial=1,IF(Informed=1,1,0),0)</f>
        <v>#N/A</v>
      </c>
      <c r="AE661" s="51" t="e">
        <f aca="false">IF(Arterial=1,IF(Informed=0,1,0),0)</f>
        <v>#N/A</v>
      </c>
      <c r="AF661" s="44" t="e">
        <f aca="false">IF(AB661=1,(X661-G$1030)^2,0)</f>
        <v>#N/A</v>
      </c>
      <c r="AG661" s="44" t="e">
        <f aca="false">IF(AC661=1,(Y661-H$1030)^2,0)</f>
        <v>#N/A</v>
      </c>
      <c r="AH661" s="44" t="e">
        <f aca="false">IF(AD661=1,(Z661-I$1030)^2,0)</f>
        <v>#N/A</v>
      </c>
      <c r="AI661" s="44" t="e">
        <f aca="false">IF(AE661=1,(AA661-J$1030)^2,0)</f>
        <v>#N/A</v>
      </c>
    </row>
    <row r="662" customFormat="false" ht="12" hidden="false" customHeight="false" outlineLevel="0" collapsed="false">
      <c r="A662" s="29" t="n">
        <v>645</v>
      </c>
      <c r="B662" s="45" t="n">
        <f aca="true">IF(RAND()&lt;$D$8,1,0)</f>
        <v>1</v>
      </c>
      <c r="C662" s="34" t="n">
        <f aca="true">-LN(RAND())/$D$2</f>
        <v>1.13992259881427</v>
      </c>
      <c r="D662" s="46" t="n">
        <f aca="false">D661+C662</f>
        <v>1003.93360165453</v>
      </c>
      <c r="E662" s="47" t="e">
        <f aca="false">MAX($D$3,(1+P661-VLOOKUP(VALUE(D662),$J$18:$Q661,7,TRUE()))*$D$3)</f>
        <v>#N/A</v>
      </c>
      <c r="F662" s="47" t="e">
        <f aca="false">MAX($D$4,(1+Q661-VLOOKUP(VALUE(D662),$M$18:$Q661,5,TRUE()))*$D$4)</f>
        <v>#N/A</v>
      </c>
      <c r="G662" s="48" t="n">
        <v>0.5</v>
      </c>
      <c r="H662" s="46" t="e">
        <f aca="true">IF((B662=1),(IF((F662&lt;E662),1,(IF((F662=E662),(IF(RAND()&lt;G662,1,0)),0)))),(IF((RAND()&lt;G662),1,0)))</f>
        <v>#N/A</v>
      </c>
      <c r="I662" s="46" t="e">
        <f aca="true">IF((H662=1),0,$D$3+$D$5*(RAND()-0.5))</f>
        <v>#N/A</v>
      </c>
      <c r="J662" s="46" t="e">
        <f aca="false">I662+MAX(D662,J661)</f>
        <v>#N/A</v>
      </c>
      <c r="K662" s="46" t="e">
        <f aca="false">IF((H662=0),J662-D662,0)</f>
        <v>#N/A</v>
      </c>
      <c r="L662" s="46" t="e">
        <f aca="true">IF(($H662=0),0,$D$4+$D$5*(RAND()-0.5))</f>
        <v>#N/A</v>
      </c>
      <c r="M662" s="46" t="e">
        <f aca="false">L662+MAX(D662,M661)</f>
        <v>#N/A</v>
      </c>
      <c r="N662" s="46" t="e">
        <f aca="false">IF((H662=1),M662-D662,0)</f>
        <v>#N/A</v>
      </c>
      <c r="O662" s="29" t="n">
        <v>645</v>
      </c>
      <c r="P662" s="49" t="e">
        <f aca="false">IF((Arterial=0),P661+1,P661)</f>
        <v>#N/A</v>
      </c>
      <c r="Q662" s="49" t="e">
        <f aca="false">IF((Arterial=1),Q661+1,Q661)</f>
        <v>#N/A</v>
      </c>
      <c r="R662" s="50" t="n">
        <f aca="false">IF((RESET=1),0,R662+K662)</f>
        <v>0</v>
      </c>
      <c r="S662" s="19" t="n">
        <f aca="false">IF(RESET=1,0,S662+N662)</f>
        <v>0</v>
      </c>
      <c r="T662" s="0" t="n">
        <f aca="false">IF(RESET=1,0,T662+IF(H662=0,1,0))</f>
        <v>0</v>
      </c>
      <c r="U662" s="0" t="n">
        <f aca="false">IF(RESET=1,0,U662+H662)</f>
        <v>0</v>
      </c>
      <c r="V662" s="19" t="n">
        <f aca="false">R662/(T662+0.00001)</f>
        <v>0</v>
      </c>
      <c r="W662" s="19" t="n">
        <f aca="false">S662/(U662+0.0001)</f>
        <v>0</v>
      </c>
      <c r="X662" s="47" t="e">
        <f aca="false">IF(Informed=1,K662,0)</f>
        <v>#N/A</v>
      </c>
      <c r="Y662" s="47" t="n">
        <f aca="false">IF(Informed=0,K662,0)</f>
        <v>0</v>
      </c>
      <c r="Z662" s="47" t="e">
        <f aca="false">IF(Informed=1,N662,0)</f>
        <v>#N/A</v>
      </c>
      <c r="AA662" s="47" t="n">
        <f aca="false">IF(Informed=0,N662,0)</f>
        <v>0</v>
      </c>
      <c r="AB662" s="51" t="e">
        <f aca="false">IF(Arterial=0,IF(Informed=1,1,0),0)</f>
        <v>#N/A</v>
      </c>
      <c r="AC662" s="51" t="e">
        <f aca="false">IF(Arterial=0,IF(Informed=0,1,0),0)</f>
        <v>#N/A</v>
      </c>
      <c r="AD662" s="51" t="e">
        <f aca="false">IF(Arterial=1,IF(Informed=1,1,0),0)</f>
        <v>#N/A</v>
      </c>
      <c r="AE662" s="51" t="e">
        <f aca="false">IF(Arterial=1,IF(Informed=0,1,0),0)</f>
        <v>#N/A</v>
      </c>
      <c r="AF662" s="44" t="e">
        <f aca="false">IF(AB662=1,(X662-G$1030)^2,0)</f>
        <v>#N/A</v>
      </c>
      <c r="AG662" s="44" t="e">
        <f aca="false">IF(AC662=1,(Y662-H$1030)^2,0)</f>
        <v>#N/A</v>
      </c>
      <c r="AH662" s="44" t="e">
        <f aca="false">IF(AD662=1,(Z662-I$1030)^2,0)</f>
        <v>#N/A</v>
      </c>
      <c r="AI662" s="44" t="e">
        <f aca="false">IF(AE662=1,(AA662-J$1030)^2,0)</f>
        <v>#N/A</v>
      </c>
    </row>
    <row r="663" customFormat="false" ht="12" hidden="false" customHeight="false" outlineLevel="0" collapsed="false">
      <c r="A663" s="29" t="n">
        <v>646</v>
      </c>
      <c r="B663" s="45" t="n">
        <f aca="true">IF(RAND()&lt;$D$8,1,0)</f>
        <v>1</v>
      </c>
      <c r="C663" s="34" t="n">
        <f aca="true">-LN(RAND())/$D$2</f>
        <v>2.62331380494864</v>
      </c>
      <c r="D663" s="46" t="n">
        <f aca="false">D662+C663</f>
        <v>1006.55691545948</v>
      </c>
      <c r="E663" s="47" t="e">
        <f aca="false">MAX($D$3,(1+P662-VLOOKUP(VALUE(D663),$J$18:$Q662,7,TRUE()))*$D$3)</f>
        <v>#N/A</v>
      </c>
      <c r="F663" s="47" t="e">
        <f aca="false">MAX($D$4,(1+Q662-VLOOKUP(VALUE(D663),$M$18:$Q662,5,TRUE()))*$D$4)</f>
        <v>#N/A</v>
      </c>
      <c r="G663" s="48" t="n">
        <v>0.5</v>
      </c>
      <c r="H663" s="46" t="e">
        <f aca="true">IF((B663=1),(IF((F663&lt;E663),1,(IF((F663=E663),(IF(RAND()&lt;G663,1,0)),0)))),(IF((RAND()&lt;G663),1,0)))</f>
        <v>#N/A</v>
      </c>
      <c r="I663" s="46" t="e">
        <f aca="true">IF((H663=1),0,$D$3+$D$5*(RAND()-0.5))</f>
        <v>#N/A</v>
      </c>
      <c r="J663" s="46" t="e">
        <f aca="false">I663+MAX(D663,J662)</f>
        <v>#N/A</v>
      </c>
      <c r="K663" s="46" t="e">
        <f aca="false">IF((H663=0),J663-D663,0)</f>
        <v>#N/A</v>
      </c>
      <c r="L663" s="46" t="e">
        <f aca="true">IF(($H663=0),0,$D$4+$D$5*(RAND()-0.5))</f>
        <v>#N/A</v>
      </c>
      <c r="M663" s="46" t="e">
        <f aca="false">L663+MAX(D663,M662)</f>
        <v>#N/A</v>
      </c>
      <c r="N663" s="46" t="e">
        <f aca="false">IF((H663=1),M663-D663,0)</f>
        <v>#N/A</v>
      </c>
      <c r="O663" s="29" t="n">
        <v>646</v>
      </c>
      <c r="P663" s="49" t="e">
        <f aca="false">IF((Arterial=0),P662+1,P662)</f>
        <v>#N/A</v>
      </c>
      <c r="Q663" s="49" t="e">
        <f aca="false">IF((Arterial=1),Q662+1,Q662)</f>
        <v>#N/A</v>
      </c>
      <c r="R663" s="50" t="n">
        <f aca="false">IF((RESET=1),0,R663+K663)</f>
        <v>0</v>
      </c>
      <c r="S663" s="19" t="n">
        <f aca="false">IF(RESET=1,0,S663+N663)</f>
        <v>0</v>
      </c>
      <c r="T663" s="0" t="n">
        <f aca="false">IF(RESET=1,0,T663+IF(H663=0,1,0))</f>
        <v>0</v>
      </c>
      <c r="U663" s="0" t="n">
        <f aca="false">IF(RESET=1,0,U663+H663)</f>
        <v>0</v>
      </c>
      <c r="V663" s="19" t="n">
        <f aca="false">R663/(T663+0.00001)</f>
        <v>0</v>
      </c>
      <c r="W663" s="19" t="n">
        <f aca="false">S663/(U663+0.0001)</f>
        <v>0</v>
      </c>
      <c r="X663" s="47" t="e">
        <f aca="false">IF(Informed=1,K663,0)</f>
        <v>#N/A</v>
      </c>
      <c r="Y663" s="47" t="n">
        <f aca="false">IF(Informed=0,K663,0)</f>
        <v>0</v>
      </c>
      <c r="Z663" s="47" t="e">
        <f aca="false">IF(Informed=1,N663,0)</f>
        <v>#N/A</v>
      </c>
      <c r="AA663" s="47" t="n">
        <f aca="false">IF(Informed=0,N663,0)</f>
        <v>0</v>
      </c>
      <c r="AB663" s="51" t="e">
        <f aca="false">IF(Arterial=0,IF(Informed=1,1,0),0)</f>
        <v>#N/A</v>
      </c>
      <c r="AC663" s="51" t="e">
        <f aca="false">IF(Arterial=0,IF(Informed=0,1,0),0)</f>
        <v>#N/A</v>
      </c>
      <c r="AD663" s="51" t="e">
        <f aca="false">IF(Arterial=1,IF(Informed=1,1,0),0)</f>
        <v>#N/A</v>
      </c>
      <c r="AE663" s="51" t="e">
        <f aca="false">IF(Arterial=1,IF(Informed=0,1,0),0)</f>
        <v>#N/A</v>
      </c>
      <c r="AF663" s="44" t="e">
        <f aca="false">IF(AB663=1,(X663-G$1030)^2,0)</f>
        <v>#N/A</v>
      </c>
      <c r="AG663" s="44" t="e">
        <f aca="false">IF(AC663=1,(Y663-H$1030)^2,0)</f>
        <v>#N/A</v>
      </c>
      <c r="AH663" s="44" t="e">
        <f aca="false">IF(AD663=1,(Z663-I$1030)^2,0)</f>
        <v>#N/A</v>
      </c>
      <c r="AI663" s="44" t="e">
        <f aca="false">IF(AE663=1,(AA663-J$1030)^2,0)</f>
        <v>#N/A</v>
      </c>
    </row>
    <row r="664" customFormat="false" ht="12" hidden="false" customHeight="false" outlineLevel="0" collapsed="false">
      <c r="A664" s="29" t="n">
        <v>647</v>
      </c>
      <c r="B664" s="45" t="n">
        <f aca="true">IF(RAND()&lt;$D$8,1,0)</f>
        <v>1</v>
      </c>
      <c r="C664" s="34" t="n">
        <f aca="true">-LN(RAND())/$D$2</f>
        <v>0.685855548506645</v>
      </c>
      <c r="D664" s="46" t="n">
        <f aca="false">D663+C664</f>
        <v>1007.24277100798</v>
      </c>
      <c r="E664" s="47" t="e">
        <f aca="false">MAX($D$3,(1+P663-VLOOKUP(VALUE(D664),$J$18:$Q663,7,TRUE()))*$D$3)</f>
        <v>#N/A</v>
      </c>
      <c r="F664" s="47" t="e">
        <f aca="false">MAX($D$4,(1+Q663-VLOOKUP(VALUE(D664),$M$18:$Q663,5,TRUE()))*$D$4)</f>
        <v>#N/A</v>
      </c>
      <c r="G664" s="48" t="n">
        <v>0.5</v>
      </c>
      <c r="H664" s="46" t="e">
        <f aca="true">IF((B664=1),(IF((F664&lt;E664),1,(IF((F664=E664),(IF(RAND()&lt;G664,1,0)),0)))),(IF((RAND()&lt;G664),1,0)))</f>
        <v>#N/A</v>
      </c>
      <c r="I664" s="46" t="e">
        <f aca="true">IF((H664=1),0,$D$3+$D$5*(RAND()-0.5))</f>
        <v>#N/A</v>
      </c>
      <c r="J664" s="46" t="e">
        <f aca="false">I664+MAX(D664,J663)</f>
        <v>#N/A</v>
      </c>
      <c r="K664" s="46" t="e">
        <f aca="false">IF((H664=0),J664-D664,0)</f>
        <v>#N/A</v>
      </c>
      <c r="L664" s="46" t="e">
        <f aca="true">IF(($H664=0),0,$D$4+$D$5*(RAND()-0.5))</f>
        <v>#N/A</v>
      </c>
      <c r="M664" s="46" t="e">
        <f aca="false">L664+MAX(D664,M663)</f>
        <v>#N/A</v>
      </c>
      <c r="N664" s="46" t="e">
        <f aca="false">IF((H664=1),M664-D664,0)</f>
        <v>#N/A</v>
      </c>
      <c r="O664" s="29" t="n">
        <v>647</v>
      </c>
      <c r="P664" s="49" t="e">
        <f aca="false">IF((Arterial=0),P663+1,P663)</f>
        <v>#N/A</v>
      </c>
      <c r="Q664" s="49" t="e">
        <f aca="false">IF((Arterial=1),Q663+1,Q663)</f>
        <v>#N/A</v>
      </c>
      <c r="R664" s="50" t="n">
        <f aca="false">IF((RESET=1),0,R664+K664)</f>
        <v>0</v>
      </c>
      <c r="S664" s="19" t="n">
        <f aca="false">IF(RESET=1,0,S664+N664)</f>
        <v>0</v>
      </c>
      <c r="T664" s="0" t="n">
        <f aca="false">IF(RESET=1,0,T664+IF(H664=0,1,0))</f>
        <v>0</v>
      </c>
      <c r="U664" s="0" t="n">
        <f aca="false">IF(RESET=1,0,U664+H664)</f>
        <v>0</v>
      </c>
      <c r="V664" s="19" t="n">
        <f aca="false">R664/(T664+0.00001)</f>
        <v>0</v>
      </c>
      <c r="W664" s="19" t="n">
        <f aca="false">S664/(U664+0.0001)</f>
        <v>0</v>
      </c>
      <c r="X664" s="47" t="e">
        <f aca="false">IF(Informed=1,K664,0)</f>
        <v>#N/A</v>
      </c>
      <c r="Y664" s="47" t="n">
        <f aca="false">IF(Informed=0,K664,0)</f>
        <v>0</v>
      </c>
      <c r="Z664" s="47" t="e">
        <f aca="false">IF(Informed=1,N664,0)</f>
        <v>#N/A</v>
      </c>
      <c r="AA664" s="47" t="n">
        <f aca="false">IF(Informed=0,N664,0)</f>
        <v>0</v>
      </c>
      <c r="AB664" s="51" t="e">
        <f aca="false">IF(Arterial=0,IF(Informed=1,1,0),0)</f>
        <v>#N/A</v>
      </c>
      <c r="AC664" s="51" t="e">
        <f aca="false">IF(Arterial=0,IF(Informed=0,1,0),0)</f>
        <v>#N/A</v>
      </c>
      <c r="AD664" s="51" t="e">
        <f aca="false">IF(Arterial=1,IF(Informed=1,1,0),0)</f>
        <v>#N/A</v>
      </c>
      <c r="AE664" s="51" t="e">
        <f aca="false">IF(Arterial=1,IF(Informed=0,1,0),0)</f>
        <v>#N/A</v>
      </c>
      <c r="AF664" s="44" t="e">
        <f aca="false">IF(AB664=1,(X664-G$1030)^2,0)</f>
        <v>#N/A</v>
      </c>
      <c r="AG664" s="44" t="e">
        <f aca="false">IF(AC664=1,(Y664-H$1030)^2,0)</f>
        <v>#N/A</v>
      </c>
      <c r="AH664" s="44" t="e">
        <f aca="false">IF(AD664=1,(Z664-I$1030)^2,0)</f>
        <v>#N/A</v>
      </c>
      <c r="AI664" s="44" t="e">
        <f aca="false">IF(AE664=1,(AA664-J$1030)^2,0)</f>
        <v>#N/A</v>
      </c>
    </row>
    <row r="665" customFormat="false" ht="12" hidden="false" customHeight="false" outlineLevel="0" collapsed="false">
      <c r="A665" s="29" t="n">
        <v>648</v>
      </c>
      <c r="B665" s="45" t="n">
        <f aca="true">IF(RAND()&lt;$D$8,1,0)</f>
        <v>1</v>
      </c>
      <c r="C665" s="34" t="n">
        <f aca="true">-LN(RAND())/$D$2</f>
        <v>3.43645207708038</v>
      </c>
      <c r="D665" s="46" t="n">
        <f aca="false">D664+C665</f>
        <v>1010.67922308506</v>
      </c>
      <c r="E665" s="47" t="e">
        <f aca="false">MAX($D$3,(1+P664-VLOOKUP(VALUE(D665),$J$18:$Q664,7,TRUE()))*$D$3)</f>
        <v>#N/A</v>
      </c>
      <c r="F665" s="47" t="e">
        <f aca="false">MAX($D$4,(1+Q664-VLOOKUP(VALUE(D665),$M$18:$Q664,5,TRUE()))*$D$4)</f>
        <v>#N/A</v>
      </c>
      <c r="G665" s="48" t="n">
        <v>0.5</v>
      </c>
      <c r="H665" s="46" t="e">
        <f aca="true">IF((B665=1),(IF((F665&lt;E665),1,(IF((F665=E665),(IF(RAND()&lt;G665,1,0)),0)))),(IF((RAND()&lt;G665),1,0)))</f>
        <v>#N/A</v>
      </c>
      <c r="I665" s="46" t="e">
        <f aca="true">IF((H665=1),0,$D$3+$D$5*(RAND()-0.5))</f>
        <v>#N/A</v>
      </c>
      <c r="J665" s="46" t="e">
        <f aca="false">I665+MAX(D665,J664)</f>
        <v>#N/A</v>
      </c>
      <c r="K665" s="46" t="e">
        <f aca="false">IF((H665=0),J665-D665,0)</f>
        <v>#N/A</v>
      </c>
      <c r="L665" s="46" t="e">
        <f aca="true">IF(($H665=0),0,$D$4+$D$5*(RAND()-0.5))</f>
        <v>#N/A</v>
      </c>
      <c r="M665" s="46" t="e">
        <f aca="false">L665+MAX(D665,M664)</f>
        <v>#N/A</v>
      </c>
      <c r="N665" s="46" t="e">
        <f aca="false">IF((H665=1),M665-D665,0)</f>
        <v>#N/A</v>
      </c>
      <c r="O665" s="29" t="n">
        <v>648</v>
      </c>
      <c r="P665" s="49" t="e">
        <f aca="false">IF((Arterial=0),P664+1,P664)</f>
        <v>#N/A</v>
      </c>
      <c r="Q665" s="49" t="e">
        <f aca="false">IF((Arterial=1),Q664+1,Q664)</f>
        <v>#N/A</v>
      </c>
      <c r="R665" s="50" t="n">
        <f aca="false">IF((RESET=1),0,R665+K665)</f>
        <v>0</v>
      </c>
      <c r="S665" s="19" t="n">
        <f aca="false">IF(RESET=1,0,S665+N665)</f>
        <v>0</v>
      </c>
      <c r="T665" s="0" t="n">
        <f aca="false">IF(RESET=1,0,T665+IF(H665=0,1,0))</f>
        <v>0</v>
      </c>
      <c r="U665" s="0" t="n">
        <f aca="false">IF(RESET=1,0,U665+H665)</f>
        <v>0</v>
      </c>
      <c r="V665" s="19" t="n">
        <f aca="false">R665/(T665+0.00001)</f>
        <v>0</v>
      </c>
      <c r="W665" s="19" t="n">
        <f aca="false">S665/(U665+0.0001)</f>
        <v>0</v>
      </c>
      <c r="X665" s="47" t="e">
        <f aca="false">IF(Informed=1,K665,0)</f>
        <v>#N/A</v>
      </c>
      <c r="Y665" s="47" t="n">
        <f aca="false">IF(Informed=0,K665,0)</f>
        <v>0</v>
      </c>
      <c r="Z665" s="47" t="e">
        <f aca="false">IF(Informed=1,N665,0)</f>
        <v>#N/A</v>
      </c>
      <c r="AA665" s="47" t="n">
        <f aca="false">IF(Informed=0,N665,0)</f>
        <v>0</v>
      </c>
      <c r="AB665" s="51" t="e">
        <f aca="false">IF(Arterial=0,IF(Informed=1,1,0),0)</f>
        <v>#N/A</v>
      </c>
      <c r="AC665" s="51" t="e">
        <f aca="false">IF(Arterial=0,IF(Informed=0,1,0),0)</f>
        <v>#N/A</v>
      </c>
      <c r="AD665" s="51" t="e">
        <f aca="false">IF(Arterial=1,IF(Informed=1,1,0),0)</f>
        <v>#N/A</v>
      </c>
      <c r="AE665" s="51" t="e">
        <f aca="false">IF(Arterial=1,IF(Informed=0,1,0),0)</f>
        <v>#N/A</v>
      </c>
      <c r="AF665" s="44" t="e">
        <f aca="false">IF(AB665=1,(X665-G$1030)^2,0)</f>
        <v>#N/A</v>
      </c>
      <c r="AG665" s="44" t="e">
        <f aca="false">IF(AC665=1,(Y665-H$1030)^2,0)</f>
        <v>#N/A</v>
      </c>
      <c r="AH665" s="44" t="e">
        <f aca="false">IF(AD665=1,(Z665-I$1030)^2,0)</f>
        <v>#N/A</v>
      </c>
      <c r="AI665" s="44" t="e">
        <f aca="false">IF(AE665=1,(AA665-J$1030)^2,0)</f>
        <v>#N/A</v>
      </c>
    </row>
    <row r="666" customFormat="false" ht="12" hidden="false" customHeight="false" outlineLevel="0" collapsed="false">
      <c r="A666" s="29" t="n">
        <v>649</v>
      </c>
      <c r="B666" s="45" t="n">
        <f aca="true">IF(RAND()&lt;$D$8,1,0)</f>
        <v>1</v>
      </c>
      <c r="C666" s="34" t="n">
        <f aca="true">-LN(RAND())/$D$2</f>
        <v>1.53784751092721</v>
      </c>
      <c r="D666" s="46" t="n">
        <f aca="false">D665+C666</f>
        <v>1012.21707059599</v>
      </c>
      <c r="E666" s="47" t="e">
        <f aca="false">MAX($D$3,(1+P665-VLOOKUP(VALUE(D666),$J$18:$Q665,7,TRUE()))*$D$3)</f>
        <v>#N/A</v>
      </c>
      <c r="F666" s="47" t="e">
        <f aca="false">MAX($D$4,(1+Q665-VLOOKUP(VALUE(D666),$M$18:$Q665,5,TRUE()))*$D$4)</f>
        <v>#N/A</v>
      </c>
      <c r="G666" s="48" t="n">
        <v>0.5</v>
      </c>
      <c r="H666" s="46" t="e">
        <f aca="true">IF((B666=1),(IF((F666&lt;E666),1,(IF((F666=E666),(IF(RAND()&lt;G666,1,0)),0)))),(IF((RAND()&lt;G666),1,0)))</f>
        <v>#N/A</v>
      </c>
      <c r="I666" s="46" t="e">
        <f aca="true">IF((H666=1),0,$D$3+$D$5*(RAND()-0.5))</f>
        <v>#N/A</v>
      </c>
      <c r="J666" s="46" t="e">
        <f aca="false">I666+MAX(D666,J665)</f>
        <v>#N/A</v>
      </c>
      <c r="K666" s="46" t="e">
        <f aca="false">IF((H666=0),J666-D666,0)</f>
        <v>#N/A</v>
      </c>
      <c r="L666" s="46" t="e">
        <f aca="true">IF(($H666=0),0,$D$4+$D$5*(RAND()-0.5))</f>
        <v>#N/A</v>
      </c>
      <c r="M666" s="46" t="e">
        <f aca="false">L666+MAX(D666,M665)</f>
        <v>#N/A</v>
      </c>
      <c r="N666" s="46" t="e">
        <f aca="false">IF((H666=1),M666-D666,0)</f>
        <v>#N/A</v>
      </c>
      <c r="O666" s="29" t="n">
        <v>649</v>
      </c>
      <c r="P666" s="49" t="e">
        <f aca="false">IF((Arterial=0),P665+1,P665)</f>
        <v>#N/A</v>
      </c>
      <c r="Q666" s="49" t="e">
        <f aca="false">IF((Arterial=1),Q665+1,Q665)</f>
        <v>#N/A</v>
      </c>
      <c r="R666" s="50" t="n">
        <f aca="false">IF((RESET=1),0,R666+K666)</f>
        <v>0</v>
      </c>
      <c r="S666" s="19" t="n">
        <f aca="false">IF(RESET=1,0,S666+N666)</f>
        <v>0</v>
      </c>
      <c r="T666" s="0" t="n">
        <f aca="false">IF(RESET=1,0,T666+IF(H666=0,1,0))</f>
        <v>0</v>
      </c>
      <c r="U666" s="0" t="n">
        <f aca="false">IF(RESET=1,0,U666+H666)</f>
        <v>0</v>
      </c>
      <c r="V666" s="19" t="n">
        <f aca="false">R666/(T666+0.00001)</f>
        <v>0</v>
      </c>
      <c r="W666" s="19" t="n">
        <f aca="false">S666/(U666+0.0001)</f>
        <v>0</v>
      </c>
      <c r="X666" s="47" t="e">
        <f aca="false">IF(Informed=1,K666,0)</f>
        <v>#N/A</v>
      </c>
      <c r="Y666" s="47" t="n">
        <f aca="false">IF(Informed=0,K666,0)</f>
        <v>0</v>
      </c>
      <c r="Z666" s="47" t="e">
        <f aca="false">IF(Informed=1,N666,0)</f>
        <v>#N/A</v>
      </c>
      <c r="AA666" s="47" t="n">
        <f aca="false">IF(Informed=0,N666,0)</f>
        <v>0</v>
      </c>
      <c r="AB666" s="51" t="e">
        <f aca="false">IF(Arterial=0,IF(Informed=1,1,0),0)</f>
        <v>#N/A</v>
      </c>
      <c r="AC666" s="51" t="e">
        <f aca="false">IF(Arterial=0,IF(Informed=0,1,0),0)</f>
        <v>#N/A</v>
      </c>
      <c r="AD666" s="51" t="e">
        <f aca="false">IF(Arterial=1,IF(Informed=1,1,0),0)</f>
        <v>#N/A</v>
      </c>
      <c r="AE666" s="51" t="e">
        <f aca="false">IF(Arterial=1,IF(Informed=0,1,0),0)</f>
        <v>#N/A</v>
      </c>
      <c r="AF666" s="44" t="e">
        <f aca="false">IF(AB666=1,(X666-G$1030)^2,0)</f>
        <v>#N/A</v>
      </c>
      <c r="AG666" s="44" t="e">
        <f aca="false">IF(AC666=1,(Y666-H$1030)^2,0)</f>
        <v>#N/A</v>
      </c>
      <c r="AH666" s="44" t="e">
        <f aca="false">IF(AD666=1,(Z666-I$1030)^2,0)</f>
        <v>#N/A</v>
      </c>
      <c r="AI666" s="44" t="e">
        <f aca="false">IF(AE666=1,(AA666-J$1030)^2,0)</f>
        <v>#N/A</v>
      </c>
    </row>
    <row r="667" customFormat="false" ht="12" hidden="false" customHeight="false" outlineLevel="0" collapsed="false">
      <c r="A667" s="29" t="n">
        <v>650</v>
      </c>
      <c r="B667" s="45" t="n">
        <f aca="true">IF(RAND()&lt;$D$8,1,0)</f>
        <v>1</v>
      </c>
      <c r="C667" s="34" t="n">
        <f aca="true">-LN(RAND())/$D$2</f>
        <v>0.601152745746296</v>
      </c>
      <c r="D667" s="46" t="n">
        <f aca="false">D666+C667</f>
        <v>1012.81822334174</v>
      </c>
      <c r="E667" s="47" t="e">
        <f aca="false">MAX($D$3,(1+P666-VLOOKUP(VALUE(D667),$J$18:$Q666,7,TRUE()))*$D$3)</f>
        <v>#N/A</v>
      </c>
      <c r="F667" s="47" t="e">
        <f aca="false">MAX($D$4,(1+Q666-VLOOKUP(VALUE(D667),$M$18:$Q666,5,TRUE()))*$D$4)</f>
        <v>#N/A</v>
      </c>
      <c r="G667" s="48" t="n">
        <v>0.5</v>
      </c>
      <c r="H667" s="46" t="e">
        <f aca="true">IF((B667=1),(IF((F667&lt;E667),1,(IF((F667=E667),(IF(RAND()&lt;G667,1,0)),0)))),(IF((RAND()&lt;G667),1,0)))</f>
        <v>#N/A</v>
      </c>
      <c r="I667" s="46" t="e">
        <f aca="true">IF((H667=1),0,$D$3+$D$5*(RAND()-0.5))</f>
        <v>#N/A</v>
      </c>
      <c r="J667" s="46" t="e">
        <f aca="false">I667+MAX(D667,J666)</f>
        <v>#N/A</v>
      </c>
      <c r="K667" s="46" t="e">
        <f aca="false">IF((H667=0),J667-D667,0)</f>
        <v>#N/A</v>
      </c>
      <c r="L667" s="46" t="e">
        <f aca="true">IF(($H667=0),0,$D$4+$D$5*(RAND()-0.5))</f>
        <v>#N/A</v>
      </c>
      <c r="M667" s="46" t="e">
        <f aca="false">L667+MAX(D667,M666)</f>
        <v>#N/A</v>
      </c>
      <c r="N667" s="46" t="e">
        <f aca="false">IF((H667=1),M667-D667,0)</f>
        <v>#N/A</v>
      </c>
      <c r="O667" s="29" t="n">
        <v>650</v>
      </c>
      <c r="P667" s="49" t="e">
        <f aca="false">IF((Arterial=0),P666+1,P666)</f>
        <v>#N/A</v>
      </c>
      <c r="Q667" s="49" t="e">
        <f aca="false">IF((Arterial=1),Q666+1,Q666)</f>
        <v>#N/A</v>
      </c>
      <c r="R667" s="50" t="n">
        <f aca="false">IF((RESET=1),0,R667+K667)</f>
        <v>0</v>
      </c>
      <c r="S667" s="19" t="n">
        <f aca="false">IF(RESET=1,0,S667+N667)</f>
        <v>0</v>
      </c>
      <c r="T667" s="0" t="n">
        <f aca="false">IF(RESET=1,0,T667+IF(H667=0,1,0))</f>
        <v>0</v>
      </c>
      <c r="U667" s="0" t="n">
        <f aca="false">IF(RESET=1,0,U667+H667)</f>
        <v>0</v>
      </c>
      <c r="V667" s="19" t="n">
        <f aca="false">R667/(T667+0.00001)</f>
        <v>0</v>
      </c>
      <c r="W667" s="19" t="n">
        <f aca="false">S667/(U667+0.0001)</f>
        <v>0</v>
      </c>
      <c r="X667" s="47" t="e">
        <f aca="false">IF(Informed=1,K667,0)</f>
        <v>#N/A</v>
      </c>
      <c r="Y667" s="47" t="n">
        <f aca="false">IF(Informed=0,K667,0)</f>
        <v>0</v>
      </c>
      <c r="Z667" s="47" t="e">
        <f aca="false">IF(Informed=1,N667,0)</f>
        <v>#N/A</v>
      </c>
      <c r="AA667" s="47" t="n">
        <f aca="false">IF(Informed=0,N667,0)</f>
        <v>0</v>
      </c>
      <c r="AB667" s="51" t="e">
        <f aca="false">IF(Arterial=0,IF(Informed=1,1,0),0)</f>
        <v>#N/A</v>
      </c>
      <c r="AC667" s="51" t="e">
        <f aca="false">IF(Arterial=0,IF(Informed=0,1,0),0)</f>
        <v>#N/A</v>
      </c>
      <c r="AD667" s="51" t="e">
        <f aca="false">IF(Arterial=1,IF(Informed=1,1,0),0)</f>
        <v>#N/A</v>
      </c>
      <c r="AE667" s="51" t="e">
        <f aca="false">IF(Arterial=1,IF(Informed=0,1,0),0)</f>
        <v>#N/A</v>
      </c>
      <c r="AF667" s="44" t="e">
        <f aca="false">IF(AB667=1,(X667-G$1030)^2,0)</f>
        <v>#N/A</v>
      </c>
      <c r="AG667" s="44" t="e">
        <f aca="false">IF(AC667=1,(Y667-H$1030)^2,0)</f>
        <v>#N/A</v>
      </c>
      <c r="AH667" s="44" t="e">
        <f aca="false">IF(AD667=1,(Z667-I$1030)^2,0)</f>
        <v>#N/A</v>
      </c>
      <c r="AI667" s="44" t="e">
        <f aca="false">IF(AE667=1,(AA667-J$1030)^2,0)</f>
        <v>#N/A</v>
      </c>
    </row>
    <row r="668" customFormat="false" ht="12" hidden="false" customHeight="false" outlineLevel="0" collapsed="false">
      <c r="A668" s="29" t="n">
        <v>651</v>
      </c>
      <c r="B668" s="45" t="n">
        <f aca="true">IF(RAND()&lt;$D$8,1,0)</f>
        <v>1</v>
      </c>
      <c r="C668" s="34" t="n">
        <f aca="true">-LN(RAND())/$D$2</f>
        <v>0.69985264773684</v>
      </c>
      <c r="D668" s="46" t="n">
        <f aca="false">D667+C668</f>
        <v>1013.51807598948</v>
      </c>
      <c r="E668" s="47" t="e">
        <f aca="false">MAX($D$3,(1+P667-VLOOKUP(VALUE(D668),$J$18:$Q667,7,TRUE()))*$D$3)</f>
        <v>#N/A</v>
      </c>
      <c r="F668" s="47" t="e">
        <f aca="false">MAX($D$4,(1+Q667-VLOOKUP(VALUE(D668),$M$18:$Q667,5,TRUE()))*$D$4)</f>
        <v>#N/A</v>
      </c>
      <c r="G668" s="48" t="n">
        <v>0.5</v>
      </c>
      <c r="H668" s="46" t="e">
        <f aca="true">IF((B668=1),(IF((F668&lt;E668),1,(IF((F668=E668),(IF(RAND()&lt;G668,1,0)),0)))),(IF((RAND()&lt;G668),1,0)))</f>
        <v>#N/A</v>
      </c>
      <c r="I668" s="46" t="e">
        <f aca="true">IF((H668=1),0,$D$3+$D$5*(RAND()-0.5))</f>
        <v>#N/A</v>
      </c>
      <c r="J668" s="46" t="e">
        <f aca="false">I668+MAX(D668,J667)</f>
        <v>#N/A</v>
      </c>
      <c r="K668" s="46" t="e">
        <f aca="false">IF((H668=0),J668-D668,0)</f>
        <v>#N/A</v>
      </c>
      <c r="L668" s="46" t="e">
        <f aca="true">IF(($H668=0),0,$D$4+$D$5*(RAND()-0.5))</f>
        <v>#N/A</v>
      </c>
      <c r="M668" s="46" t="e">
        <f aca="false">L668+MAX(D668,M667)</f>
        <v>#N/A</v>
      </c>
      <c r="N668" s="46" t="e">
        <f aca="false">IF((H668=1),M668-D668,0)</f>
        <v>#N/A</v>
      </c>
      <c r="O668" s="29" t="n">
        <v>651</v>
      </c>
      <c r="P668" s="49" t="e">
        <f aca="false">IF((Arterial=0),P667+1,P667)</f>
        <v>#N/A</v>
      </c>
      <c r="Q668" s="49" t="e">
        <f aca="false">IF((Arterial=1),Q667+1,Q667)</f>
        <v>#N/A</v>
      </c>
      <c r="R668" s="50" t="n">
        <f aca="false">IF((RESET=1),0,R668+K668)</f>
        <v>0</v>
      </c>
      <c r="S668" s="19" t="n">
        <f aca="false">IF(RESET=1,0,S668+N668)</f>
        <v>0</v>
      </c>
      <c r="T668" s="0" t="n">
        <f aca="false">IF(RESET=1,0,T668+IF(H668=0,1,0))</f>
        <v>0</v>
      </c>
      <c r="U668" s="0" t="n">
        <f aca="false">IF(RESET=1,0,U668+H668)</f>
        <v>0</v>
      </c>
      <c r="V668" s="19" t="n">
        <f aca="false">R668/(T668+0.00001)</f>
        <v>0</v>
      </c>
      <c r="W668" s="19" t="n">
        <f aca="false">S668/(U668+0.0001)</f>
        <v>0</v>
      </c>
      <c r="X668" s="47" t="e">
        <f aca="false">IF(Informed=1,K668,0)</f>
        <v>#N/A</v>
      </c>
      <c r="Y668" s="47" t="n">
        <f aca="false">IF(Informed=0,K668,0)</f>
        <v>0</v>
      </c>
      <c r="Z668" s="47" t="e">
        <f aca="false">IF(Informed=1,N668,0)</f>
        <v>#N/A</v>
      </c>
      <c r="AA668" s="47" t="n">
        <f aca="false">IF(Informed=0,N668,0)</f>
        <v>0</v>
      </c>
      <c r="AB668" s="51" t="e">
        <f aca="false">IF(Arterial=0,IF(Informed=1,1,0),0)</f>
        <v>#N/A</v>
      </c>
      <c r="AC668" s="51" t="e">
        <f aca="false">IF(Arterial=0,IF(Informed=0,1,0),0)</f>
        <v>#N/A</v>
      </c>
      <c r="AD668" s="51" t="e">
        <f aca="false">IF(Arterial=1,IF(Informed=1,1,0),0)</f>
        <v>#N/A</v>
      </c>
      <c r="AE668" s="51" t="e">
        <f aca="false">IF(Arterial=1,IF(Informed=0,1,0),0)</f>
        <v>#N/A</v>
      </c>
      <c r="AF668" s="44" t="e">
        <f aca="false">IF(AB668=1,(X668-G$1030)^2,0)</f>
        <v>#N/A</v>
      </c>
      <c r="AG668" s="44" t="e">
        <f aca="false">IF(AC668=1,(Y668-H$1030)^2,0)</f>
        <v>#N/A</v>
      </c>
      <c r="AH668" s="44" t="e">
        <f aca="false">IF(AD668=1,(Z668-I$1030)^2,0)</f>
        <v>#N/A</v>
      </c>
      <c r="AI668" s="44" t="e">
        <f aca="false">IF(AE668=1,(AA668-J$1030)^2,0)</f>
        <v>#N/A</v>
      </c>
    </row>
    <row r="669" customFormat="false" ht="12" hidden="false" customHeight="false" outlineLevel="0" collapsed="false">
      <c r="A669" s="29" t="n">
        <v>652</v>
      </c>
      <c r="B669" s="45" t="n">
        <f aca="true">IF(RAND()&lt;$D$8,1,0)</f>
        <v>1</v>
      </c>
      <c r="C669" s="34" t="n">
        <f aca="true">-LN(RAND())/$D$2</f>
        <v>2.87547630653417</v>
      </c>
      <c r="D669" s="46" t="n">
        <f aca="false">D668+C669</f>
        <v>1016.39355229601</v>
      </c>
      <c r="E669" s="47" t="e">
        <f aca="false">MAX($D$3,(1+P668-VLOOKUP(VALUE(D669),$J$18:$Q668,7,TRUE()))*$D$3)</f>
        <v>#N/A</v>
      </c>
      <c r="F669" s="47" t="e">
        <f aca="false">MAX($D$4,(1+Q668-VLOOKUP(VALUE(D669),$M$18:$Q668,5,TRUE()))*$D$4)</f>
        <v>#N/A</v>
      </c>
      <c r="G669" s="48" t="n">
        <v>0.5</v>
      </c>
      <c r="H669" s="46" t="e">
        <f aca="true">IF((B669=1),(IF((F669&lt;E669),1,(IF((F669=E669),(IF(RAND()&lt;G669,1,0)),0)))),(IF((RAND()&lt;G669),1,0)))</f>
        <v>#N/A</v>
      </c>
      <c r="I669" s="46" t="e">
        <f aca="true">IF((H669=1),0,$D$3+$D$5*(RAND()-0.5))</f>
        <v>#N/A</v>
      </c>
      <c r="J669" s="46" t="e">
        <f aca="false">I669+MAX(D669,J668)</f>
        <v>#N/A</v>
      </c>
      <c r="K669" s="46" t="e">
        <f aca="false">IF((H669=0),J669-D669,0)</f>
        <v>#N/A</v>
      </c>
      <c r="L669" s="46" t="e">
        <f aca="true">IF(($H669=0),0,$D$4+$D$5*(RAND()-0.5))</f>
        <v>#N/A</v>
      </c>
      <c r="M669" s="46" t="e">
        <f aca="false">L669+MAX(D669,M668)</f>
        <v>#N/A</v>
      </c>
      <c r="N669" s="46" t="e">
        <f aca="false">IF((H669=1),M669-D669,0)</f>
        <v>#N/A</v>
      </c>
      <c r="O669" s="29" t="n">
        <v>652</v>
      </c>
      <c r="P669" s="49" t="e">
        <f aca="false">IF((Arterial=0),P668+1,P668)</f>
        <v>#N/A</v>
      </c>
      <c r="Q669" s="49" t="e">
        <f aca="false">IF((Arterial=1),Q668+1,Q668)</f>
        <v>#N/A</v>
      </c>
      <c r="R669" s="50" t="n">
        <f aca="false">IF((RESET=1),0,R669+K669)</f>
        <v>0</v>
      </c>
      <c r="S669" s="19" t="n">
        <f aca="false">IF(RESET=1,0,S669+N669)</f>
        <v>0</v>
      </c>
      <c r="T669" s="0" t="n">
        <f aca="false">IF(RESET=1,0,T669+IF(H669=0,1,0))</f>
        <v>0</v>
      </c>
      <c r="U669" s="0" t="n">
        <f aca="false">IF(RESET=1,0,U669+H669)</f>
        <v>0</v>
      </c>
      <c r="V669" s="19" t="n">
        <f aca="false">R669/(T669+0.00001)</f>
        <v>0</v>
      </c>
      <c r="W669" s="19" t="n">
        <f aca="false">S669/(U669+0.0001)</f>
        <v>0</v>
      </c>
      <c r="X669" s="47" t="e">
        <f aca="false">IF(Informed=1,K669,0)</f>
        <v>#N/A</v>
      </c>
      <c r="Y669" s="47" t="n">
        <f aca="false">IF(Informed=0,K669,0)</f>
        <v>0</v>
      </c>
      <c r="Z669" s="47" t="e">
        <f aca="false">IF(Informed=1,N669,0)</f>
        <v>#N/A</v>
      </c>
      <c r="AA669" s="47" t="n">
        <f aca="false">IF(Informed=0,N669,0)</f>
        <v>0</v>
      </c>
      <c r="AB669" s="51" t="e">
        <f aca="false">IF(Arterial=0,IF(Informed=1,1,0),0)</f>
        <v>#N/A</v>
      </c>
      <c r="AC669" s="51" t="e">
        <f aca="false">IF(Arterial=0,IF(Informed=0,1,0),0)</f>
        <v>#N/A</v>
      </c>
      <c r="AD669" s="51" t="e">
        <f aca="false">IF(Arterial=1,IF(Informed=1,1,0),0)</f>
        <v>#N/A</v>
      </c>
      <c r="AE669" s="51" t="e">
        <f aca="false">IF(Arterial=1,IF(Informed=0,1,0),0)</f>
        <v>#N/A</v>
      </c>
      <c r="AF669" s="44" t="e">
        <f aca="false">IF(AB669=1,(X669-G$1030)^2,0)</f>
        <v>#N/A</v>
      </c>
      <c r="AG669" s="44" t="e">
        <f aca="false">IF(AC669=1,(Y669-H$1030)^2,0)</f>
        <v>#N/A</v>
      </c>
      <c r="AH669" s="44" t="e">
        <f aca="false">IF(AD669=1,(Z669-I$1030)^2,0)</f>
        <v>#N/A</v>
      </c>
      <c r="AI669" s="44" t="e">
        <f aca="false">IF(AE669=1,(AA669-J$1030)^2,0)</f>
        <v>#N/A</v>
      </c>
    </row>
    <row r="670" customFormat="false" ht="12" hidden="false" customHeight="false" outlineLevel="0" collapsed="false">
      <c r="A670" s="29" t="n">
        <v>653</v>
      </c>
      <c r="B670" s="45" t="n">
        <f aca="true">IF(RAND()&lt;$D$8,1,0)</f>
        <v>1</v>
      </c>
      <c r="C670" s="34" t="n">
        <f aca="true">-LN(RAND())/$D$2</f>
        <v>3.06272787664103</v>
      </c>
      <c r="D670" s="46" t="n">
        <f aca="false">D669+C670</f>
        <v>1019.45628017265</v>
      </c>
      <c r="E670" s="47" t="e">
        <f aca="false">MAX($D$3,(1+P669-VLOOKUP(VALUE(D670),$J$18:$Q669,7,TRUE()))*$D$3)</f>
        <v>#N/A</v>
      </c>
      <c r="F670" s="47" t="e">
        <f aca="false">MAX($D$4,(1+Q669-VLOOKUP(VALUE(D670),$M$18:$Q669,5,TRUE()))*$D$4)</f>
        <v>#N/A</v>
      </c>
      <c r="G670" s="48" t="n">
        <v>0.5</v>
      </c>
      <c r="H670" s="46" t="e">
        <f aca="true">IF((B670=1),(IF((F670&lt;E670),1,(IF((F670=E670),(IF(RAND()&lt;G670,1,0)),0)))),(IF((RAND()&lt;G670),1,0)))</f>
        <v>#N/A</v>
      </c>
      <c r="I670" s="46" t="e">
        <f aca="true">IF((H670=1),0,$D$3+$D$5*(RAND()-0.5))</f>
        <v>#N/A</v>
      </c>
      <c r="J670" s="46" t="e">
        <f aca="false">I670+MAX(D670,J669)</f>
        <v>#N/A</v>
      </c>
      <c r="K670" s="46" t="e">
        <f aca="false">IF((H670=0),J670-D670,0)</f>
        <v>#N/A</v>
      </c>
      <c r="L670" s="46" t="e">
        <f aca="true">IF(($H670=0),0,$D$4+$D$5*(RAND()-0.5))</f>
        <v>#N/A</v>
      </c>
      <c r="M670" s="46" t="e">
        <f aca="false">L670+MAX(D670,M669)</f>
        <v>#N/A</v>
      </c>
      <c r="N670" s="46" t="e">
        <f aca="false">IF((H670=1),M670-D670,0)</f>
        <v>#N/A</v>
      </c>
      <c r="O670" s="29" t="n">
        <v>653</v>
      </c>
      <c r="P670" s="49" t="e">
        <f aca="false">IF((Arterial=0),P669+1,P669)</f>
        <v>#N/A</v>
      </c>
      <c r="Q670" s="49" t="e">
        <f aca="false">IF((Arterial=1),Q669+1,Q669)</f>
        <v>#N/A</v>
      </c>
      <c r="R670" s="50" t="n">
        <f aca="false">IF((RESET=1),0,R670+K670)</f>
        <v>0</v>
      </c>
      <c r="S670" s="19" t="n">
        <f aca="false">IF(RESET=1,0,S670+N670)</f>
        <v>0</v>
      </c>
      <c r="T670" s="0" t="n">
        <f aca="false">IF(RESET=1,0,T670+IF(H670=0,1,0))</f>
        <v>0</v>
      </c>
      <c r="U670" s="0" t="n">
        <f aca="false">IF(RESET=1,0,U670+H670)</f>
        <v>0</v>
      </c>
      <c r="V670" s="19" t="n">
        <f aca="false">R670/(T670+0.00001)</f>
        <v>0</v>
      </c>
      <c r="W670" s="19" t="n">
        <f aca="false">S670/(U670+0.0001)</f>
        <v>0</v>
      </c>
      <c r="X670" s="47" t="e">
        <f aca="false">IF(Informed=1,K670,0)</f>
        <v>#N/A</v>
      </c>
      <c r="Y670" s="47" t="n">
        <f aca="false">IF(Informed=0,K670,0)</f>
        <v>0</v>
      </c>
      <c r="Z670" s="47" t="e">
        <f aca="false">IF(Informed=1,N670,0)</f>
        <v>#N/A</v>
      </c>
      <c r="AA670" s="47" t="n">
        <f aca="false">IF(Informed=0,N670,0)</f>
        <v>0</v>
      </c>
      <c r="AB670" s="51" t="e">
        <f aca="false">IF(Arterial=0,IF(Informed=1,1,0),0)</f>
        <v>#N/A</v>
      </c>
      <c r="AC670" s="51" t="e">
        <f aca="false">IF(Arterial=0,IF(Informed=0,1,0),0)</f>
        <v>#N/A</v>
      </c>
      <c r="AD670" s="51" t="e">
        <f aca="false">IF(Arterial=1,IF(Informed=1,1,0),0)</f>
        <v>#N/A</v>
      </c>
      <c r="AE670" s="51" t="e">
        <f aca="false">IF(Arterial=1,IF(Informed=0,1,0),0)</f>
        <v>#N/A</v>
      </c>
      <c r="AF670" s="44" t="e">
        <f aca="false">IF(AB670=1,(X670-G$1030)^2,0)</f>
        <v>#N/A</v>
      </c>
      <c r="AG670" s="44" t="e">
        <f aca="false">IF(AC670=1,(Y670-H$1030)^2,0)</f>
        <v>#N/A</v>
      </c>
      <c r="AH670" s="44" t="e">
        <f aca="false">IF(AD670=1,(Z670-I$1030)^2,0)</f>
        <v>#N/A</v>
      </c>
      <c r="AI670" s="44" t="e">
        <f aca="false">IF(AE670=1,(AA670-J$1030)^2,0)</f>
        <v>#N/A</v>
      </c>
    </row>
    <row r="671" customFormat="false" ht="12" hidden="false" customHeight="false" outlineLevel="0" collapsed="false">
      <c r="A671" s="29" t="n">
        <v>654</v>
      </c>
      <c r="B671" s="45" t="n">
        <f aca="true">IF(RAND()&lt;$D$8,1,0)</f>
        <v>1</v>
      </c>
      <c r="C671" s="34" t="n">
        <f aca="true">-LN(RAND())/$D$2</f>
        <v>1.40896336409528</v>
      </c>
      <c r="D671" s="46" t="n">
        <f aca="false">D670+C671</f>
        <v>1020.86524353675</v>
      </c>
      <c r="E671" s="47" t="e">
        <f aca="false">MAX($D$3,(1+P670-VLOOKUP(VALUE(D671),$J$18:$Q670,7,TRUE()))*$D$3)</f>
        <v>#N/A</v>
      </c>
      <c r="F671" s="47" t="e">
        <f aca="false">MAX($D$4,(1+Q670-VLOOKUP(VALUE(D671),$M$18:$Q670,5,TRUE()))*$D$4)</f>
        <v>#N/A</v>
      </c>
      <c r="G671" s="48" t="n">
        <v>0.5</v>
      </c>
      <c r="H671" s="46" t="e">
        <f aca="true">IF((B671=1),(IF((F671&lt;E671),1,(IF((F671=E671),(IF(RAND()&lt;G671,1,0)),0)))),(IF((RAND()&lt;G671),1,0)))</f>
        <v>#N/A</v>
      </c>
      <c r="I671" s="46" t="e">
        <f aca="true">IF((H671=1),0,$D$3+$D$5*(RAND()-0.5))</f>
        <v>#N/A</v>
      </c>
      <c r="J671" s="46" t="e">
        <f aca="false">I671+MAX(D671,J670)</f>
        <v>#N/A</v>
      </c>
      <c r="K671" s="46" t="e">
        <f aca="false">IF((H671=0),J671-D671,0)</f>
        <v>#N/A</v>
      </c>
      <c r="L671" s="46" t="e">
        <f aca="true">IF(($H671=0),0,$D$4+$D$5*(RAND()-0.5))</f>
        <v>#N/A</v>
      </c>
      <c r="M671" s="46" t="e">
        <f aca="false">L671+MAX(D671,M670)</f>
        <v>#N/A</v>
      </c>
      <c r="N671" s="46" t="e">
        <f aca="false">IF((H671=1),M671-D671,0)</f>
        <v>#N/A</v>
      </c>
      <c r="O671" s="29" t="n">
        <v>654</v>
      </c>
      <c r="P671" s="49" t="e">
        <f aca="false">IF((Arterial=0),P670+1,P670)</f>
        <v>#N/A</v>
      </c>
      <c r="Q671" s="49" t="e">
        <f aca="false">IF((Arterial=1),Q670+1,Q670)</f>
        <v>#N/A</v>
      </c>
      <c r="R671" s="50" t="n">
        <f aca="false">IF((RESET=1),0,R671+K671)</f>
        <v>0</v>
      </c>
      <c r="S671" s="19" t="n">
        <f aca="false">IF(RESET=1,0,S671+N671)</f>
        <v>0</v>
      </c>
      <c r="T671" s="0" t="n">
        <f aca="false">IF(RESET=1,0,T671+IF(H671=0,1,0))</f>
        <v>0</v>
      </c>
      <c r="U671" s="0" t="n">
        <f aca="false">IF(RESET=1,0,U671+H671)</f>
        <v>0</v>
      </c>
      <c r="V671" s="19" t="n">
        <f aca="false">R671/(T671+0.00001)</f>
        <v>0</v>
      </c>
      <c r="W671" s="19" t="n">
        <f aca="false">S671/(U671+0.0001)</f>
        <v>0</v>
      </c>
      <c r="X671" s="47" t="e">
        <f aca="false">IF(Informed=1,K671,0)</f>
        <v>#N/A</v>
      </c>
      <c r="Y671" s="47" t="n">
        <f aca="false">IF(Informed=0,K671,0)</f>
        <v>0</v>
      </c>
      <c r="Z671" s="47" t="e">
        <f aca="false">IF(Informed=1,N671,0)</f>
        <v>#N/A</v>
      </c>
      <c r="AA671" s="47" t="n">
        <f aca="false">IF(Informed=0,N671,0)</f>
        <v>0</v>
      </c>
      <c r="AB671" s="51" t="e">
        <f aca="false">IF(Arterial=0,IF(Informed=1,1,0),0)</f>
        <v>#N/A</v>
      </c>
      <c r="AC671" s="51" t="e">
        <f aca="false">IF(Arterial=0,IF(Informed=0,1,0),0)</f>
        <v>#N/A</v>
      </c>
      <c r="AD671" s="51" t="e">
        <f aca="false">IF(Arterial=1,IF(Informed=1,1,0),0)</f>
        <v>#N/A</v>
      </c>
      <c r="AE671" s="51" t="e">
        <f aca="false">IF(Arterial=1,IF(Informed=0,1,0),0)</f>
        <v>#N/A</v>
      </c>
      <c r="AF671" s="44" t="e">
        <f aca="false">IF(AB671=1,(X671-G$1030)^2,0)</f>
        <v>#N/A</v>
      </c>
      <c r="AG671" s="44" t="e">
        <f aca="false">IF(AC671=1,(Y671-H$1030)^2,0)</f>
        <v>#N/A</v>
      </c>
      <c r="AH671" s="44" t="e">
        <f aca="false">IF(AD671=1,(Z671-I$1030)^2,0)</f>
        <v>#N/A</v>
      </c>
      <c r="AI671" s="44" t="e">
        <f aca="false">IF(AE671=1,(AA671-J$1030)^2,0)</f>
        <v>#N/A</v>
      </c>
    </row>
    <row r="672" customFormat="false" ht="12" hidden="false" customHeight="false" outlineLevel="0" collapsed="false">
      <c r="A672" s="29" t="n">
        <v>655</v>
      </c>
      <c r="B672" s="45" t="n">
        <f aca="true">IF(RAND()&lt;$D$8,1,0)</f>
        <v>1</v>
      </c>
      <c r="C672" s="34" t="n">
        <f aca="true">-LN(RAND())/$D$2</f>
        <v>2.15478651067084</v>
      </c>
      <c r="D672" s="46" t="n">
        <f aca="false">D671+C672</f>
        <v>1023.02003004742</v>
      </c>
      <c r="E672" s="47" t="e">
        <f aca="false">MAX($D$3,(1+P671-VLOOKUP(VALUE(D672),$J$18:$Q671,7,TRUE()))*$D$3)</f>
        <v>#N/A</v>
      </c>
      <c r="F672" s="47" t="e">
        <f aca="false">MAX($D$4,(1+Q671-VLOOKUP(VALUE(D672),$M$18:$Q671,5,TRUE()))*$D$4)</f>
        <v>#N/A</v>
      </c>
      <c r="G672" s="48" t="n">
        <v>0.5</v>
      </c>
      <c r="H672" s="46" t="e">
        <f aca="true">IF((B672=1),(IF((F672&lt;E672),1,(IF((F672=E672),(IF(RAND()&lt;G672,1,0)),0)))),(IF((RAND()&lt;G672),1,0)))</f>
        <v>#N/A</v>
      </c>
      <c r="I672" s="46" t="e">
        <f aca="true">IF((H672=1),0,$D$3+$D$5*(RAND()-0.5))</f>
        <v>#N/A</v>
      </c>
      <c r="J672" s="46" t="e">
        <f aca="false">I672+MAX(D672,J671)</f>
        <v>#N/A</v>
      </c>
      <c r="K672" s="46" t="e">
        <f aca="false">IF((H672=0),J672-D672,0)</f>
        <v>#N/A</v>
      </c>
      <c r="L672" s="46" t="e">
        <f aca="true">IF(($H672=0),0,$D$4+$D$5*(RAND()-0.5))</f>
        <v>#N/A</v>
      </c>
      <c r="M672" s="46" t="e">
        <f aca="false">L672+MAX(D672,M671)</f>
        <v>#N/A</v>
      </c>
      <c r="N672" s="46" t="e">
        <f aca="false">IF((H672=1),M672-D672,0)</f>
        <v>#N/A</v>
      </c>
      <c r="O672" s="29" t="n">
        <v>655</v>
      </c>
      <c r="P672" s="49" t="e">
        <f aca="false">IF((Arterial=0),P671+1,P671)</f>
        <v>#N/A</v>
      </c>
      <c r="Q672" s="49" t="e">
        <f aca="false">IF((Arterial=1),Q671+1,Q671)</f>
        <v>#N/A</v>
      </c>
      <c r="R672" s="50" t="n">
        <f aca="false">IF((RESET=1),0,R672+K672)</f>
        <v>0</v>
      </c>
      <c r="S672" s="19" t="n">
        <f aca="false">IF(RESET=1,0,S672+N672)</f>
        <v>0</v>
      </c>
      <c r="T672" s="0" t="n">
        <f aca="false">IF(RESET=1,0,T672+IF(H672=0,1,0))</f>
        <v>0</v>
      </c>
      <c r="U672" s="0" t="n">
        <f aca="false">IF(RESET=1,0,U672+H672)</f>
        <v>0</v>
      </c>
      <c r="V672" s="19" t="n">
        <f aca="false">R672/(T672+0.00001)</f>
        <v>0</v>
      </c>
      <c r="W672" s="19" t="n">
        <f aca="false">S672/(U672+0.0001)</f>
        <v>0</v>
      </c>
      <c r="X672" s="47" t="e">
        <f aca="false">IF(Informed=1,K672,0)</f>
        <v>#N/A</v>
      </c>
      <c r="Y672" s="47" t="n">
        <f aca="false">IF(Informed=0,K672,0)</f>
        <v>0</v>
      </c>
      <c r="Z672" s="47" t="e">
        <f aca="false">IF(Informed=1,N672,0)</f>
        <v>#N/A</v>
      </c>
      <c r="AA672" s="47" t="n">
        <f aca="false">IF(Informed=0,N672,0)</f>
        <v>0</v>
      </c>
      <c r="AB672" s="51" t="e">
        <f aca="false">IF(Arterial=0,IF(Informed=1,1,0),0)</f>
        <v>#N/A</v>
      </c>
      <c r="AC672" s="51" t="e">
        <f aca="false">IF(Arterial=0,IF(Informed=0,1,0),0)</f>
        <v>#N/A</v>
      </c>
      <c r="AD672" s="51" t="e">
        <f aca="false">IF(Arterial=1,IF(Informed=1,1,0),0)</f>
        <v>#N/A</v>
      </c>
      <c r="AE672" s="51" t="e">
        <f aca="false">IF(Arterial=1,IF(Informed=0,1,0),0)</f>
        <v>#N/A</v>
      </c>
      <c r="AF672" s="44" t="e">
        <f aca="false">IF(AB672=1,(X672-G$1030)^2,0)</f>
        <v>#N/A</v>
      </c>
      <c r="AG672" s="44" t="e">
        <f aca="false">IF(AC672=1,(Y672-H$1030)^2,0)</f>
        <v>#N/A</v>
      </c>
      <c r="AH672" s="44" t="e">
        <f aca="false">IF(AD672=1,(Z672-I$1030)^2,0)</f>
        <v>#N/A</v>
      </c>
      <c r="AI672" s="44" t="e">
        <f aca="false">IF(AE672=1,(AA672-J$1030)^2,0)</f>
        <v>#N/A</v>
      </c>
    </row>
    <row r="673" customFormat="false" ht="12" hidden="false" customHeight="false" outlineLevel="0" collapsed="false">
      <c r="A673" s="29" t="n">
        <v>656</v>
      </c>
      <c r="B673" s="45" t="n">
        <f aca="true">IF(RAND()&lt;$D$8,1,0)</f>
        <v>1</v>
      </c>
      <c r="C673" s="34" t="n">
        <f aca="true">-LN(RAND())/$D$2</f>
        <v>0.100536790506773</v>
      </c>
      <c r="D673" s="46" t="n">
        <f aca="false">D672+C673</f>
        <v>1023.12056683792</v>
      </c>
      <c r="E673" s="47" t="e">
        <f aca="false">MAX($D$3,(1+P672-VLOOKUP(VALUE(D673),$J$18:$Q672,7,TRUE()))*$D$3)</f>
        <v>#N/A</v>
      </c>
      <c r="F673" s="47" t="e">
        <f aca="false">MAX($D$4,(1+Q672-VLOOKUP(VALUE(D673),$M$18:$Q672,5,TRUE()))*$D$4)</f>
        <v>#N/A</v>
      </c>
      <c r="G673" s="48" t="n">
        <v>0.5</v>
      </c>
      <c r="H673" s="46" t="e">
        <f aca="true">IF((B673=1),(IF((F673&lt;E673),1,(IF((F673=E673),(IF(RAND()&lt;G673,1,0)),0)))),(IF((RAND()&lt;G673),1,0)))</f>
        <v>#N/A</v>
      </c>
      <c r="I673" s="46" t="e">
        <f aca="true">IF((H673=1),0,$D$3+$D$5*(RAND()-0.5))</f>
        <v>#N/A</v>
      </c>
      <c r="J673" s="46" t="e">
        <f aca="false">I673+MAX(D673,J672)</f>
        <v>#N/A</v>
      </c>
      <c r="K673" s="46" t="e">
        <f aca="false">IF((H673=0),J673-D673,0)</f>
        <v>#N/A</v>
      </c>
      <c r="L673" s="46" t="e">
        <f aca="true">IF(($H673=0),0,$D$4+$D$5*(RAND()-0.5))</f>
        <v>#N/A</v>
      </c>
      <c r="M673" s="46" t="e">
        <f aca="false">L673+MAX(D673,M672)</f>
        <v>#N/A</v>
      </c>
      <c r="N673" s="46" t="e">
        <f aca="false">IF((H673=1),M673-D673,0)</f>
        <v>#N/A</v>
      </c>
      <c r="O673" s="29" t="n">
        <v>656</v>
      </c>
      <c r="P673" s="49" t="e">
        <f aca="false">IF((Arterial=0),P672+1,P672)</f>
        <v>#N/A</v>
      </c>
      <c r="Q673" s="49" t="e">
        <f aca="false">IF((Arterial=1),Q672+1,Q672)</f>
        <v>#N/A</v>
      </c>
      <c r="R673" s="50" t="n">
        <f aca="false">IF((RESET=1),0,R673+K673)</f>
        <v>0</v>
      </c>
      <c r="S673" s="19" t="n">
        <f aca="false">IF(RESET=1,0,S673+N673)</f>
        <v>0</v>
      </c>
      <c r="T673" s="0" t="n">
        <f aca="false">IF(RESET=1,0,T673+IF(H673=0,1,0))</f>
        <v>0</v>
      </c>
      <c r="U673" s="0" t="n">
        <f aca="false">IF(RESET=1,0,U673+H673)</f>
        <v>0</v>
      </c>
      <c r="V673" s="19" t="n">
        <f aca="false">R673/(T673+0.00001)</f>
        <v>0</v>
      </c>
      <c r="W673" s="19" t="n">
        <f aca="false">S673/(U673+0.0001)</f>
        <v>0</v>
      </c>
      <c r="X673" s="47" t="e">
        <f aca="false">IF(Informed=1,K673,0)</f>
        <v>#N/A</v>
      </c>
      <c r="Y673" s="47" t="n">
        <f aca="false">IF(Informed=0,K673,0)</f>
        <v>0</v>
      </c>
      <c r="Z673" s="47" t="e">
        <f aca="false">IF(Informed=1,N673,0)</f>
        <v>#N/A</v>
      </c>
      <c r="AA673" s="47" t="n">
        <f aca="false">IF(Informed=0,N673,0)</f>
        <v>0</v>
      </c>
      <c r="AB673" s="51" t="e">
        <f aca="false">IF(Arterial=0,IF(Informed=1,1,0),0)</f>
        <v>#N/A</v>
      </c>
      <c r="AC673" s="51" t="e">
        <f aca="false">IF(Arterial=0,IF(Informed=0,1,0),0)</f>
        <v>#N/A</v>
      </c>
      <c r="AD673" s="51" t="e">
        <f aca="false">IF(Arterial=1,IF(Informed=1,1,0),0)</f>
        <v>#N/A</v>
      </c>
      <c r="AE673" s="51" t="e">
        <f aca="false">IF(Arterial=1,IF(Informed=0,1,0),0)</f>
        <v>#N/A</v>
      </c>
      <c r="AF673" s="44" t="e">
        <f aca="false">IF(AB673=1,(X673-G$1030)^2,0)</f>
        <v>#N/A</v>
      </c>
      <c r="AG673" s="44" t="e">
        <f aca="false">IF(AC673=1,(Y673-H$1030)^2,0)</f>
        <v>#N/A</v>
      </c>
      <c r="AH673" s="44" t="e">
        <f aca="false">IF(AD673=1,(Z673-I$1030)^2,0)</f>
        <v>#N/A</v>
      </c>
      <c r="AI673" s="44" t="e">
        <f aca="false">IF(AE673=1,(AA673-J$1030)^2,0)</f>
        <v>#N/A</v>
      </c>
    </row>
    <row r="674" customFormat="false" ht="12" hidden="false" customHeight="false" outlineLevel="0" collapsed="false">
      <c r="A674" s="29" t="n">
        <v>657</v>
      </c>
      <c r="B674" s="45" t="n">
        <f aca="true">IF(RAND()&lt;$D$8,1,0)</f>
        <v>1</v>
      </c>
      <c r="C674" s="34" t="n">
        <f aca="true">-LN(RAND())/$D$2</f>
        <v>0.173977188892697</v>
      </c>
      <c r="D674" s="46" t="n">
        <f aca="false">D673+C674</f>
        <v>1023.29454402682</v>
      </c>
      <c r="E674" s="47" t="e">
        <f aca="false">MAX($D$3,(1+P673-VLOOKUP(VALUE(D674),$J$18:$Q673,7,TRUE()))*$D$3)</f>
        <v>#N/A</v>
      </c>
      <c r="F674" s="47" t="e">
        <f aca="false">MAX($D$4,(1+Q673-VLOOKUP(VALUE(D674),$M$18:$Q673,5,TRUE()))*$D$4)</f>
        <v>#N/A</v>
      </c>
      <c r="G674" s="48" t="n">
        <v>0.5</v>
      </c>
      <c r="H674" s="46" t="e">
        <f aca="true">IF((B674=1),(IF((F674&lt;E674),1,(IF((F674=E674),(IF(RAND()&lt;G674,1,0)),0)))),(IF((RAND()&lt;G674),1,0)))</f>
        <v>#N/A</v>
      </c>
      <c r="I674" s="46" t="e">
        <f aca="true">IF((H674=1),0,$D$3+$D$5*(RAND()-0.5))</f>
        <v>#N/A</v>
      </c>
      <c r="J674" s="46" t="e">
        <f aca="false">I674+MAX(D674,J673)</f>
        <v>#N/A</v>
      </c>
      <c r="K674" s="46" t="e">
        <f aca="false">IF((H674=0),J674-D674,0)</f>
        <v>#N/A</v>
      </c>
      <c r="L674" s="46" t="e">
        <f aca="true">IF(($H674=0),0,$D$4+$D$5*(RAND()-0.5))</f>
        <v>#N/A</v>
      </c>
      <c r="M674" s="46" t="e">
        <f aca="false">L674+MAX(D674,M673)</f>
        <v>#N/A</v>
      </c>
      <c r="N674" s="46" t="e">
        <f aca="false">IF((H674=1),M674-D674,0)</f>
        <v>#N/A</v>
      </c>
      <c r="O674" s="29" t="n">
        <v>657</v>
      </c>
      <c r="P674" s="49" t="e">
        <f aca="false">IF((Arterial=0),P673+1,P673)</f>
        <v>#N/A</v>
      </c>
      <c r="Q674" s="49" t="e">
        <f aca="false">IF((Arterial=1),Q673+1,Q673)</f>
        <v>#N/A</v>
      </c>
      <c r="R674" s="50" t="n">
        <f aca="false">IF((RESET=1),0,R674+K674)</f>
        <v>0</v>
      </c>
      <c r="S674" s="19" t="n">
        <f aca="false">IF(RESET=1,0,S674+N674)</f>
        <v>0</v>
      </c>
      <c r="T674" s="0" t="n">
        <f aca="false">IF(RESET=1,0,T674+IF(H674=0,1,0))</f>
        <v>0</v>
      </c>
      <c r="U674" s="0" t="n">
        <f aca="false">IF(RESET=1,0,U674+H674)</f>
        <v>0</v>
      </c>
      <c r="V674" s="19" t="n">
        <f aca="false">R674/(T674+0.00001)</f>
        <v>0</v>
      </c>
      <c r="W674" s="19" t="n">
        <f aca="false">S674/(U674+0.0001)</f>
        <v>0</v>
      </c>
      <c r="X674" s="47" t="e">
        <f aca="false">IF(Informed=1,K674,0)</f>
        <v>#N/A</v>
      </c>
      <c r="Y674" s="47" t="n">
        <f aca="false">IF(Informed=0,K674,0)</f>
        <v>0</v>
      </c>
      <c r="Z674" s="47" t="e">
        <f aca="false">IF(Informed=1,N674,0)</f>
        <v>#N/A</v>
      </c>
      <c r="AA674" s="47" t="n">
        <f aca="false">IF(Informed=0,N674,0)</f>
        <v>0</v>
      </c>
      <c r="AB674" s="51" t="e">
        <f aca="false">IF(Arterial=0,IF(Informed=1,1,0),0)</f>
        <v>#N/A</v>
      </c>
      <c r="AC674" s="51" t="e">
        <f aca="false">IF(Arterial=0,IF(Informed=0,1,0),0)</f>
        <v>#N/A</v>
      </c>
      <c r="AD674" s="51" t="e">
        <f aca="false">IF(Arterial=1,IF(Informed=1,1,0),0)</f>
        <v>#N/A</v>
      </c>
      <c r="AE674" s="51" t="e">
        <f aca="false">IF(Arterial=1,IF(Informed=0,1,0),0)</f>
        <v>#N/A</v>
      </c>
      <c r="AF674" s="44" t="e">
        <f aca="false">IF(AB674=1,(X674-G$1030)^2,0)</f>
        <v>#N/A</v>
      </c>
      <c r="AG674" s="44" t="e">
        <f aca="false">IF(AC674=1,(Y674-H$1030)^2,0)</f>
        <v>#N/A</v>
      </c>
      <c r="AH674" s="44" t="e">
        <f aca="false">IF(AD674=1,(Z674-I$1030)^2,0)</f>
        <v>#N/A</v>
      </c>
      <c r="AI674" s="44" t="e">
        <f aca="false">IF(AE674=1,(AA674-J$1030)^2,0)</f>
        <v>#N/A</v>
      </c>
    </row>
    <row r="675" customFormat="false" ht="12" hidden="false" customHeight="false" outlineLevel="0" collapsed="false">
      <c r="A675" s="29" t="n">
        <v>658</v>
      </c>
      <c r="B675" s="45" t="n">
        <f aca="true">IF(RAND()&lt;$D$8,1,0)</f>
        <v>1</v>
      </c>
      <c r="C675" s="34" t="n">
        <f aca="true">-LN(RAND())/$D$2</f>
        <v>3.26569041688283</v>
      </c>
      <c r="D675" s="46" t="n">
        <f aca="false">D674+C675</f>
        <v>1026.5602344437</v>
      </c>
      <c r="E675" s="47" t="e">
        <f aca="false">MAX($D$3,(1+P674-VLOOKUP(VALUE(D675),$J$18:$Q674,7,TRUE()))*$D$3)</f>
        <v>#N/A</v>
      </c>
      <c r="F675" s="47" t="e">
        <f aca="false">MAX($D$4,(1+Q674-VLOOKUP(VALUE(D675),$M$18:$Q674,5,TRUE()))*$D$4)</f>
        <v>#N/A</v>
      </c>
      <c r="G675" s="48" t="n">
        <v>0.5</v>
      </c>
      <c r="H675" s="46" t="e">
        <f aca="true">IF((B675=1),(IF((F675&lt;E675),1,(IF((F675=E675),(IF(RAND()&lt;G675,1,0)),0)))),(IF((RAND()&lt;G675),1,0)))</f>
        <v>#N/A</v>
      </c>
      <c r="I675" s="46" t="e">
        <f aca="true">IF((H675=1),0,$D$3+$D$5*(RAND()-0.5))</f>
        <v>#N/A</v>
      </c>
      <c r="J675" s="46" t="e">
        <f aca="false">I675+MAX(D675,J674)</f>
        <v>#N/A</v>
      </c>
      <c r="K675" s="46" t="e">
        <f aca="false">IF((H675=0),J675-D675,0)</f>
        <v>#N/A</v>
      </c>
      <c r="L675" s="46" t="e">
        <f aca="true">IF(($H675=0),0,$D$4+$D$5*(RAND()-0.5))</f>
        <v>#N/A</v>
      </c>
      <c r="M675" s="46" t="e">
        <f aca="false">L675+MAX(D675,M674)</f>
        <v>#N/A</v>
      </c>
      <c r="N675" s="46" t="e">
        <f aca="false">IF((H675=1),M675-D675,0)</f>
        <v>#N/A</v>
      </c>
      <c r="O675" s="29" t="n">
        <v>658</v>
      </c>
      <c r="P675" s="49" t="e">
        <f aca="false">IF((Arterial=0),P674+1,P674)</f>
        <v>#N/A</v>
      </c>
      <c r="Q675" s="49" t="e">
        <f aca="false">IF((Arterial=1),Q674+1,Q674)</f>
        <v>#N/A</v>
      </c>
      <c r="R675" s="50" t="n">
        <f aca="false">IF((RESET=1),0,R675+K675)</f>
        <v>0</v>
      </c>
      <c r="S675" s="19" t="n">
        <f aca="false">IF(RESET=1,0,S675+N675)</f>
        <v>0</v>
      </c>
      <c r="T675" s="0" t="n">
        <f aca="false">IF(RESET=1,0,T675+IF(H675=0,1,0))</f>
        <v>0</v>
      </c>
      <c r="U675" s="0" t="n">
        <f aca="false">IF(RESET=1,0,U675+H675)</f>
        <v>0</v>
      </c>
      <c r="V675" s="19" t="n">
        <f aca="false">R675/(T675+0.00001)</f>
        <v>0</v>
      </c>
      <c r="W675" s="19" t="n">
        <f aca="false">S675/(U675+0.0001)</f>
        <v>0</v>
      </c>
      <c r="X675" s="47" t="e">
        <f aca="false">IF(Informed=1,K675,0)</f>
        <v>#N/A</v>
      </c>
      <c r="Y675" s="47" t="n">
        <f aca="false">IF(Informed=0,K675,0)</f>
        <v>0</v>
      </c>
      <c r="Z675" s="47" t="e">
        <f aca="false">IF(Informed=1,N675,0)</f>
        <v>#N/A</v>
      </c>
      <c r="AA675" s="47" t="n">
        <f aca="false">IF(Informed=0,N675,0)</f>
        <v>0</v>
      </c>
      <c r="AB675" s="51" t="e">
        <f aca="false">IF(Arterial=0,IF(Informed=1,1,0),0)</f>
        <v>#N/A</v>
      </c>
      <c r="AC675" s="51" t="e">
        <f aca="false">IF(Arterial=0,IF(Informed=0,1,0),0)</f>
        <v>#N/A</v>
      </c>
      <c r="AD675" s="51" t="e">
        <f aca="false">IF(Arterial=1,IF(Informed=1,1,0),0)</f>
        <v>#N/A</v>
      </c>
      <c r="AE675" s="51" t="e">
        <f aca="false">IF(Arterial=1,IF(Informed=0,1,0),0)</f>
        <v>#N/A</v>
      </c>
      <c r="AF675" s="44" t="e">
        <f aca="false">IF(AB675=1,(X675-G$1030)^2,0)</f>
        <v>#N/A</v>
      </c>
      <c r="AG675" s="44" t="e">
        <f aca="false">IF(AC675=1,(Y675-H$1030)^2,0)</f>
        <v>#N/A</v>
      </c>
      <c r="AH675" s="44" t="e">
        <f aca="false">IF(AD675=1,(Z675-I$1030)^2,0)</f>
        <v>#N/A</v>
      </c>
      <c r="AI675" s="44" t="e">
        <f aca="false">IF(AE675=1,(AA675-J$1030)^2,0)</f>
        <v>#N/A</v>
      </c>
    </row>
    <row r="676" customFormat="false" ht="12" hidden="false" customHeight="false" outlineLevel="0" collapsed="false">
      <c r="A676" s="29" t="n">
        <v>659</v>
      </c>
      <c r="B676" s="45" t="n">
        <f aca="true">IF(RAND()&lt;$D$8,1,0)</f>
        <v>1</v>
      </c>
      <c r="C676" s="34" t="n">
        <f aca="true">-LN(RAND())/$D$2</f>
        <v>3.95736061909079</v>
      </c>
      <c r="D676" s="46" t="n">
        <f aca="false">D675+C676</f>
        <v>1030.51759506279</v>
      </c>
      <c r="E676" s="47" t="e">
        <f aca="false">MAX($D$3,(1+P675-VLOOKUP(VALUE(D676),$J$18:$Q675,7,TRUE()))*$D$3)</f>
        <v>#N/A</v>
      </c>
      <c r="F676" s="47" t="e">
        <f aca="false">MAX($D$4,(1+Q675-VLOOKUP(VALUE(D676),$M$18:$Q675,5,TRUE()))*$D$4)</f>
        <v>#N/A</v>
      </c>
      <c r="G676" s="48" t="n">
        <v>0.5</v>
      </c>
      <c r="H676" s="46" t="e">
        <f aca="true">IF((B676=1),(IF((F676&lt;E676),1,(IF((F676=E676),(IF(RAND()&lt;G676,1,0)),0)))),(IF((RAND()&lt;G676),1,0)))</f>
        <v>#N/A</v>
      </c>
      <c r="I676" s="46" t="e">
        <f aca="true">IF((H676=1),0,$D$3+$D$5*(RAND()-0.5))</f>
        <v>#N/A</v>
      </c>
      <c r="J676" s="46" t="e">
        <f aca="false">I676+MAX(D676,J675)</f>
        <v>#N/A</v>
      </c>
      <c r="K676" s="46" t="e">
        <f aca="false">IF((H676=0),J676-D676,0)</f>
        <v>#N/A</v>
      </c>
      <c r="L676" s="46" t="e">
        <f aca="true">IF(($H676=0),0,$D$4+$D$5*(RAND()-0.5))</f>
        <v>#N/A</v>
      </c>
      <c r="M676" s="46" t="e">
        <f aca="false">L676+MAX(D676,M675)</f>
        <v>#N/A</v>
      </c>
      <c r="N676" s="46" t="e">
        <f aca="false">IF((H676=1),M676-D676,0)</f>
        <v>#N/A</v>
      </c>
      <c r="O676" s="29" t="n">
        <v>659</v>
      </c>
      <c r="P676" s="49" t="e">
        <f aca="false">IF((Arterial=0),P675+1,P675)</f>
        <v>#N/A</v>
      </c>
      <c r="Q676" s="49" t="e">
        <f aca="false">IF((Arterial=1),Q675+1,Q675)</f>
        <v>#N/A</v>
      </c>
      <c r="R676" s="50" t="n">
        <f aca="false">IF((RESET=1),0,R676+K676)</f>
        <v>0</v>
      </c>
      <c r="S676" s="19" t="n">
        <f aca="false">IF(RESET=1,0,S676+N676)</f>
        <v>0</v>
      </c>
      <c r="T676" s="0" t="n">
        <f aca="false">IF(RESET=1,0,T676+IF(H676=0,1,0))</f>
        <v>0</v>
      </c>
      <c r="U676" s="0" t="n">
        <f aca="false">IF(RESET=1,0,U676+H676)</f>
        <v>0</v>
      </c>
      <c r="V676" s="19" t="n">
        <f aca="false">R676/(T676+0.00001)</f>
        <v>0</v>
      </c>
      <c r="W676" s="19" t="n">
        <f aca="false">S676/(U676+0.0001)</f>
        <v>0</v>
      </c>
      <c r="X676" s="47" t="e">
        <f aca="false">IF(Informed=1,K676,0)</f>
        <v>#N/A</v>
      </c>
      <c r="Y676" s="47" t="n">
        <f aca="false">IF(Informed=0,K676,0)</f>
        <v>0</v>
      </c>
      <c r="Z676" s="47" t="e">
        <f aca="false">IF(Informed=1,N676,0)</f>
        <v>#N/A</v>
      </c>
      <c r="AA676" s="47" t="n">
        <f aca="false">IF(Informed=0,N676,0)</f>
        <v>0</v>
      </c>
      <c r="AB676" s="51" t="e">
        <f aca="false">IF(Arterial=0,IF(Informed=1,1,0),0)</f>
        <v>#N/A</v>
      </c>
      <c r="AC676" s="51" t="e">
        <f aca="false">IF(Arterial=0,IF(Informed=0,1,0),0)</f>
        <v>#N/A</v>
      </c>
      <c r="AD676" s="51" t="e">
        <f aca="false">IF(Arterial=1,IF(Informed=1,1,0),0)</f>
        <v>#N/A</v>
      </c>
      <c r="AE676" s="51" t="e">
        <f aca="false">IF(Arterial=1,IF(Informed=0,1,0),0)</f>
        <v>#N/A</v>
      </c>
      <c r="AF676" s="44" t="e">
        <f aca="false">IF(AB676=1,(X676-G$1030)^2,0)</f>
        <v>#N/A</v>
      </c>
      <c r="AG676" s="44" t="e">
        <f aca="false">IF(AC676=1,(Y676-H$1030)^2,0)</f>
        <v>#N/A</v>
      </c>
      <c r="AH676" s="44" t="e">
        <f aca="false">IF(AD676=1,(Z676-I$1030)^2,0)</f>
        <v>#N/A</v>
      </c>
      <c r="AI676" s="44" t="e">
        <f aca="false">IF(AE676=1,(AA676-J$1030)^2,0)</f>
        <v>#N/A</v>
      </c>
    </row>
    <row r="677" customFormat="false" ht="12" hidden="false" customHeight="false" outlineLevel="0" collapsed="false">
      <c r="A677" s="29" t="n">
        <v>660</v>
      </c>
      <c r="B677" s="45" t="n">
        <f aca="true">IF(RAND()&lt;$D$8,1,0)</f>
        <v>1</v>
      </c>
      <c r="C677" s="34" t="n">
        <f aca="true">-LN(RAND())/$D$2</f>
        <v>0.236379268260802</v>
      </c>
      <c r="D677" s="46" t="n">
        <f aca="false">D676+C677</f>
        <v>1030.75397433105</v>
      </c>
      <c r="E677" s="47" t="e">
        <f aca="false">MAX($D$3,(1+P676-VLOOKUP(VALUE(D677),$J$18:$Q676,7,TRUE()))*$D$3)</f>
        <v>#N/A</v>
      </c>
      <c r="F677" s="47" t="e">
        <f aca="false">MAX($D$4,(1+Q676-VLOOKUP(VALUE(D677),$M$18:$Q676,5,TRUE()))*$D$4)</f>
        <v>#N/A</v>
      </c>
      <c r="G677" s="48" t="n">
        <v>0.5</v>
      </c>
      <c r="H677" s="46" t="e">
        <f aca="true">IF((B677=1),(IF((F677&lt;E677),1,(IF((F677=E677),(IF(RAND()&lt;G677,1,0)),0)))),(IF((RAND()&lt;G677),1,0)))</f>
        <v>#N/A</v>
      </c>
      <c r="I677" s="46" t="e">
        <f aca="true">IF((H677=1),0,$D$3+$D$5*(RAND()-0.5))</f>
        <v>#N/A</v>
      </c>
      <c r="J677" s="46" t="e">
        <f aca="false">I677+MAX(D677,J676)</f>
        <v>#N/A</v>
      </c>
      <c r="K677" s="46" t="e">
        <f aca="false">IF((H677=0),J677-D677,0)</f>
        <v>#N/A</v>
      </c>
      <c r="L677" s="46" t="e">
        <f aca="true">IF(($H677=0),0,$D$4+$D$5*(RAND()-0.5))</f>
        <v>#N/A</v>
      </c>
      <c r="M677" s="46" t="e">
        <f aca="false">L677+MAX(D677,M676)</f>
        <v>#N/A</v>
      </c>
      <c r="N677" s="46" t="e">
        <f aca="false">IF((H677=1),M677-D677,0)</f>
        <v>#N/A</v>
      </c>
      <c r="O677" s="29" t="n">
        <v>660</v>
      </c>
      <c r="P677" s="49" t="e">
        <f aca="false">IF((Arterial=0),P676+1,P676)</f>
        <v>#N/A</v>
      </c>
      <c r="Q677" s="49" t="e">
        <f aca="false">IF((Arterial=1),Q676+1,Q676)</f>
        <v>#N/A</v>
      </c>
      <c r="R677" s="50" t="n">
        <f aca="false">IF((RESET=1),0,R677+K677)</f>
        <v>0</v>
      </c>
      <c r="S677" s="19" t="n">
        <f aca="false">IF(RESET=1,0,S677+N677)</f>
        <v>0</v>
      </c>
      <c r="T677" s="0" t="n">
        <f aca="false">IF(RESET=1,0,T677+IF(H677=0,1,0))</f>
        <v>0</v>
      </c>
      <c r="U677" s="0" t="n">
        <f aca="false">IF(RESET=1,0,U677+H677)</f>
        <v>0</v>
      </c>
      <c r="V677" s="19" t="n">
        <f aca="false">R677/(T677+0.00001)</f>
        <v>0</v>
      </c>
      <c r="W677" s="19" t="n">
        <f aca="false">S677/(U677+0.0001)</f>
        <v>0</v>
      </c>
      <c r="X677" s="47" t="e">
        <f aca="false">IF(Informed=1,K677,0)</f>
        <v>#N/A</v>
      </c>
      <c r="Y677" s="47" t="n">
        <f aca="false">IF(Informed=0,K677,0)</f>
        <v>0</v>
      </c>
      <c r="Z677" s="47" t="e">
        <f aca="false">IF(Informed=1,N677,0)</f>
        <v>#N/A</v>
      </c>
      <c r="AA677" s="47" t="n">
        <f aca="false">IF(Informed=0,N677,0)</f>
        <v>0</v>
      </c>
      <c r="AB677" s="51" t="e">
        <f aca="false">IF(Arterial=0,IF(Informed=1,1,0),0)</f>
        <v>#N/A</v>
      </c>
      <c r="AC677" s="51" t="e">
        <f aca="false">IF(Arterial=0,IF(Informed=0,1,0),0)</f>
        <v>#N/A</v>
      </c>
      <c r="AD677" s="51" t="e">
        <f aca="false">IF(Arterial=1,IF(Informed=1,1,0),0)</f>
        <v>#N/A</v>
      </c>
      <c r="AE677" s="51" t="e">
        <f aca="false">IF(Arterial=1,IF(Informed=0,1,0),0)</f>
        <v>#N/A</v>
      </c>
      <c r="AF677" s="44" t="e">
        <f aca="false">IF(AB677=1,(X677-G$1030)^2,0)</f>
        <v>#N/A</v>
      </c>
      <c r="AG677" s="44" t="e">
        <f aca="false">IF(AC677=1,(Y677-H$1030)^2,0)</f>
        <v>#N/A</v>
      </c>
      <c r="AH677" s="44" t="e">
        <f aca="false">IF(AD677=1,(Z677-I$1030)^2,0)</f>
        <v>#N/A</v>
      </c>
      <c r="AI677" s="44" t="e">
        <f aca="false">IF(AE677=1,(AA677-J$1030)^2,0)</f>
        <v>#N/A</v>
      </c>
    </row>
    <row r="678" customFormat="false" ht="12" hidden="false" customHeight="false" outlineLevel="0" collapsed="false">
      <c r="A678" s="29" t="n">
        <v>661</v>
      </c>
      <c r="B678" s="45" t="n">
        <f aca="true">IF(RAND()&lt;$D$8,1,0)</f>
        <v>1</v>
      </c>
      <c r="C678" s="34" t="n">
        <f aca="true">-LN(RAND())/$D$2</f>
        <v>1.35015041708199</v>
      </c>
      <c r="D678" s="46" t="n">
        <f aca="false">D677+C678</f>
        <v>1032.10412474813</v>
      </c>
      <c r="E678" s="47" t="e">
        <f aca="false">MAX($D$3,(1+P677-VLOOKUP(VALUE(D678),$J$18:$Q677,7,TRUE()))*$D$3)</f>
        <v>#N/A</v>
      </c>
      <c r="F678" s="47" t="e">
        <f aca="false">MAX($D$4,(1+Q677-VLOOKUP(VALUE(D678),$M$18:$Q677,5,TRUE()))*$D$4)</f>
        <v>#N/A</v>
      </c>
      <c r="G678" s="48" t="n">
        <v>0.5</v>
      </c>
      <c r="H678" s="46" t="e">
        <f aca="true">IF((B678=1),(IF((F678&lt;E678),1,(IF((F678=E678),(IF(RAND()&lt;G678,1,0)),0)))),(IF((RAND()&lt;G678),1,0)))</f>
        <v>#N/A</v>
      </c>
      <c r="I678" s="46" t="e">
        <f aca="true">IF((H678=1),0,$D$3+$D$5*(RAND()-0.5))</f>
        <v>#N/A</v>
      </c>
      <c r="J678" s="46" t="e">
        <f aca="false">I678+MAX(D678,J677)</f>
        <v>#N/A</v>
      </c>
      <c r="K678" s="46" t="e">
        <f aca="false">IF((H678=0),J678-D678,0)</f>
        <v>#N/A</v>
      </c>
      <c r="L678" s="46" t="e">
        <f aca="true">IF(($H678=0),0,$D$4+$D$5*(RAND()-0.5))</f>
        <v>#N/A</v>
      </c>
      <c r="M678" s="46" t="e">
        <f aca="false">L678+MAX(D678,M677)</f>
        <v>#N/A</v>
      </c>
      <c r="N678" s="46" t="e">
        <f aca="false">IF((H678=1),M678-D678,0)</f>
        <v>#N/A</v>
      </c>
      <c r="O678" s="29" t="n">
        <v>661</v>
      </c>
      <c r="P678" s="49" t="e">
        <f aca="false">IF((Arterial=0),P677+1,P677)</f>
        <v>#N/A</v>
      </c>
      <c r="Q678" s="49" t="e">
        <f aca="false">IF((Arterial=1),Q677+1,Q677)</f>
        <v>#N/A</v>
      </c>
      <c r="R678" s="50" t="n">
        <f aca="false">IF((RESET=1),0,R678+K678)</f>
        <v>0</v>
      </c>
      <c r="S678" s="19" t="n">
        <f aca="false">IF(RESET=1,0,S678+N678)</f>
        <v>0</v>
      </c>
      <c r="T678" s="0" t="n">
        <f aca="false">IF(RESET=1,0,T678+IF(H678=0,1,0))</f>
        <v>0</v>
      </c>
      <c r="U678" s="0" t="n">
        <f aca="false">IF(RESET=1,0,U678+H678)</f>
        <v>0</v>
      </c>
      <c r="V678" s="19" t="n">
        <f aca="false">R678/(T678+0.00001)</f>
        <v>0</v>
      </c>
      <c r="W678" s="19" t="n">
        <f aca="false">S678/(U678+0.0001)</f>
        <v>0</v>
      </c>
      <c r="X678" s="47" t="e">
        <f aca="false">IF(Informed=1,K678,0)</f>
        <v>#N/A</v>
      </c>
      <c r="Y678" s="47" t="n">
        <f aca="false">IF(Informed=0,K678,0)</f>
        <v>0</v>
      </c>
      <c r="Z678" s="47" t="e">
        <f aca="false">IF(Informed=1,N678,0)</f>
        <v>#N/A</v>
      </c>
      <c r="AA678" s="47" t="n">
        <f aca="false">IF(Informed=0,N678,0)</f>
        <v>0</v>
      </c>
      <c r="AB678" s="51" t="e">
        <f aca="false">IF(Arterial=0,IF(Informed=1,1,0),0)</f>
        <v>#N/A</v>
      </c>
      <c r="AC678" s="51" t="e">
        <f aca="false">IF(Arterial=0,IF(Informed=0,1,0),0)</f>
        <v>#N/A</v>
      </c>
      <c r="AD678" s="51" t="e">
        <f aca="false">IF(Arterial=1,IF(Informed=1,1,0),0)</f>
        <v>#N/A</v>
      </c>
      <c r="AE678" s="51" t="e">
        <f aca="false">IF(Arterial=1,IF(Informed=0,1,0),0)</f>
        <v>#N/A</v>
      </c>
      <c r="AF678" s="44" t="e">
        <f aca="false">IF(AB678=1,(X678-G$1030)^2,0)</f>
        <v>#N/A</v>
      </c>
      <c r="AG678" s="44" t="e">
        <f aca="false">IF(AC678=1,(Y678-H$1030)^2,0)</f>
        <v>#N/A</v>
      </c>
      <c r="AH678" s="44" t="e">
        <f aca="false">IF(AD678=1,(Z678-I$1030)^2,0)</f>
        <v>#N/A</v>
      </c>
      <c r="AI678" s="44" t="e">
        <f aca="false">IF(AE678=1,(AA678-J$1030)^2,0)</f>
        <v>#N/A</v>
      </c>
    </row>
    <row r="679" customFormat="false" ht="12" hidden="false" customHeight="false" outlineLevel="0" collapsed="false">
      <c r="A679" s="29" t="n">
        <v>662</v>
      </c>
      <c r="B679" s="45" t="n">
        <f aca="true">IF(RAND()&lt;$D$8,1,0)</f>
        <v>1</v>
      </c>
      <c r="C679" s="34" t="n">
        <f aca="true">-LN(RAND())/$D$2</f>
        <v>0.516394139188102</v>
      </c>
      <c r="D679" s="46" t="n">
        <f aca="false">D678+C679</f>
        <v>1032.62051888732</v>
      </c>
      <c r="E679" s="47" t="e">
        <f aca="false">MAX($D$3,(1+P678-VLOOKUP(VALUE(D679),$J$18:$Q678,7,TRUE()))*$D$3)</f>
        <v>#N/A</v>
      </c>
      <c r="F679" s="47" t="e">
        <f aca="false">MAX($D$4,(1+Q678-VLOOKUP(VALUE(D679),$M$18:$Q678,5,TRUE()))*$D$4)</f>
        <v>#N/A</v>
      </c>
      <c r="G679" s="48" t="n">
        <v>0.5</v>
      </c>
      <c r="H679" s="46" t="e">
        <f aca="true">IF((B679=1),(IF((F679&lt;E679),1,(IF((F679=E679),(IF(RAND()&lt;G679,1,0)),0)))),(IF((RAND()&lt;G679),1,0)))</f>
        <v>#N/A</v>
      </c>
      <c r="I679" s="46" t="e">
        <f aca="true">IF((H679=1),0,$D$3+$D$5*(RAND()-0.5))</f>
        <v>#N/A</v>
      </c>
      <c r="J679" s="46" t="e">
        <f aca="false">I679+MAX(D679,J678)</f>
        <v>#N/A</v>
      </c>
      <c r="K679" s="46" t="e">
        <f aca="false">IF((H679=0),J679-D679,0)</f>
        <v>#N/A</v>
      </c>
      <c r="L679" s="46" t="e">
        <f aca="true">IF(($H679=0),0,$D$4+$D$5*(RAND()-0.5))</f>
        <v>#N/A</v>
      </c>
      <c r="M679" s="46" t="e">
        <f aca="false">L679+MAX(D679,M678)</f>
        <v>#N/A</v>
      </c>
      <c r="N679" s="46" t="e">
        <f aca="false">IF((H679=1),M679-D679,0)</f>
        <v>#N/A</v>
      </c>
      <c r="O679" s="29" t="n">
        <v>662</v>
      </c>
      <c r="P679" s="49" t="e">
        <f aca="false">IF((Arterial=0),P678+1,P678)</f>
        <v>#N/A</v>
      </c>
      <c r="Q679" s="49" t="e">
        <f aca="false">IF((Arterial=1),Q678+1,Q678)</f>
        <v>#N/A</v>
      </c>
      <c r="R679" s="50" t="n">
        <f aca="false">IF((RESET=1),0,R679+K679)</f>
        <v>0</v>
      </c>
      <c r="S679" s="19" t="n">
        <f aca="false">IF(RESET=1,0,S679+N679)</f>
        <v>0</v>
      </c>
      <c r="T679" s="0" t="n">
        <f aca="false">IF(RESET=1,0,T679+IF(H679=0,1,0))</f>
        <v>0</v>
      </c>
      <c r="U679" s="0" t="n">
        <f aca="false">IF(RESET=1,0,U679+H679)</f>
        <v>0</v>
      </c>
      <c r="V679" s="19" t="n">
        <f aca="false">R679/(T679+0.00001)</f>
        <v>0</v>
      </c>
      <c r="W679" s="19" t="n">
        <f aca="false">S679/(U679+0.0001)</f>
        <v>0</v>
      </c>
      <c r="X679" s="47" t="e">
        <f aca="false">IF(Informed=1,K679,0)</f>
        <v>#N/A</v>
      </c>
      <c r="Y679" s="47" t="n">
        <f aca="false">IF(Informed=0,K679,0)</f>
        <v>0</v>
      </c>
      <c r="Z679" s="47" t="e">
        <f aca="false">IF(Informed=1,N679,0)</f>
        <v>#N/A</v>
      </c>
      <c r="AA679" s="47" t="n">
        <f aca="false">IF(Informed=0,N679,0)</f>
        <v>0</v>
      </c>
      <c r="AB679" s="51" t="e">
        <f aca="false">IF(Arterial=0,IF(Informed=1,1,0),0)</f>
        <v>#N/A</v>
      </c>
      <c r="AC679" s="51" t="e">
        <f aca="false">IF(Arterial=0,IF(Informed=0,1,0),0)</f>
        <v>#N/A</v>
      </c>
      <c r="AD679" s="51" t="e">
        <f aca="false">IF(Arterial=1,IF(Informed=1,1,0),0)</f>
        <v>#N/A</v>
      </c>
      <c r="AE679" s="51" t="e">
        <f aca="false">IF(Arterial=1,IF(Informed=0,1,0),0)</f>
        <v>#N/A</v>
      </c>
      <c r="AF679" s="44" t="e">
        <f aca="false">IF(AB679=1,(X679-G$1030)^2,0)</f>
        <v>#N/A</v>
      </c>
      <c r="AG679" s="44" t="e">
        <f aca="false">IF(AC679=1,(Y679-H$1030)^2,0)</f>
        <v>#N/A</v>
      </c>
      <c r="AH679" s="44" t="e">
        <f aca="false">IF(AD679=1,(Z679-I$1030)^2,0)</f>
        <v>#N/A</v>
      </c>
      <c r="AI679" s="44" t="e">
        <f aca="false">IF(AE679=1,(AA679-J$1030)^2,0)</f>
        <v>#N/A</v>
      </c>
    </row>
    <row r="680" customFormat="false" ht="12" hidden="false" customHeight="false" outlineLevel="0" collapsed="false">
      <c r="A680" s="29" t="n">
        <v>663</v>
      </c>
      <c r="B680" s="45" t="n">
        <f aca="true">IF(RAND()&lt;$D$8,1,0)</f>
        <v>1</v>
      </c>
      <c r="C680" s="34" t="n">
        <f aca="true">-LN(RAND())/$D$2</f>
        <v>2.77849470988122</v>
      </c>
      <c r="D680" s="46" t="n">
        <f aca="false">D679+C680</f>
        <v>1035.3990135972</v>
      </c>
      <c r="E680" s="47" t="e">
        <f aca="false">MAX($D$3,(1+P679-VLOOKUP(VALUE(D680),$J$18:$Q679,7,TRUE()))*$D$3)</f>
        <v>#N/A</v>
      </c>
      <c r="F680" s="47" t="e">
        <f aca="false">MAX($D$4,(1+Q679-VLOOKUP(VALUE(D680),$M$18:$Q679,5,TRUE()))*$D$4)</f>
        <v>#N/A</v>
      </c>
      <c r="G680" s="48" t="n">
        <v>0.5</v>
      </c>
      <c r="H680" s="46" t="e">
        <f aca="true">IF((B680=1),(IF((F680&lt;E680),1,(IF((F680=E680),(IF(RAND()&lt;G680,1,0)),0)))),(IF((RAND()&lt;G680),1,0)))</f>
        <v>#N/A</v>
      </c>
      <c r="I680" s="46" t="e">
        <f aca="true">IF((H680=1),0,$D$3+$D$5*(RAND()-0.5))</f>
        <v>#N/A</v>
      </c>
      <c r="J680" s="46" t="e">
        <f aca="false">I680+MAX(D680,J679)</f>
        <v>#N/A</v>
      </c>
      <c r="K680" s="46" t="e">
        <f aca="false">IF((H680=0),J680-D680,0)</f>
        <v>#N/A</v>
      </c>
      <c r="L680" s="46" t="e">
        <f aca="true">IF(($H680=0),0,$D$4+$D$5*(RAND()-0.5))</f>
        <v>#N/A</v>
      </c>
      <c r="M680" s="46" t="e">
        <f aca="false">L680+MAX(D680,M679)</f>
        <v>#N/A</v>
      </c>
      <c r="N680" s="46" t="e">
        <f aca="false">IF((H680=1),M680-D680,0)</f>
        <v>#N/A</v>
      </c>
      <c r="O680" s="29" t="n">
        <v>663</v>
      </c>
      <c r="P680" s="49" t="e">
        <f aca="false">IF((Arterial=0),P679+1,P679)</f>
        <v>#N/A</v>
      </c>
      <c r="Q680" s="49" t="e">
        <f aca="false">IF((Arterial=1),Q679+1,Q679)</f>
        <v>#N/A</v>
      </c>
      <c r="R680" s="50" t="n">
        <f aca="false">IF((RESET=1),0,R680+K680)</f>
        <v>0</v>
      </c>
      <c r="S680" s="19" t="n">
        <f aca="false">IF(RESET=1,0,S680+N680)</f>
        <v>0</v>
      </c>
      <c r="T680" s="0" t="n">
        <f aca="false">IF(RESET=1,0,T680+IF(H680=0,1,0))</f>
        <v>0</v>
      </c>
      <c r="U680" s="0" t="n">
        <f aca="false">IF(RESET=1,0,U680+H680)</f>
        <v>0</v>
      </c>
      <c r="V680" s="19" t="n">
        <f aca="false">R680/(T680+0.00001)</f>
        <v>0</v>
      </c>
      <c r="W680" s="19" t="n">
        <f aca="false">S680/(U680+0.0001)</f>
        <v>0</v>
      </c>
      <c r="X680" s="47" t="e">
        <f aca="false">IF(Informed=1,K680,0)</f>
        <v>#N/A</v>
      </c>
      <c r="Y680" s="47" t="n">
        <f aca="false">IF(Informed=0,K680,0)</f>
        <v>0</v>
      </c>
      <c r="Z680" s="47" t="e">
        <f aca="false">IF(Informed=1,N680,0)</f>
        <v>#N/A</v>
      </c>
      <c r="AA680" s="47" t="n">
        <f aca="false">IF(Informed=0,N680,0)</f>
        <v>0</v>
      </c>
      <c r="AB680" s="51" t="e">
        <f aca="false">IF(Arterial=0,IF(Informed=1,1,0),0)</f>
        <v>#N/A</v>
      </c>
      <c r="AC680" s="51" t="e">
        <f aca="false">IF(Arterial=0,IF(Informed=0,1,0),0)</f>
        <v>#N/A</v>
      </c>
      <c r="AD680" s="51" t="e">
        <f aca="false">IF(Arterial=1,IF(Informed=1,1,0),0)</f>
        <v>#N/A</v>
      </c>
      <c r="AE680" s="51" t="e">
        <f aca="false">IF(Arterial=1,IF(Informed=0,1,0),0)</f>
        <v>#N/A</v>
      </c>
      <c r="AF680" s="44" t="e">
        <f aca="false">IF(AB680=1,(X680-G$1030)^2,0)</f>
        <v>#N/A</v>
      </c>
      <c r="AG680" s="44" t="e">
        <f aca="false">IF(AC680=1,(Y680-H$1030)^2,0)</f>
        <v>#N/A</v>
      </c>
      <c r="AH680" s="44" t="e">
        <f aca="false">IF(AD680=1,(Z680-I$1030)^2,0)</f>
        <v>#N/A</v>
      </c>
      <c r="AI680" s="44" t="e">
        <f aca="false">IF(AE680=1,(AA680-J$1030)^2,0)</f>
        <v>#N/A</v>
      </c>
    </row>
    <row r="681" customFormat="false" ht="12" hidden="false" customHeight="false" outlineLevel="0" collapsed="false">
      <c r="A681" s="29" t="n">
        <v>664</v>
      </c>
      <c r="B681" s="45" t="n">
        <f aca="true">IF(RAND()&lt;$D$8,1,0)</f>
        <v>1</v>
      </c>
      <c r="C681" s="34" t="n">
        <f aca="true">-LN(RAND())/$D$2</f>
        <v>0.468979890440454</v>
      </c>
      <c r="D681" s="46" t="n">
        <f aca="false">D680+C681</f>
        <v>1035.86799348764</v>
      </c>
      <c r="E681" s="47" t="e">
        <f aca="false">MAX($D$3,(1+P680-VLOOKUP(VALUE(D681),$J$18:$Q680,7,TRUE()))*$D$3)</f>
        <v>#N/A</v>
      </c>
      <c r="F681" s="47" t="e">
        <f aca="false">MAX($D$4,(1+Q680-VLOOKUP(VALUE(D681),$M$18:$Q680,5,TRUE()))*$D$4)</f>
        <v>#N/A</v>
      </c>
      <c r="G681" s="48" t="n">
        <v>0.5</v>
      </c>
      <c r="H681" s="46" t="e">
        <f aca="true">IF((B681=1),(IF((F681&lt;E681),1,(IF((F681=E681),(IF(RAND()&lt;G681,1,0)),0)))),(IF((RAND()&lt;G681),1,0)))</f>
        <v>#N/A</v>
      </c>
      <c r="I681" s="46" t="e">
        <f aca="true">IF((H681=1),0,$D$3+$D$5*(RAND()-0.5))</f>
        <v>#N/A</v>
      </c>
      <c r="J681" s="46" t="e">
        <f aca="false">I681+MAX(D681,J680)</f>
        <v>#N/A</v>
      </c>
      <c r="K681" s="46" t="e">
        <f aca="false">IF((H681=0),J681-D681,0)</f>
        <v>#N/A</v>
      </c>
      <c r="L681" s="46" t="e">
        <f aca="true">IF(($H681=0),0,$D$4+$D$5*(RAND()-0.5))</f>
        <v>#N/A</v>
      </c>
      <c r="M681" s="46" t="e">
        <f aca="false">L681+MAX(D681,M680)</f>
        <v>#N/A</v>
      </c>
      <c r="N681" s="46" t="e">
        <f aca="false">IF((H681=1),M681-D681,0)</f>
        <v>#N/A</v>
      </c>
      <c r="O681" s="29" t="n">
        <v>664</v>
      </c>
      <c r="P681" s="49" t="e">
        <f aca="false">IF((Arterial=0),P680+1,P680)</f>
        <v>#N/A</v>
      </c>
      <c r="Q681" s="49" t="e">
        <f aca="false">IF((Arterial=1),Q680+1,Q680)</f>
        <v>#N/A</v>
      </c>
      <c r="R681" s="50" t="n">
        <f aca="false">IF((RESET=1),0,R681+K681)</f>
        <v>0</v>
      </c>
      <c r="S681" s="19" t="n">
        <f aca="false">IF(RESET=1,0,S681+N681)</f>
        <v>0</v>
      </c>
      <c r="T681" s="0" t="n">
        <f aca="false">IF(RESET=1,0,T681+IF(H681=0,1,0))</f>
        <v>0</v>
      </c>
      <c r="U681" s="0" t="n">
        <f aca="false">IF(RESET=1,0,U681+H681)</f>
        <v>0</v>
      </c>
      <c r="V681" s="19" t="n">
        <f aca="false">R681/(T681+0.00001)</f>
        <v>0</v>
      </c>
      <c r="W681" s="19" t="n">
        <f aca="false">S681/(U681+0.0001)</f>
        <v>0</v>
      </c>
      <c r="X681" s="47" t="e">
        <f aca="false">IF(Informed=1,K681,0)</f>
        <v>#N/A</v>
      </c>
      <c r="Y681" s="47" t="n">
        <f aca="false">IF(Informed=0,K681,0)</f>
        <v>0</v>
      </c>
      <c r="Z681" s="47" t="e">
        <f aca="false">IF(Informed=1,N681,0)</f>
        <v>#N/A</v>
      </c>
      <c r="AA681" s="47" t="n">
        <f aca="false">IF(Informed=0,N681,0)</f>
        <v>0</v>
      </c>
      <c r="AB681" s="51" t="e">
        <f aca="false">IF(Arterial=0,IF(Informed=1,1,0),0)</f>
        <v>#N/A</v>
      </c>
      <c r="AC681" s="51" t="e">
        <f aca="false">IF(Arterial=0,IF(Informed=0,1,0),0)</f>
        <v>#N/A</v>
      </c>
      <c r="AD681" s="51" t="e">
        <f aca="false">IF(Arterial=1,IF(Informed=1,1,0),0)</f>
        <v>#N/A</v>
      </c>
      <c r="AE681" s="51" t="e">
        <f aca="false">IF(Arterial=1,IF(Informed=0,1,0),0)</f>
        <v>#N/A</v>
      </c>
      <c r="AF681" s="44" t="e">
        <f aca="false">IF(AB681=1,(X681-G$1030)^2,0)</f>
        <v>#N/A</v>
      </c>
      <c r="AG681" s="44" t="e">
        <f aca="false">IF(AC681=1,(Y681-H$1030)^2,0)</f>
        <v>#N/A</v>
      </c>
      <c r="AH681" s="44" t="e">
        <f aca="false">IF(AD681=1,(Z681-I$1030)^2,0)</f>
        <v>#N/A</v>
      </c>
      <c r="AI681" s="44" t="e">
        <f aca="false">IF(AE681=1,(AA681-J$1030)^2,0)</f>
        <v>#N/A</v>
      </c>
    </row>
    <row r="682" customFormat="false" ht="12" hidden="false" customHeight="false" outlineLevel="0" collapsed="false">
      <c r="A682" s="29" t="n">
        <v>665</v>
      </c>
      <c r="B682" s="45" t="n">
        <f aca="true">IF(RAND()&lt;$D$8,1,0)</f>
        <v>1</v>
      </c>
      <c r="C682" s="34" t="n">
        <f aca="true">-LN(RAND())/$D$2</f>
        <v>0.0103945681312906</v>
      </c>
      <c r="D682" s="46" t="n">
        <f aca="false">D681+C682</f>
        <v>1035.87838805577</v>
      </c>
      <c r="E682" s="47" t="e">
        <f aca="false">MAX($D$3,(1+P681-VLOOKUP(VALUE(D682),$J$18:$Q681,7,TRUE()))*$D$3)</f>
        <v>#N/A</v>
      </c>
      <c r="F682" s="47" t="e">
        <f aca="false">MAX($D$4,(1+Q681-VLOOKUP(VALUE(D682),$M$18:$Q681,5,TRUE()))*$D$4)</f>
        <v>#N/A</v>
      </c>
      <c r="G682" s="48" t="n">
        <v>0.5</v>
      </c>
      <c r="H682" s="46" t="e">
        <f aca="true">IF((B682=1),(IF((F682&lt;E682),1,(IF((F682=E682),(IF(RAND()&lt;G682,1,0)),0)))),(IF((RAND()&lt;G682),1,0)))</f>
        <v>#N/A</v>
      </c>
      <c r="I682" s="46" t="e">
        <f aca="true">IF((H682=1),0,$D$3+$D$5*(RAND()-0.5))</f>
        <v>#N/A</v>
      </c>
      <c r="J682" s="46" t="e">
        <f aca="false">I682+MAX(D682,J681)</f>
        <v>#N/A</v>
      </c>
      <c r="K682" s="46" t="e">
        <f aca="false">IF((H682=0),J682-D682,0)</f>
        <v>#N/A</v>
      </c>
      <c r="L682" s="46" t="e">
        <f aca="true">IF(($H682=0),0,$D$4+$D$5*(RAND()-0.5))</f>
        <v>#N/A</v>
      </c>
      <c r="M682" s="46" t="e">
        <f aca="false">L682+MAX(D682,M681)</f>
        <v>#N/A</v>
      </c>
      <c r="N682" s="46" t="e">
        <f aca="false">IF((H682=1),M682-D682,0)</f>
        <v>#N/A</v>
      </c>
      <c r="O682" s="29" t="n">
        <v>665</v>
      </c>
      <c r="P682" s="49" t="e">
        <f aca="false">IF((Arterial=0),P681+1,P681)</f>
        <v>#N/A</v>
      </c>
      <c r="Q682" s="49" t="e">
        <f aca="false">IF((Arterial=1),Q681+1,Q681)</f>
        <v>#N/A</v>
      </c>
      <c r="R682" s="50" t="n">
        <f aca="false">IF((RESET=1),0,R682+K682)</f>
        <v>0</v>
      </c>
      <c r="S682" s="19" t="n">
        <f aca="false">IF(RESET=1,0,S682+N682)</f>
        <v>0</v>
      </c>
      <c r="T682" s="0" t="n">
        <f aca="false">IF(RESET=1,0,T682+IF(H682=0,1,0))</f>
        <v>0</v>
      </c>
      <c r="U682" s="0" t="n">
        <f aca="false">IF(RESET=1,0,U682+H682)</f>
        <v>0</v>
      </c>
      <c r="V682" s="19" t="n">
        <f aca="false">R682/(T682+0.00001)</f>
        <v>0</v>
      </c>
      <c r="W682" s="19" t="n">
        <f aca="false">S682/(U682+0.0001)</f>
        <v>0</v>
      </c>
      <c r="X682" s="47" t="e">
        <f aca="false">IF(Informed=1,K682,0)</f>
        <v>#N/A</v>
      </c>
      <c r="Y682" s="47" t="n">
        <f aca="false">IF(Informed=0,K682,0)</f>
        <v>0</v>
      </c>
      <c r="Z682" s="47" t="e">
        <f aca="false">IF(Informed=1,N682,0)</f>
        <v>#N/A</v>
      </c>
      <c r="AA682" s="47" t="n">
        <f aca="false">IF(Informed=0,N682,0)</f>
        <v>0</v>
      </c>
      <c r="AB682" s="51" t="e">
        <f aca="false">IF(Arterial=0,IF(Informed=1,1,0),0)</f>
        <v>#N/A</v>
      </c>
      <c r="AC682" s="51" t="e">
        <f aca="false">IF(Arterial=0,IF(Informed=0,1,0),0)</f>
        <v>#N/A</v>
      </c>
      <c r="AD682" s="51" t="e">
        <f aca="false">IF(Arterial=1,IF(Informed=1,1,0),0)</f>
        <v>#N/A</v>
      </c>
      <c r="AE682" s="51" t="e">
        <f aca="false">IF(Arterial=1,IF(Informed=0,1,0),0)</f>
        <v>#N/A</v>
      </c>
      <c r="AF682" s="44" t="e">
        <f aca="false">IF(AB682=1,(X682-G$1030)^2,0)</f>
        <v>#N/A</v>
      </c>
      <c r="AG682" s="44" t="e">
        <f aca="false">IF(AC682=1,(Y682-H$1030)^2,0)</f>
        <v>#N/A</v>
      </c>
      <c r="AH682" s="44" t="e">
        <f aca="false">IF(AD682=1,(Z682-I$1030)^2,0)</f>
        <v>#N/A</v>
      </c>
      <c r="AI682" s="44" t="e">
        <f aca="false">IF(AE682=1,(AA682-J$1030)^2,0)</f>
        <v>#N/A</v>
      </c>
    </row>
    <row r="683" customFormat="false" ht="12" hidden="false" customHeight="false" outlineLevel="0" collapsed="false">
      <c r="A683" s="29" t="n">
        <v>666</v>
      </c>
      <c r="B683" s="45" t="n">
        <f aca="true">IF(RAND()&lt;$D$8,1,0)</f>
        <v>1</v>
      </c>
      <c r="C683" s="34" t="n">
        <f aca="true">-LN(RAND())/$D$2</f>
        <v>0.651236193598399</v>
      </c>
      <c r="D683" s="46" t="n">
        <f aca="false">D682+C683</f>
        <v>1036.52962424937</v>
      </c>
      <c r="E683" s="47" t="e">
        <f aca="false">MAX($D$3,(1+P682-VLOOKUP(VALUE(D683),$J$18:$Q682,7,TRUE()))*$D$3)</f>
        <v>#N/A</v>
      </c>
      <c r="F683" s="47" t="e">
        <f aca="false">MAX($D$4,(1+Q682-VLOOKUP(VALUE(D683),$M$18:$Q682,5,TRUE()))*$D$4)</f>
        <v>#N/A</v>
      </c>
      <c r="G683" s="48" t="n">
        <v>0.5</v>
      </c>
      <c r="H683" s="46" t="e">
        <f aca="true">IF((B683=1),(IF((F683&lt;E683),1,(IF((F683=E683),(IF(RAND()&lt;G683,1,0)),0)))),(IF((RAND()&lt;G683),1,0)))</f>
        <v>#N/A</v>
      </c>
      <c r="I683" s="46" t="e">
        <f aca="true">IF((H683=1),0,$D$3+$D$5*(RAND()-0.5))</f>
        <v>#N/A</v>
      </c>
      <c r="J683" s="46" t="e">
        <f aca="false">I683+MAX(D683,J682)</f>
        <v>#N/A</v>
      </c>
      <c r="K683" s="46" t="e">
        <f aca="false">IF((H683=0),J683-D683,0)</f>
        <v>#N/A</v>
      </c>
      <c r="L683" s="46" t="e">
        <f aca="true">IF(($H683=0),0,$D$4+$D$5*(RAND()-0.5))</f>
        <v>#N/A</v>
      </c>
      <c r="M683" s="46" t="e">
        <f aca="false">L683+MAX(D683,M682)</f>
        <v>#N/A</v>
      </c>
      <c r="N683" s="46" t="e">
        <f aca="false">IF((H683=1),M683-D683,0)</f>
        <v>#N/A</v>
      </c>
      <c r="O683" s="29" t="n">
        <v>666</v>
      </c>
      <c r="P683" s="49" t="e">
        <f aca="false">IF((Arterial=0),P682+1,P682)</f>
        <v>#N/A</v>
      </c>
      <c r="Q683" s="49" t="e">
        <f aca="false">IF((Arterial=1),Q682+1,Q682)</f>
        <v>#N/A</v>
      </c>
      <c r="R683" s="50" t="n">
        <f aca="false">IF((RESET=1),0,R683+K683)</f>
        <v>0</v>
      </c>
      <c r="S683" s="19" t="n">
        <f aca="false">IF(RESET=1,0,S683+N683)</f>
        <v>0</v>
      </c>
      <c r="T683" s="0" t="n">
        <f aca="false">IF(RESET=1,0,T683+IF(H683=0,1,0))</f>
        <v>0</v>
      </c>
      <c r="U683" s="0" t="n">
        <f aca="false">IF(RESET=1,0,U683+H683)</f>
        <v>0</v>
      </c>
      <c r="V683" s="19" t="n">
        <f aca="false">R683/(T683+0.00001)</f>
        <v>0</v>
      </c>
      <c r="W683" s="19" t="n">
        <f aca="false">S683/(U683+0.0001)</f>
        <v>0</v>
      </c>
      <c r="X683" s="47" t="e">
        <f aca="false">IF(Informed=1,K683,0)</f>
        <v>#N/A</v>
      </c>
      <c r="Y683" s="47" t="n">
        <f aca="false">IF(Informed=0,K683,0)</f>
        <v>0</v>
      </c>
      <c r="Z683" s="47" t="e">
        <f aca="false">IF(Informed=1,N683,0)</f>
        <v>#N/A</v>
      </c>
      <c r="AA683" s="47" t="n">
        <f aca="false">IF(Informed=0,N683,0)</f>
        <v>0</v>
      </c>
      <c r="AB683" s="51" t="e">
        <f aca="false">IF(Arterial=0,IF(Informed=1,1,0),0)</f>
        <v>#N/A</v>
      </c>
      <c r="AC683" s="51" t="e">
        <f aca="false">IF(Arterial=0,IF(Informed=0,1,0),0)</f>
        <v>#N/A</v>
      </c>
      <c r="AD683" s="51" t="e">
        <f aca="false">IF(Arterial=1,IF(Informed=1,1,0),0)</f>
        <v>#N/A</v>
      </c>
      <c r="AE683" s="51" t="e">
        <f aca="false">IF(Arterial=1,IF(Informed=0,1,0),0)</f>
        <v>#N/A</v>
      </c>
      <c r="AF683" s="44" t="e">
        <f aca="false">IF(AB683=1,(X683-G$1030)^2,0)</f>
        <v>#N/A</v>
      </c>
      <c r="AG683" s="44" t="e">
        <f aca="false">IF(AC683=1,(Y683-H$1030)^2,0)</f>
        <v>#N/A</v>
      </c>
      <c r="AH683" s="44" t="e">
        <f aca="false">IF(AD683=1,(Z683-I$1030)^2,0)</f>
        <v>#N/A</v>
      </c>
      <c r="AI683" s="44" t="e">
        <f aca="false">IF(AE683=1,(AA683-J$1030)^2,0)</f>
        <v>#N/A</v>
      </c>
    </row>
    <row r="684" customFormat="false" ht="12" hidden="false" customHeight="false" outlineLevel="0" collapsed="false">
      <c r="A684" s="29" t="n">
        <v>667</v>
      </c>
      <c r="B684" s="45" t="n">
        <f aca="true">IF(RAND()&lt;$D$8,1,0)</f>
        <v>1</v>
      </c>
      <c r="C684" s="34" t="n">
        <f aca="true">-LN(RAND())/$D$2</f>
        <v>4.20272957553001</v>
      </c>
      <c r="D684" s="46" t="n">
        <f aca="false">D683+C684</f>
        <v>1040.7323538249</v>
      </c>
      <c r="E684" s="47" t="e">
        <f aca="false">MAX($D$3,(1+P683-VLOOKUP(VALUE(D684),$J$18:$Q683,7,TRUE()))*$D$3)</f>
        <v>#N/A</v>
      </c>
      <c r="F684" s="47" t="e">
        <f aca="false">MAX($D$4,(1+Q683-VLOOKUP(VALUE(D684),$M$18:$Q683,5,TRUE()))*$D$4)</f>
        <v>#N/A</v>
      </c>
      <c r="G684" s="48" t="n">
        <v>0.5</v>
      </c>
      <c r="H684" s="46" t="e">
        <f aca="true">IF((B684=1),(IF((F684&lt;E684),1,(IF((F684=E684),(IF(RAND()&lt;G684,1,0)),0)))),(IF((RAND()&lt;G684),1,0)))</f>
        <v>#N/A</v>
      </c>
      <c r="I684" s="46" t="e">
        <f aca="true">IF((H684=1),0,$D$3+$D$5*(RAND()-0.5))</f>
        <v>#N/A</v>
      </c>
      <c r="J684" s="46" t="e">
        <f aca="false">I684+MAX(D684,J683)</f>
        <v>#N/A</v>
      </c>
      <c r="K684" s="46" t="e">
        <f aca="false">IF((H684=0),J684-D684,0)</f>
        <v>#N/A</v>
      </c>
      <c r="L684" s="46" t="e">
        <f aca="true">IF(($H684=0),0,$D$4+$D$5*(RAND()-0.5))</f>
        <v>#N/A</v>
      </c>
      <c r="M684" s="46" t="e">
        <f aca="false">L684+MAX(D684,M683)</f>
        <v>#N/A</v>
      </c>
      <c r="N684" s="46" t="e">
        <f aca="false">IF((H684=1),M684-D684,0)</f>
        <v>#N/A</v>
      </c>
      <c r="O684" s="29" t="n">
        <v>667</v>
      </c>
      <c r="P684" s="49" t="e">
        <f aca="false">IF((Arterial=0),P683+1,P683)</f>
        <v>#N/A</v>
      </c>
      <c r="Q684" s="49" t="e">
        <f aca="false">IF((Arterial=1),Q683+1,Q683)</f>
        <v>#N/A</v>
      </c>
      <c r="R684" s="50" t="n">
        <f aca="false">IF((RESET=1),0,R684+K684)</f>
        <v>0</v>
      </c>
      <c r="S684" s="19" t="n">
        <f aca="false">IF(RESET=1,0,S684+N684)</f>
        <v>0</v>
      </c>
      <c r="T684" s="0" t="n">
        <f aca="false">IF(RESET=1,0,T684+IF(H684=0,1,0))</f>
        <v>0</v>
      </c>
      <c r="U684" s="0" t="n">
        <f aca="false">IF(RESET=1,0,U684+H684)</f>
        <v>0</v>
      </c>
      <c r="V684" s="19" t="n">
        <f aca="false">R684/(T684+0.00001)</f>
        <v>0</v>
      </c>
      <c r="W684" s="19" t="n">
        <f aca="false">S684/(U684+0.0001)</f>
        <v>0</v>
      </c>
      <c r="X684" s="47" t="e">
        <f aca="false">IF(Informed=1,K684,0)</f>
        <v>#N/A</v>
      </c>
      <c r="Y684" s="47" t="n">
        <f aca="false">IF(Informed=0,K684,0)</f>
        <v>0</v>
      </c>
      <c r="Z684" s="47" t="e">
        <f aca="false">IF(Informed=1,N684,0)</f>
        <v>#N/A</v>
      </c>
      <c r="AA684" s="47" t="n">
        <f aca="false">IF(Informed=0,N684,0)</f>
        <v>0</v>
      </c>
      <c r="AB684" s="51" t="e">
        <f aca="false">IF(Arterial=0,IF(Informed=1,1,0),0)</f>
        <v>#N/A</v>
      </c>
      <c r="AC684" s="51" t="e">
        <f aca="false">IF(Arterial=0,IF(Informed=0,1,0),0)</f>
        <v>#N/A</v>
      </c>
      <c r="AD684" s="51" t="e">
        <f aca="false">IF(Arterial=1,IF(Informed=1,1,0),0)</f>
        <v>#N/A</v>
      </c>
      <c r="AE684" s="51" t="e">
        <f aca="false">IF(Arterial=1,IF(Informed=0,1,0),0)</f>
        <v>#N/A</v>
      </c>
      <c r="AF684" s="44" t="e">
        <f aca="false">IF(AB684=1,(X684-G$1030)^2,0)</f>
        <v>#N/A</v>
      </c>
      <c r="AG684" s="44" t="e">
        <f aca="false">IF(AC684=1,(Y684-H$1030)^2,0)</f>
        <v>#N/A</v>
      </c>
      <c r="AH684" s="44" t="e">
        <f aca="false">IF(AD684=1,(Z684-I$1030)^2,0)</f>
        <v>#N/A</v>
      </c>
      <c r="AI684" s="44" t="e">
        <f aca="false">IF(AE684=1,(AA684-J$1030)^2,0)</f>
        <v>#N/A</v>
      </c>
    </row>
    <row r="685" customFormat="false" ht="12" hidden="false" customHeight="false" outlineLevel="0" collapsed="false">
      <c r="A685" s="29" t="n">
        <v>668</v>
      </c>
      <c r="B685" s="45" t="n">
        <f aca="true">IF(RAND()&lt;$D$8,1,0)</f>
        <v>1</v>
      </c>
      <c r="C685" s="34" t="n">
        <f aca="true">-LN(RAND())/$D$2</f>
        <v>2.90331999784862</v>
      </c>
      <c r="D685" s="46" t="n">
        <f aca="false">D684+C685</f>
        <v>1043.63567382275</v>
      </c>
      <c r="E685" s="47" t="e">
        <f aca="false">MAX($D$3,(1+P684-VLOOKUP(VALUE(D685),$J$18:$Q684,7,TRUE()))*$D$3)</f>
        <v>#N/A</v>
      </c>
      <c r="F685" s="47" t="e">
        <f aca="false">MAX($D$4,(1+Q684-VLOOKUP(VALUE(D685),$M$18:$Q684,5,TRUE()))*$D$4)</f>
        <v>#N/A</v>
      </c>
      <c r="G685" s="48" t="n">
        <v>0.5</v>
      </c>
      <c r="H685" s="46" t="e">
        <f aca="true">IF((B685=1),(IF((F685&lt;E685),1,(IF((F685=E685),(IF(RAND()&lt;G685,1,0)),0)))),(IF((RAND()&lt;G685),1,0)))</f>
        <v>#N/A</v>
      </c>
      <c r="I685" s="46" t="e">
        <f aca="true">IF((H685=1),0,$D$3+$D$5*(RAND()-0.5))</f>
        <v>#N/A</v>
      </c>
      <c r="J685" s="46" t="e">
        <f aca="false">I685+MAX(D685,J684)</f>
        <v>#N/A</v>
      </c>
      <c r="K685" s="46" t="e">
        <f aca="false">IF((H685=0),J685-D685,0)</f>
        <v>#N/A</v>
      </c>
      <c r="L685" s="46" t="e">
        <f aca="true">IF(($H685=0),0,$D$4+$D$5*(RAND()-0.5))</f>
        <v>#N/A</v>
      </c>
      <c r="M685" s="46" t="e">
        <f aca="false">L685+MAX(D685,M684)</f>
        <v>#N/A</v>
      </c>
      <c r="N685" s="46" t="e">
        <f aca="false">IF((H685=1),M685-D685,0)</f>
        <v>#N/A</v>
      </c>
      <c r="O685" s="29" t="n">
        <v>668</v>
      </c>
      <c r="P685" s="49" t="e">
        <f aca="false">IF((Arterial=0),P684+1,P684)</f>
        <v>#N/A</v>
      </c>
      <c r="Q685" s="49" t="e">
        <f aca="false">IF((Arterial=1),Q684+1,Q684)</f>
        <v>#N/A</v>
      </c>
      <c r="R685" s="50" t="n">
        <f aca="false">IF((RESET=1),0,R685+K685)</f>
        <v>0</v>
      </c>
      <c r="S685" s="19" t="n">
        <f aca="false">IF(RESET=1,0,S685+N685)</f>
        <v>0</v>
      </c>
      <c r="T685" s="0" t="n">
        <f aca="false">IF(RESET=1,0,T685+IF(H685=0,1,0))</f>
        <v>0</v>
      </c>
      <c r="U685" s="0" t="n">
        <f aca="false">IF(RESET=1,0,U685+H685)</f>
        <v>0</v>
      </c>
      <c r="V685" s="19" t="n">
        <f aca="false">R685/(T685+0.00001)</f>
        <v>0</v>
      </c>
      <c r="W685" s="19" t="n">
        <f aca="false">S685/(U685+0.0001)</f>
        <v>0</v>
      </c>
      <c r="X685" s="47" t="e">
        <f aca="false">IF(Informed=1,K685,0)</f>
        <v>#N/A</v>
      </c>
      <c r="Y685" s="47" t="n">
        <f aca="false">IF(Informed=0,K685,0)</f>
        <v>0</v>
      </c>
      <c r="Z685" s="47" t="e">
        <f aca="false">IF(Informed=1,N685,0)</f>
        <v>#N/A</v>
      </c>
      <c r="AA685" s="47" t="n">
        <f aca="false">IF(Informed=0,N685,0)</f>
        <v>0</v>
      </c>
      <c r="AB685" s="51" t="e">
        <f aca="false">IF(Arterial=0,IF(Informed=1,1,0),0)</f>
        <v>#N/A</v>
      </c>
      <c r="AC685" s="51" t="e">
        <f aca="false">IF(Arterial=0,IF(Informed=0,1,0),0)</f>
        <v>#N/A</v>
      </c>
      <c r="AD685" s="51" t="e">
        <f aca="false">IF(Arterial=1,IF(Informed=1,1,0),0)</f>
        <v>#N/A</v>
      </c>
      <c r="AE685" s="51" t="e">
        <f aca="false">IF(Arterial=1,IF(Informed=0,1,0),0)</f>
        <v>#N/A</v>
      </c>
      <c r="AF685" s="44" t="e">
        <f aca="false">IF(AB685=1,(X685-G$1030)^2,0)</f>
        <v>#N/A</v>
      </c>
      <c r="AG685" s="44" t="e">
        <f aca="false">IF(AC685=1,(Y685-H$1030)^2,0)</f>
        <v>#N/A</v>
      </c>
      <c r="AH685" s="44" t="e">
        <f aca="false">IF(AD685=1,(Z685-I$1030)^2,0)</f>
        <v>#N/A</v>
      </c>
      <c r="AI685" s="44" t="e">
        <f aca="false">IF(AE685=1,(AA685-J$1030)^2,0)</f>
        <v>#N/A</v>
      </c>
    </row>
    <row r="686" customFormat="false" ht="12" hidden="false" customHeight="false" outlineLevel="0" collapsed="false">
      <c r="A686" s="29" t="n">
        <v>669</v>
      </c>
      <c r="B686" s="45" t="n">
        <f aca="true">IF(RAND()&lt;$D$8,1,0)</f>
        <v>1</v>
      </c>
      <c r="C686" s="34" t="n">
        <f aca="true">-LN(RAND())/$D$2</f>
        <v>3.0943207446326</v>
      </c>
      <c r="D686" s="46" t="n">
        <f aca="false">D685+C686</f>
        <v>1046.72999456738</v>
      </c>
      <c r="E686" s="47" t="e">
        <f aca="false">MAX($D$3,(1+P685-VLOOKUP(VALUE(D686),$J$18:$Q685,7,TRUE()))*$D$3)</f>
        <v>#N/A</v>
      </c>
      <c r="F686" s="47" t="e">
        <f aca="false">MAX($D$4,(1+Q685-VLOOKUP(VALUE(D686),$M$18:$Q685,5,TRUE()))*$D$4)</f>
        <v>#N/A</v>
      </c>
      <c r="G686" s="48" t="n">
        <v>0.5</v>
      </c>
      <c r="H686" s="46" t="e">
        <f aca="true">IF((B686=1),(IF((F686&lt;E686),1,(IF((F686=E686),(IF(RAND()&lt;G686,1,0)),0)))),(IF((RAND()&lt;G686),1,0)))</f>
        <v>#N/A</v>
      </c>
      <c r="I686" s="46" t="e">
        <f aca="true">IF((H686=1),0,$D$3+$D$5*(RAND()-0.5))</f>
        <v>#N/A</v>
      </c>
      <c r="J686" s="46" t="e">
        <f aca="false">I686+MAX(D686,J685)</f>
        <v>#N/A</v>
      </c>
      <c r="K686" s="46" t="e">
        <f aca="false">IF((H686=0),J686-D686,0)</f>
        <v>#N/A</v>
      </c>
      <c r="L686" s="46" t="e">
        <f aca="true">IF(($H686=0),0,$D$4+$D$5*(RAND()-0.5))</f>
        <v>#N/A</v>
      </c>
      <c r="M686" s="46" t="e">
        <f aca="false">L686+MAX(D686,M685)</f>
        <v>#N/A</v>
      </c>
      <c r="N686" s="46" t="e">
        <f aca="false">IF((H686=1),M686-D686,0)</f>
        <v>#N/A</v>
      </c>
      <c r="O686" s="29" t="n">
        <v>669</v>
      </c>
      <c r="P686" s="49" t="e">
        <f aca="false">IF((Arterial=0),P685+1,P685)</f>
        <v>#N/A</v>
      </c>
      <c r="Q686" s="49" t="e">
        <f aca="false">IF((Arterial=1),Q685+1,Q685)</f>
        <v>#N/A</v>
      </c>
      <c r="R686" s="50" t="n">
        <f aca="false">IF((RESET=1),0,R686+K686)</f>
        <v>0</v>
      </c>
      <c r="S686" s="19" t="n">
        <f aca="false">IF(RESET=1,0,S686+N686)</f>
        <v>0</v>
      </c>
      <c r="T686" s="0" t="n">
        <f aca="false">IF(RESET=1,0,T686+IF(H686=0,1,0))</f>
        <v>0</v>
      </c>
      <c r="U686" s="0" t="n">
        <f aca="false">IF(RESET=1,0,U686+H686)</f>
        <v>0</v>
      </c>
      <c r="V686" s="19" t="n">
        <f aca="false">R686/(T686+0.00001)</f>
        <v>0</v>
      </c>
      <c r="W686" s="19" t="n">
        <f aca="false">S686/(U686+0.0001)</f>
        <v>0</v>
      </c>
      <c r="X686" s="47" t="e">
        <f aca="false">IF(Informed=1,K686,0)</f>
        <v>#N/A</v>
      </c>
      <c r="Y686" s="47" t="n">
        <f aca="false">IF(Informed=0,K686,0)</f>
        <v>0</v>
      </c>
      <c r="Z686" s="47" t="e">
        <f aca="false">IF(Informed=1,N686,0)</f>
        <v>#N/A</v>
      </c>
      <c r="AA686" s="47" t="n">
        <f aca="false">IF(Informed=0,N686,0)</f>
        <v>0</v>
      </c>
      <c r="AB686" s="51" t="e">
        <f aca="false">IF(Arterial=0,IF(Informed=1,1,0),0)</f>
        <v>#N/A</v>
      </c>
      <c r="AC686" s="51" t="e">
        <f aca="false">IF(Arterial=0,IF(Informed=0,1,0),0)</f>
        <v>#N/A</v>
      </c>
      <c r="AD686" s="51" t="e">
        <f aca="false">IF(Arterial=1,IF(Informed=1,1,0),0)</f>
        <v>#N/A</v>
      </c>
      <c r="AE686" s="51" t="e">
        <f aca="false">IF(Arterial=1,IF(Informed=0,1,0),0)</f>
        <v>#N/A</v>
      </c>
      <c r="AF686" s="44" t="e">
        <f aca="false">IF(AB686=1,(X686-G$1030)^2,0)</f>
        <v>#N/A</v>
      </c>
      <c r="AG686" s="44" t="e">
        <f aca="false">IF(AC686=1,(Y686-H$1030)^2,0)</f>
        <v>#N/A</v>
      </c>
      <c r="AH686" s="44" t="e">
        <f aca="false">IF(AD686=1,(Z686-I$1030)^2,0)</f>
        <v>#N/A</v>
      </c>
      <c r="AI686" s="44" t="e">
        <f aca="false">IF(AE686=1,(AA686-J$1030)^2,0)</f>
        <v>#N/A</v>
      </c>
    </row>
    <row r="687" customFormat="false" ht="12" hidden="false" customHeight="false" outlineLevel="0" collapsed="false">
      <c r="A687" s="29" t="n">
        <v>670</v>
      </c>
      <c r="B687" s="45" t="n">
        <f aca="true">IF(RAND()&lt;$D$8,1,0)</f>
        <v>1</v>
      </c>
      <c r="C687" s="34" t="n">
        <f aca="true">-LN(RAND())/$D$2</f>
        <v>1.33143134580833</v>
      </c>
      <c r="D687" s="46" t="n">
        <f aca="false">D686+C687</f>
        <v>1048.06142591319</v>
      </c>
      <c r="E687" s="47" t="e">
        <f aca="false">MAX($D$3,(1+P686-VLOOKUP(VALUE(D687),$J$18:$Q686,7,TRUE()))*$D$3)</f>
        <v>#N/A</v>
      </c>
      <c r="F687" s="47" t="e">
        <f aca="false">MAX($D$4,(1+Q686-VLOOKUP(VALUE(D687),$M$18:$Q686,5,TRUE()))*$D$4)</f>
        <v>#N/A</v>
      </c>
      <c r="G687" s="48" t="n">
        <v>0.5</v>
      </c>
      <c r="H687" s="46" t="e">
        <f aca="true">IF((B687=1),(IF((F687&lt;E687),1,(IF((F687=E687),(IF(RAND()&lt;G687,1,0)),0)))),(IF((RAND()&lt;G687),1,0)))</f>
        <v>#N/A</v>
      </c>
      <c r="I687" s="46" t="e">
        <f aca="true">IF((H687=1),0,$D$3+$D$5*(RAND()-0.5))</f>
        <v>#N/A</v>
      </c>
      <c r="J687" s="46" t="e">
        <f aca="false">I687+MAX(D687,J686)</f>
        <v>#N/A</v>
      </c>
      <c r="K687" s="46" t="e">
        <f aca="false">IF((H687=0),J687-D687,0)</f>
        <v>#N/A</v>
      </c>
      <c r="L687" s="46" t="e">
        <f aca="true">IF(($H687=0),0,$D$4+$D$5*(RAND()-0.5))</f>
        <v>#N/A</v>
      </c>
      <c r="M687" s="46" t="e">
        <f aca="false">L687+MAX(D687,M686)</f>
        <v>#N/A</v>
      </c>
      <c r="N687" s="46" t="e">
        <f aca="false">IF((H687=1),M687-D687,0)</f>
        <v>#N/A</v>
      </c>
      <c r="O687" s="29" t="n">
        <v>670</v>
      </c>
      <c r="P687" s="49" t="e">
        <f aca="false">IF((Arterial=0),P686+1,P686)</f>
        <v>#N/A</v>
      </c>
      <c r="Q687" s="49" t="e">
        <f aca="false">IF((Arterial=1),Q686+1,Q686)</f>
        <v>#N/A</v>
      </c>
      <c r="R687" s="50" t="n">
        <f aca="false">IF((RESET=1),0,R687+K687)</f>
        <v>0</v>
      </c>
      <c r="S687" s="19" t="n">
        <f aca="false">IF(RESET=1,0,S687+N687)</f>
        <v>0</v>
      </c>
      <c r="T687" s="0" t="n">
        <f aca="false">IF(RESET=1,0,T687+IF(H687=0,1,0))</f>
        <v>0</v>
      </c>
      <c r="U687" s="0" t="n">
        <f aca="false">IF(RESET=1,0,U687+H687)</f>
        <v>0</v>
      </c>
      <c r="V687" s="19" t="n">
        <f aca="false">R687/(T687+0.00001)</f>
        <v>0</v>
      </c>
      <c r="W687" s="19" t="n">
        <f aca="false">S687/(U687+0.0001)</f>
        <v>0</v>
      </c>
      <c r="X687" s="47" t="e">
        <f aca="false">IF(Informed=1,K687,0)</f>
        <v>#N/A</v>
      </c>
      <c r="Y687" s="47" t="n">
        <f aca="false">IF(Informed=0,K687,0)</f>
        <v>0</v>
      </c>
      <c r="Z687" s="47" t="e">
        <f aca="false">IF(Informed=1,N687,0)</f>
        <v>#N/A</v>
      </c>
      <c r="AA687" s="47" t="n">
        <f aca="false">IF(Informed=0,N687,0)</f>
        <v>0</v>
      </c>
      <c r="AB687" s="51" t="e">
        <f aca="false">IF(Arterial=0,IF(Informed=1,1,0),0)</f>
        <v>#N/A</v>
      </c>
      <c r="AC687" s="51" t="e">
        <f aca="false">IF(Arterial=0,IF(Informed=0,1,0),0)</f>
        <v>#N/A</v>
      </c>
      <c r="AD687" s="51" t="e">
        <f aca="false">IF(Arterial=1,IF(Informed=1,1,0),0)</f>
        <v>#N/A</v>
      </c>
      <c r="AE687" s="51" t="e">
        <f aca="false">IF(Arterial=1,IF(Informed=0,1,0),0)</f>
        <v>#N/A</v>
      </c>
      <c r="AF687" s="44" t="e">
        <f aca="false">IF(AB687=1,(X687-G$1030)^2,0)</f>
        <v>#N/A</v>
      </c>
      <c r="AG687" s="44" t="e">
        <f aca="false">IF(AC687=1,(Y687-H$1030)^2,0)</f>
        <v>#N/A</v>
      </c>
      <c r="AH687" s="44" t="e">
        <f aca="false">IF(AD687=1,(Z687-I$1030)^2,0)</f>
        <v>#N/A</v>
      </c>
      <c r="AI687" s="44" t="e">
        <f aca="false">IF(AE687=1,(AA687-J$1030)^2,0)</f>
        <v>#N/A</v>
      </c>
    </row>
    <row r="688" customFormat="false" ht="12" hidden="false" customHeight="false" outlineLevel="0" collapsed="false">
      <c r="A688" s="29" t="n">
        <v>671</v>
      </c>
      <c r="B688" s="45" t="n">
        <f aca="true">IF(RAND()&lt;$D$8,1,0)</f>
        <v>1</v>
      </c>
      <c r="C688" s="34" t="n">
        <f aca="true">-LN(RAND())/$D$2</f>
        <v>0.352753455196718</v>
      </c>
      <c r="D688" s="46" t="n">
        <f aca="false">D687+C688</f>
        <v>1048.41417936839</v>
      </c>
      <c r="E688" s="47" t="e">
        <f aca="false">MAX($D$3,(1+P687-VLOOKUP(VALUE(D688),$J$18:$Q687,7,TRUE()))*$D$3)</f>
        <v>#N/A</v>
      </c>
      <c r="F688" s="47" t="e">
        <f aca="false">MAX($D$4,(1+Q687-VLOOKUP(VALUE(D688),$M$18:$Q687,5,TRUE()))*$D$4)</f>
        <v>#N/A</v>
      </c>
      <c r="G688" s="48" t="n">
        <v>0.5</v>
      </c>
      <c r="H688" s="46" t="e">
        <f aca="true">IF((B688=1),(IF((F688&lt;E688),1,(IF((F688=E688),(IF(RAND()&lt;G688,1,0)),0)))),(IF((RAND()&lt;G688),1,0)))</f>
        <v>#N/A</v>
      </c>
      <c r="I688" s="46" t="e">
        <f aca="true">IF((H688=1),0,$D$3+$D$5*(RAND()-0.5))</f>
        <v>#N/A</v>
      </c>
      <c r="J688" s="46" t="e">
        <f aca="false">I688+MAX(D688,J687)</f>
        <v>#N/A</v>
      </c>
      <c r="K688" s="46" t="e">
        <f aca="false">IF((H688=0),J688-D688,0)</f>
        <v>#N/A</v>
      </c>
      <c r="L688" s="46" t="e">
        <f aca="true">IF(($H688=0),0,$D$4+$D$5*(RAND()-0.5))</f>
        <v>#N/A</v>
      </c>
      <c r="M688" s="46" t="e">
        <f aca="false">L688+MAX(D688,M687)</f>
        <v>#N/A</v>
      </c>
      <c r="N688" s="46" t="e">
        <f aca="false">IF((H688=1),M688-D688,0)</f>
        <v>#N/A</v>
      </c>
      <c r="O688" s="29" t="n">
        <v>671</v>
      </c>
      <c r="P688" s="49" t="e">
        <f aca="false">IF((Arterial=0),P687+1,P687)</f>
        <v>#N/A</v>
      </c>
      <c r="Q688" s="49" t="e">
        <f aca="false">IF((Arterial=1),Q687+1,Q687)</f>
        <v>#N/A</v>
      </c>
      <c r="R688" s="50" t="n">
        <f aca="false">IF((RESET=1),0,R688+K688)</f>
        <v>0</v>
      </c>
      <c r="S688" s="19" t="n">
        <f aca="false">IF(RESET=1,0,S688+N688)</f>
        <v>0</v>
      </c>
      <c r="T688" s="0" t="n">
        <f aca="false">IF(RESET=1,0,T688+IF(H688=0,1,0))</f>
        <v>0</v>
      </c>
      <c r="U688" s="0" t="n">
        <f aca="false">IF(RESET=1,0,U688+H688)</f>
        <v>0</v>
      </c>
      <c r="V688" s="19" t="n">
        <f aca="false">R688/(T688+0.00001)</f>
        <v>0</v>
      </c>
      <c r="W688" s="19" t="n">
        <f aca="false">S688/(U688+0.0001)</f>
        <v>0</v>
      </c>
      <c r="X688" s="47" t="e">
        <f aca="false">IF(Informed=1,K688,0)</f>
        <v>#N/A</v>
      </c>
      <c r="Y688" s="47" t="n">
        <f aca="false">IF(Informed=0,K688,0)</f>
        <v>0</v>
      </c>
      <c r="Z688" s="47" t="e">
        <f aca="false">IF(Informed=1,N688,0)</f>
        <v>#N/A</v>
      </c>
      <c r="AA688" s="47" t="n">
        <f aca="false">IF(Informed=0,N688,0)</f>
        <v>0</v>
      </c>
      <c r="AB688" s="51" t="e">
        <f aca="false">IF(Arterial=0,IF(Informed=1,1,0),0)</f>
        <v>#N/A</v>
      </c>
      <c r="AC688" s="51" t="e">
        <f aca="false">IF(Arterial=0,IF(Informed=0,1,0),0)</f>
        <v>#N/A</v>
      </c>
      <c r="AD688" s="51" t="e">
        <f aca="false">IF(Arterial=1,IF(Informed=1,1,0),0)</f>
        <v>#N/A</v>
      </c>
      <c r="AE688" s="51" t="e">
        <f aca="false">IF(Arterial=1,IF(Informed=0,1,0),0)</f>
        <v>#N/A</v>
      </c>
      <c r="AF688" s="44" t="e">
        <f aca="false">IF(AB688=1,(X688-G$1030)^2,0)</f>
        <v>#N/A</v>
      </c>
      <c r="AG688" s="44" t="e">
        <f aca="false">IF(AC688=1,(Y688-H$1030)^2,0)</f>
        <v>#N/A</v>
      </c>
      <c r="AH688" s="44" t="e">
        <f aca="false">IF(AD688=1,(Z688-I$1030)^2,0)</f>
        <v>#N/A</v>
      </c>
      <c r="AI688" s="44" t="e">
        <f aca="false">IF(AE688=1,(AA688-J$1030)^2,0)</f>
        <v>#N/A</v>
      </c>
    </row>
    <row r="689" customFormat="false" ht="12" hidden="false" customHeight="false" outlineLevel="0" collapsed="false">
      <c r="A689" s="29" t="n">
        <v>672</v>
      </c>
      <c r="B689" s="45" t="n">
        <f aca="true">IF(RAND()&lt;$D$8,1,0)</f>
        <v>1</v>
      </c>
      <c r="C689" s="34" t="n">
        <f aca="true">-LN(RAND())/$D$2</f>
        <v>2.35880817865921</v>
      </c>
      <c r="D689" s="46" t="n">
        <f aca="false">D688+C689</f>
        <v>1050.77298754705</v>
      </c>
      <c r="E689" s="47" t="e">
        <f aca="false">MAX($D$3,(1+P688-VLOOKUP(VALUE(D689),$J$18:$Q688,7,TRUE()))*$D$3)</f>
        <v>#N/A</v>
      </c>
      <c r="F689" s="47" t="e">
        <f aca="false">MAX($D$4,(1+Q688-VLOOKUP(VALUE(D689),$M$18:$Q688,5,TRUE()))*$D$4)</f>
        <v>#N/A</v>
      </c>
      <c r="G689" s="48" t="n">
        <v>0.5</v>
      </c>
      <c r="H689" s="46" t="e">
        <f aca="true">IF((B689=1),(IF((F689&lt;E689),1,(IF((F689=E689),(IF(RAND()&lt;G689,1,0)),0)))),(IF((RAND()&lt;G689),1,0)))</f>
        <v>#N/A</v>
      </c>
      <c r="I689" s="46" t="e">
        <f aca="true">IF((H689=1),0,$D$3+$D$5*(RAND()-0.5))</f>
        <v>#N/A</v>
      </c>
      <c r="J689" s="46" t="e">
        <f aca="false">I689+MAX(D689,J688)</f>
        <v>#N/A</v>
      </c>
      <c r="K689" s="46" t="e">
        <f aca="false">IF((H689=0),J689-D689,0)</f>
        <v>#N/A</v>
      </c>
      <c r="L689" s="46" t="e">
        <f aca="true">IF(($H689=0),0,$D$4+$D$5*(RAND()-0.5))</f>
        <v>#N/A</v>
      </c>
      <c r="M689" s="46" t="e">
        <f aca="false">L689+MAX(D689,M688)</f>
        <v>#N/A</v>
      </c>
      <c r="N689" s="46" t="e">
        <f aca="false">IF((H689=1),M689-D689,0)</f>
        <v>#N/A</v>
      </c>
      <c r="O689" s="29" t="n">
        <v>672</v>
      </c>
      <c r="P689" s="49" t="e">
        <f aca="false">IF((Arterial=0),P688+1,P688)</f>
        <v>#N/A</v>
      </c>
      <c r="Q689" s="49" t="e">
        <f aca="false">IF((Arterial=1),Q688+1,Q688)</f>
        <v>#N/A</v>
      </c>
      <c r="R689" s="50" t="n">
        <f aca="false">IF((RESET=1),0,R689+K689)</f>
        <v>0</v>
      </c>
      <c r="S689" s="19" t="n">
        <f aca="false">IF(RESET=1,0,S689+N689)</f>
        <v>0</v>
      </c>
      <c r="T689" s="0" t="n">
        <f aca="false">IF(RESET=1,0,T689+IF(H689=0,1,0))</f>
        <v>0</v>
      </c>
      <c r="U689" s="0" t="n">
        <f aca="false">IF(RESET=1,0,U689+H689)</f>
        <v>0</v>
      </c>
      <c r="V689" s="19" t="n">
        <f aca="false">R689/(T689+0.00001)</f>
        <v>0</v>
      </c>
      <c r="W689" s="19" t="n">
        <f aca="false">S689/(U689+0.0001)</f>
        <v>0</v>
      </c>
      <c r="X689" s="47" t="e">
        <f aca="false">IF(Informed=1,K689,0)</f>
        <v>#N/A</v>
      </c>
      <c r="Y689" s="47" t="n">
        <f aca="false">IF(Informed=0,K689,0)</f>
        <v>0</v>
      </c>
      <c r="Z689" s="47" t="e">
        <f aca="false">IF(Informed=1,N689,0)</f>
        <v>#N/A</v>
      </c>
      <c r="AA689" s="47" t="n">
        <f aca="false">IF(Informed=0,N689,0)</f>
        <v>0</v>
      </c>
      <c r="AB689" s="51" t="e">
        <f aca="false">IF(Arterial=0,IF(Informed=1,1,0),0)</f>
        <v>#N/A</v>
      </c>
      <c r="AC689" s="51" t="e">
        <f aca="false">IF(Arterial=0,IF(Informed=0,1,0),0)</f>
        <v>#N/A</v>
      </c>
      <c r="AD689" s="51" t="e">
        <f aca="false">IF(Arterial=1,IF(Informed=1,1,0),0)</f>
        <v>#N/A</v>
      </c>
      <c r="AE689" s="51" t="e">
        <f aca="false">IF(Arterial=1,IF(Informed=0,1,0),0)</f>
        <v>#N/A</v>
      </c>
      <c r="AF689" s="44" t="e">
        <f aca="false">IF(AB689=1,(X689-G$1030)^2,0)</f>
        <v>#N/A</v>
      </c>
      <c r="AG689" s="44" t="e">
        <f aca="false">IF(AC689=1,(Y689-H$1030)^2,0)</f>
        <v>#N/A</v>
      </c>
      <c r="AH689" s="44" t="e">
        <f aca="false">IF(AD689=1,(Z689-I$1030)^2,0)</f>
        <v>#N/A</v>
      </c>
      <c r="AI689" s="44" t="e">
        <f aca="false">IF(AE689=1,(AA689-J$1030)^2,0)</f>
        <v>#N/A</v>
      </c>
    </row>
    <row r="690" customFormat="false" ht="12" hidden="false" customHeight="false" outlineLevel="0" collapsed="false">
      <c r="A690" s="29" t="n">
        <v>673</v>
      </c>
      <c r="B690" s="45" t="n">
        <f aca="true">IF(RAND()&lt;$D$8,1,0)</f>
        <v>1</v>
      </c>
      <c r="C690" s="34" t="n">
        <f aca="true">-LN(RAND())/$D$2</f>
        <v>0.19622712690227</v>
      </c>
      <c r="D690" s="46" t="n">
        <f aca="false">D689+C690</f>
        <v>1050.96921467395</v>
      </c>
      <c r="E690" s="47" t="e">
        <f aca="false">MAX($D$3,(1+P689-VLOOKUP(VALUE(D690),$J$18:$Q689,7,TRUE()))*$D$3)</f>
        <v>#N/A</v>
      </c>
      <c r="F690" s="47" t="e">
        <f aca="false">MAX($D$4,(1+Q689-VLOOKUP(VALUE(D690),$M$18:$Q689,5,TRUE()))*$D$4)</f>
        <v>#N/A</v>
      </c>
      <c r="G690" s="48" t="n">
        <v>0.5</v>
      </c>
      <c r="H690" s="46" t="e">
        <f aca="true">IF((B690=1),(IF((F690&lt;E690),1,(IF((F690=E690),(IF(RAND()&lt;G690,1,0)),0)))),(IF((RAND()&lt;G690),1,0)))</f>
        <v>#N/A</v>
      </c>
      <c r="I690" s="46" t="e">
        <f aca="true">IF((H690=1),0,$D$3+$D$5*(RAND()-0.5))</f>
        <v>#N/A</v>
      </c>
      <c r="J690" s="46" t="e">
        <f aca="false">I690+MAX(D690,J689)</f>
        <v>#N/A</v>
      </c>
      <c r="K690" s="46" t="e">
        <f aca="false">IF((H690=0),J690-D690,0)</f>
        <v>#N/A</v>
      </c>
      <c r="L690" s="46" t="e">
        <f aca="true">IF(($H690=0),0,$D$4+$D$5*(RAND()-0.5))</f>
        <v>#N/A</v>
      </c>
      <c r="M690" s="46" t="e">
        <f aca="false">L690+MAX(D690,M689)</f>
        <v>#N/A</v>
      </c>
      <c r="N690" s="46" t="e">
        <f aca="false">IF((H690=1),M690-D690,0)</f>
        <v>#N/A</v>
      </c>
      <c r="O690" s="29" t="n">
        <v>673</v>
      </c>
      <c r="P690" s="49" t="e">
        <f aca="false">IF((Arterial=0),P689+1,P689)</f>
        <v>#N/A</v>
      </c>
      <c r="Q690" s="49" t="e">
        <f aca="false">IF((Arterial=1),Q689+1,Q689)</f>
        <v>#N/A</v>
      </c>
      <c r="R690" s="50" t="n">
        <f aca="false">IF((RESET=1),0,R690+K690)</f>
        <v>0</v>
      </c>
      <c r="S690" s="19" t="n">
        <f aca="false">IF(RESET=1,0,S690+N690)</f>
        <v>0</v>
      </c>
      <c r="T690" s="0" t="n">
        <f aca="false">IF(RESET=1,0,T690+IF(H690=0,1,0))</f>
        <v>0</v>
      </c>
      <c r="U690" s="0" t="n">
        <f aca="false">IF(RESET=1,0,U690+H690)</f>
        <v>0</v>
      </c>
      <c r="V690" s="19" t="n">
        <f aca="false">R690/(T690+0.00001)</f>
        <v>0</v>
      </c>
      <c r="W690" s="19" t="n">
        <f aca="false">S690/(U690+0.0001)</f>
        <v>0</v>
      </c>
      <c r="X690" s="47" t="e">
        <f aca="false">IF(Informed=1,K690,0)</f>
        <v>#N/A</v>
      </c>
      <c r="Y690" s="47" t="n">
        <f aca="false">IF(Informed=0,K690,0)</f>
        <v>0</v>
      </c>
      <c r="Z690" s="47" t="e">
        <f aca="false">IF(Informed=1,N690,0)</f>
        <v>#N/A</v>
      </c>
      <c r="AA690" s="47" t="n">
        <f aca="false">IF(Informed=0,N690,0)</f>
        <v>0</v>
      </c>
      <c r="AB690" s="51" t="e">
        <f aca="false">IF(Arterial=0,IF(Informed=1,1,0),0)</f>
        <v>#N/A</v>
      </c>
      <c r="AC690" s="51" t="e">
        <f aca="false">IF(Arterial=0,IF(Informed=0,1,0),0)</f>
        <v>#N/A</v>
      </c>
      <c r="AD690" s="51" t="e">
        <f aca="false">IF(Arterial=1,IF(Informed=1,1,0),0)</f>
        <v>#N/A</v>
      </c>
      <c r="AE690" s="51" t="e">
        <f aca="false">IF(Arterial=1,IF(Informed=0,1,0),0)</f>
        <v>#N/A</v>
      </c>
      <c r="AF690" s="44" t="e">
        <f aca="false">IF(AB690=1,(X690-G$1030)^2,0)</f>
        <v>#N/A</v>
      </c>
      <c r="AG690" s="44" t="e">
        <f aca="false">IF(AC690=1,(Y690-H$1030)^2,0)</f>
        <v>#N/A</v>
      </c>
      <c r="AH690" s="44" t="e">
        <f aca="false">IF(AD690=1,(Z690-I$1030)^2,0)</f>
        <v>#N/A</v>
      </c>
      <c r="AI690" s="44" t="e">
        <f aca="false">IF(AE690=1,(AA690-J$1030)^2,0)</f>
        <v>#N/A</v>
      </c>
    </row>
    <row r="691" customFormat="false" ht="12" hidden="false" customHeight="false" outlineLevel="0" collapsed="false">
      <c r="A691" s="29" t="n">
        <v>674</v>
      </c>
      <c r="B691" s="45" t="n">
        <f aca="true">IF(RAND()&lt;$D$8,1,0)</f>
        <v>1</v>
      </c>
      <c r="C691" s="34" t="n">
        <f aca="true">-LN(RAND())/$D$2</f>
        <v>0.627201480851298</v>
      </c>
      <c r="D691" s="46" t="n">
        <f aca="false">D690+C691</f>
        <v>1051.5964161548</v>
      </c>
      <c r="E691" s="47" t="e">
        <f aca="false">MAX($D$3,(1+P690-VLOOKUP(VALUE(D691),$J$18:$Q690,7,TRUE()))*$D$3)</f>
        <v>#N/A</v>
      </c>
      <c r="F691" s="47" t="e">
        <f aca="false">MAX($D$4,(1+Q690-VLOOKUP(VALUE(D691),$M$18:$Q690,5,TRUE()))*$D$4)</f>
        <v>#N/A</v>
      </c>
      <c r="G691" s="48" t="n">
        <v>0.5</v>
      </c>
      <c r="H691" s="46" t="e">
        <f aca="true">IF((B691=1),(IF((F691&lt;E691),1,(IF((F691=E691),(IF(RAND()&lt;G691,1,0)),0)))),(IF((RAND()&lt;G691),1,0)))</f>
        <v>#N/A</v>
      </c>
      <c r="I691" s="46" t="e">
        <f aca="true">IF((H691=1),0,$D$3+$D$5*(RAND()-0.5))</f>
        <v>#N/A</v>
      </c>
      <c r="J691" s="46" t="e">
        <f aca="false">I691+MAX(D691,J690)</f>
        <v>#N/A</v>
      </c>
      <c r="K691" s="46" t="e">
        <f aca="false">IF((H691=0),J691-D691,0)</f>
        <v>#N/A</v>
      </c>
      <c r="L691" s="46" t="e">
        <f aca="true">IF(($H691=0),0,$D$4+$D$5*(RAND()-0.5))</f>
        <v>#N/A</v>
      </c>
      <c r="M691" s="46" t="e">
        <f aca="false">L691+MAX(D691,M690)</f>
        <v>#N/A</v>
      </c>
      <c r="N691" s="46" t="e">
        <f aca="false">IF((H691=1),M691-D691,0)</f>
        <v>#N/A</v>
      </c>
      <c r="O691" s="29" t="n">
        <v>674</v>
      </c>
      <c r="P691" s="49" t="e">
        <f aca="false">IF((Arterial=0),P690+1,P690)</f>
        <v>#N/A</v>
      </c>
      <c r="Q691" s="49" t="e">
        <f aca="false">IF((Arterial=1),Q690+1,Q690)</f>
        <v>#N/A</v>
      </c>
      <c r="R691" s="50" t="n">
        <f aca="false">IF((RESET=1),0,R691+K691)</f>
        <v>0</v>
      </c>
      <c r="S691" s="19" t="n">
        <f aca="false">IF(RESET=1,0,S691+N691)</f>
        <v>0</v>
      </c>
      <c r="T691" s="0" t="n">
        <f aca="false">IF(RESET=1,0,T691+IF(H691=0,1,0))</f>
        <v>0</v>
      </c>
      <c r="U691" s="0" t="n">
        <f aca="false">IF(RESET=1,0,U691+H691)</f>
        <v>0</v>
      </c>
      <c r="V691" s="19" t="n">
        <f aca="false">R691/(T691+0.00001)</f>
        <v>0</v>
      </c>
      <c r="W691" s="19" t="n">
        <f aca="false">S691/(U691+0.0001)</f>
        <v>0</v>
      </c>
      <c r="X691" s="47" t="e">
        <f aca="false">IF(Informed=1,K691,0)</f>
        <v>#N/A</v>
      </c>
      <c r="Y691" s="47" t="n">
        <f aca="false">IF(Informed=0,K691,0)</f>
        <v>0</v>
      </c>
      <c r="Z691" s="47" t="e">
        <f aca="false">IF(Informed=1,N691,0)</f>
        <v>#N/A</v>
      </c>
      <c r="AA691" s="47" t="n">
        <f aca="false">IF(Informed=0,N691,0)</f>
        <v>0</v>
      </c>
      <c r="AB691" s="51" t="e">
        <f aca="false">IF(Arterial=0,IF(Informed=1,1,0),0)</f>
        <v>#N/A</v>
      </c>
      <c r="AC691" s="51" t="e">
        <f aca="false">IF(Arterial=0,IF(Informed=0,1,0),0)</f>
        <v>#N/A</v>
      </c>
      <c r="AD691" s="51" t="e">
        <f aca="false">IF(Arterial=1,IF(Informed=1,1,0),0)</f>
        <v>#N/A</v>
      </c>
      <c r="AE691" s="51" t="e">
        <f aca="false">IF(Arterial=1,IF(Informed=0,1,0),0)</f>
        <v>#N/A</v>
      </c>
      <c r="AF691" s="44" t="e">
        <f aca="false">IF(AB691=1,(X691-G$1030)^2,0)</f>
        <v>#N/A</v>
      </c>
      <c r="AG691" s="44" t="e">
        <f aca="false">IF(AC691=1,(Y691-H$1030)^2,0)</f>
        <v>#N/A</v>
      </c>
      <c r="AH691" s="44" t="e">
        <f aca="false">IF(AD691=1,(Z691-I$1030)^2,0)</f>
        <v>#N/A</v>
      </c>
      <c r="AI691" s="44" t="e">
        <f aca="false">IF(AE691=1,(AA691-J$1030)^2,0)</f>
        <v>#N/A</v>
      </c>
    </row>
    <row r="692" customFormat="false" ht="12" hidden="false" customHeight="false" outlineLevel="0" collapsed="false">
      <c r="A692" s="29" t="n">
        <v>675</v>
      </c>
      <c r="B692" s="45" t="n">
        <f aca="true">IF(RAND()&lt;$D$8,1,0)</f>
        <v>1</v>
      </c>
      <c r="C692" s="34" t="n">
        <f aca="true">-LN(RAND())/$D$2</f>
        <v>0.385379141934179</v>
      </c>
      <c r="D692" s="46" t="n">
        <f aca="false">D691+C692</f>
        <v>1051.98179529674</v>
      </c>
      <c r="E692" s="47" t="e">
        <f aca="false">MAX($D$3,(1+P691-VLOOKUP(VALUE(D692),$J$18:$Q691,7,TRUE()))*$D$3)</f>
        <v>#N/A</v>
      </c>
      <c r="F692" s="47" t="e">
        <f aca="false">MAX($D$4,(1+Q691-VLOOKUP(VALUE(D692),$M$18:$Q691,5,TRUE()))*$D$4)</f>
        <v>#N/A</v>
      </c>
      <c r="G692" s="48" t="n">
        <v>0.5</v>
      </c>
      <c r="H692" s="46" t="e">
        <f aca="true">IF((B692=1),(IF((F692&lt;E692),1,(IF((F692=E692),(IF(RAND()&lt;G692,1,0)),0)))),(IF((RAND()&lt;G692),1,0)))</f>
        <v>#N/A</v>
      </c>
      <c r="I692" s="46" t="e">
        <f aca="true">IF((H692=1),0,$D$3+$D$5*(RAND()-0.5))</f>
        <v>#N/A</v>
      </c>
      <c r="J692" s="46" t="e">
        <f aca="false">I692+MAX(D692,J691)</f>
        <v>#N/A</v>
      </c>
      <c r="K692" s="46" t="e">
        <f aca="false">IF((H692=0),J692-D692,0)</f>
        <v>#N/A</v>
      </c>
      <c r="L692" s="46" t="e">
        <f aca="true">IF(($H692=0),0,$D$4+$D$5*(RAND()-0.5))</f>
        <v>#N/A</v>
      </c>
      <c r="M692" s="46" t="e">
        <f aca="false">L692+MAX(D692,M691)</f>
        <v>#N/A</v>
      </c>
      <c r="N692" s="46" t="e">
        <f aca="false">IF((H692=1),M692-D692,0)</f>
        <v>#N/A</v>
      </c>
      <c r="O692" s="29" t="n">
        <v>675</v>
      </c>
      <c r="P692" s="49" t="e">
        <f aca="false">IF((Arterial=0),P691+1,P691)</f>
        <v>#N/A</v>
      </c>
      <c r="Q692" s="49" t="e">
        <f aca="false">IF((Arterial=1),Q691+1,Q691)</f>
        <v>#N/A</v>
      </c>
      <c r="R692" s="50" t="n">
        <f aca="false">IF((RESET=1),0,R692+K692)</f>
        <v>0</v>
      </c>
      <c r="S692" s="19" t="n">
        <f aca="false">IF(RESET=1,0,S692+N692)</f>
        <v>0</v>
      </c>
      <c r="T692" s="0" t="n">
        <f aca="false">IF(RESET=1,0,T692+IF(H692=0,1,0))</f>
        <v>0</v>
      </c>
      <c r="U692" s="0" t="n">
        <f aca="false">IF(RESET=1,0,U692+H692)</f>
        <v>0</v>
      </c>
      <c r="V692" s="19" t="n">
        <f aca="false">R692/(T692+0.00001)</f>
        <v>0</v>
      </c>
      <c r="W692" s="19" t="n">
        <f aca="false">S692/(U692+0.0001)</f>
        <v>0</v>
      </c>
      <c r="X692" s="47" t="e">
        <f aca="false">IF(Informed=1,K692,0)</f>
        <v>#N/A</v>
      </c>
      <c r="Y692" s="47" t="n">
        <f aca="false">IF(Informed=0,K692,0)</f>
        <v>0</v>
      </c>
      <c r="Z692" s="47" t="e">
        <f aca="false">IF(Informed=1,N692,0)</f>
        <v>#N/A</v>
      </c>
      <c r="AA692" s="47" t="n">
        <f aca="false">IF(Informed=0,N692,0)</f>
        <v>0</v>
      </c>
      <c r="AB692" s="51" t="e">
        <f aca="false">IF(Arterial=0,IF(Informed=1,1,0),0)</f>
        <v>#N/A</v>
      </c>
      <c r="AC692" s="51" t="e">
        <f aca="false">IF(Arterial=0,IF(Informed=0,1,0),0)</f>
        <v>#N/A</v>
      </c>
      <c r="AD692" s="51" t="e">
        <f aca="false">IF(Arterial=1,IF(Informed=1,1,0),0)</f>
        <v>#N/A</v>
      </c>
      <c r="AE692" s="51" t="e">
        <f aca="false">IF(Arterial=1,IF(Informed=0,1,0),0)</f>
        <v>#N/A</v>
      </c>
      <c r="AF692" s="44" t="e">
        <f aca="false">IF(AB692=1,(X692-G$1030)^2,0)</f>
        <v>#N/A</v>
      </c>
      <c r="AG692" s="44" t="e">
        <f aca="false">IF(AC692=1,(Y692-H$1030)^2,0)</f>
        <v>#N/A</v>
      </c>
      <c r="AH692" s="44" t="e">
        <f aca="false">IF(AD692=1,(Z692-I$1030)^2,0)</f>
        <v>#N/A</v>
      </c>
      <c r="AI692" s="44" t="e">
        <f aca="false">IF(AE692=1,(AA692-J$1030)^2,0)</f>
        <v>#N/A</v>
      </c>
    </row>
    <row r="693" customFormat="false" ht="12" hidden="false" customHeight="false" outlineLevel="0" collapsed="false">
      <c r="A693" s="29" t="n">
        <v>676</v>
      </c>
      <c r="B693" s="45" t="n">
        <f aca="true">IF(RAND()&lt;$D$8,1,0)</f>
        <v>1</v>
      </c>
      <c r="C693" s="34" t="n">
        <f aca="true">-LN(RAND())/$D$2</f>
        <v>1.97888329152332</v>
      </c>
      <c r="D693" s="46" t="n">
        <f aca="false">D692+C693</f>
        <v>1053.96067858826</v>
      </c>
      <c r="E693" s="47" t="e">
        <f aca="false">MAX($D$3,(1+P692-VLOOKUP(VALUE(D693),$J$18:$Q692,7,TRUE()))*$D$3)</f>
        <v>#N/A</v>
      </c>
      <c r="F693" s="47" t="e">
        <f aca="false">MAX($D$4,(1+Q692-VLOOKUP(VALUE(D693),$M$18:$Q692,5,TRUE()))*$D$4)</f>
        <v>#N/A</v>
      </c>
      <c r="G693" s="48" t="n">
        <v>0.5</v>
      </c>
      <c r="H693" s="46" t="e">
        <f aca="true">IF((B693=1),(IF((F693&lt;E693),1,(IF((F693=E693),(IF(RAND()&lt;G693,1,0)),0)))),(IF((RAND()&lt;G693),1,0)))</f>
        <v>#N/A</v>
      </c>
      <c r="I693" s="46" t="e">
        <f aca="true">IF((H693=1),0,$D$3+$D$5*(RAND()-0.5))</f>
        <v>#N/A</v>
      </c>
      <c r="J693" s="46" t="e">
        <f aca="false">I693+MAX(D693,J692)</f>
        <v>#N/A</v>
      </c>
      <c r="K693" s="46" t="e">
        <f aca="false">IF((H693=0),J693-D693,0)</f>
        <v>#N/A</v>
      </c>
      <c r="L693" s="46" t="e">
        <f aca="true">IF(($H693=0),0,$D$4+$D$5*(RAND()-0.5))</f>
        <v>#N/A</v>
      </c>
      <c r="M693" s="46" t="e">
        <f aca="false">L693+MAX(D693,M692)</f>
        <v>#N/A</v>
      </c>
      <c r="N693" s="46" t="e">
        <f aca="false">IF((H693=1),M693-D693,0)</f>
        <v>#N/A</v>
      </c>
      <c r="O693" s="29" t="n">
        <v>676</v>
      </c>
      <c r="P693" s="49" t="e">
        <f aca="false">IF((Arterial=0),P692+1,P692)</f>
        <v>#N/A</v>
      </c>
      <c r="Q693" s="49" t="e">
        <f aca="false">IF((Arterial=1),Q692+1,Q692)</f>
        <v>#N/A</v>
      </c>
      <c r="R693" s="50" t="n">
        <f aca="false">IF((RESET=1),0,R693+K693)</f>
        <v>0</v>
      </c>
      <c r="S693" s="19" t="n">
        <f aca="false">IF(RESET=1,0,S693+N693)</f>
        <v>0</v>
      </c>
      <c r="T693" s="0" t="n">
        <f aca="false">IF(RESET=1,0,T693+IF(H693=0,1,0))</f>
        <v>0</v>
      </c>
      <c r="U693" s="0" t="n">
        <f aca="false">IF(RESET=1,0,U693+H693)</f>
        <v>0</v>
      </c>
      <c r="V693" s="19" t="n">
        <f aca="false">R693/(T693+0.00001)</f>
        <v>0</v>
      </c>
      <c r="W693" s="19" t="n">
        <f aca="false">S693/(U693+0.0001)</f>
        <v>0</v>
      </c>
      <c r="X693" s="47" t="e">
        <f aca="false">IF(Informed=1,K693,0)</f>
        <v>#N/A</v>
      </c>
      <c r="Y693" s="47" t="n">
        <f aca="false">IF(Informed=0,K693,0)</f>
        <v>0</v>
      </c>
      <c r="Z693" s="47" t="e">
        <f aca="false">IF(Informed=1,N693,0)</f>
        <v>#N/A</v>
      </c>
      <c r="AA693" s="47" t="n">
        <f aca="false">IF(Informed=0,N693,0)</f>
        <v>0</v>
      </c>
      <c r="AB693" s="51" t="e">
        <f aca="false">IF(Arterial=0,IF(Informed=1,1,0),0)</f>
        <v>#N/A</v>
      </c>
      <c r="AC693" s="51" t="e">
        <f aca="false">IF(Arterial=0,IF(Informed=0,1,0),0)</f>
        <v>#N/A</v>
      </c>
      <c r="AD693" s="51" t="e">
        <f aca="false">IF(Arterial=1,IF(Informed=1,1,0),0)</f>
        <v>#N/A</v>
      </c>
      <c r="AE693" s="51" t="e">
        <f aca="false">IF(Arterial=1,IF(Informed=0,1,0),0)</f>
        <v>#N/A</v>
      </c>
      <c r="AF693" s="44" t="e">
        <f aca="false">IF(AB693=1,(X693-G$1030)^2,0)</f>
        <v>#N/A</v>
      </c>
      <c r="AG693" s="44" t="e">
        <f aca="false">IF(AC693=1,(Y693-H$1030)^2,0)</f>
        <v>#N/A</v>
      </c>
      <c r="AH693" s="44" t="e">
        <f aca="false">IF(AD693=1,(Z693-I$1030)^2,0)</f>
        <v>#N/A</v>
      </c>
      <c r="AI693" s="44" t="e">
        <f aca="false">IF(AE693=1,(AA693-J$1030)^2,0)</f>
        <v>#N/A</v>
      </c>
    </row>
    <row r="694" customFormat="false" ht="12" hidden="false" customHeight="false" outlineLevel="0" collapsed="false">
      <c r="A694" s="29" t="n">
        <v>677</v>
      </c>
      <c r="B694" s="45" t="n">
        <f aca="true">IF(RAND()&lt;$D$8,1,0)</f>
        <v>1</v>
      </c>
      <c r="C694" s="34" t="n">
        <f aca="true">-LN(RAND())/$D$2</f>
        <v>1.0131994880336</v>
      </c>
      <c r="D694" s="46" t="n">
        <f aca="false">D693+C694</f>
        <v>1054.97387807629</v>
      </c>
      <c r="E694" s="47" t="e">
        <f aca="false">MAX($D$3,(1+P693-VLOOKUP(VALUE(D694),$J$18:$Q693,7,TRUE()))*$D$3)</f>
        <v>#N/A</v>
      </c>
      <c r="F694" s="47" t="e">
        <f aca="false">MAX($D$4,(1+Q693-VLOOKUP(VALUE(D694),$M$18:$Q693,5,TRUE()))*$D$4)</f>
        <v>#N/A</v>
      </c>
      <c r="G694" s="48" t="n">
        <v>0.5</v>
      </c>
      <c r="H694" s="46" t="e">
        <f aca="true">IF((B694=1),(IF((F694&lt;E694),1,(IF((F694=E694),(IF(RAND()&lt;G694,1,0)),0)))),(IF((RAND()&lt;G694),1,0)))</f>
        <v>#N/A</v>
      </c>
      <c r="I694" s="46" t="e">
        <f aca="true">IF((H694=1),0,$D$3+$D$5*(RAND()-0.5))</f>
        <v>#N/A</v>
      </c>
      <c r="J694" s="46" t="e">
        <f aca="false">I694+MAX(D694,J693)</f>
        <v>#N/A</v>
      </c>
      <c r="K694" s="46" t="e">
        <f aca="false">IF((H694=0),J694-D694,0)</f>
        <v>#N/A</v>
      </c>
      <c r="L694" s="46" t="e">
        <f aca="true">IF(($H694=0),0,$D$4+$D$5*(RAND()-0.5))</f>
        <v>#N/A</v>
      </c>
      <c r="M694" s="46" t="e">
        <f aca="false">L694+MAX(D694,M693)</f>
        <v>#N/A</v>
      </c>
      <c r="N694" s="46" t="e">
        <f aca="false">IF((H694=1),M694-D694,0)</f>
        <v>#N/A</v>
      </c>
      <c r="O694" s="29" t="n">
        <v>677</v>
      </c>
      <c r="P694" s="49" t="e">
        <f aca="false">IF((Arterial=0),P693+1,P693)</f>
        <v>#N/A</v>
      </c>
      <c r="Q694" s="49" t="e">
        <f aca="false">IF((Arterial=1),Q693+1,Q693)</f>
        <v>#N/A</v>
      </c>
      <c r="R694" s="50" t="n">
        <f aca="false">IF((RESET=1),0,R694+K694)</f>
        <v>0</v>
      </c>
      <c r="S694" s="19" t="n">
        <f aca="false">IF(RESET=1,0,S694+N694)</f>
        <v>0</v>
      </c>
      <c r="T694" s="0" t="n">
        <f aca="false">IF(RESET=1,0,T694+IF(H694=0,1,0))</f>
        <v>0</v>
      </c>
      <c r="U694" s="0" t="n">
        <f aca="false">IF(RESET=1,0,U694+H694)</f>
        <v>0</v>
      </c>
      <c r="V694" s="19" t="n">
        <f aca="false">R694/(T694+0.00001)</f>
        <v>0</v>
      </c>
      <c r="W694" s="19" t="n">
        <f aca="false">S694/(U694+0.0001)</f>
        <v>0</v>
      </c>
      <c r="X694" s="47" t="e">
        <f aca="false">IF(Informed=1,K694,0)</f>
        <v>#N/A</v>
      </c>
      <c r="Y694" s="47" t="n">
        <f aca="false">IF(Informed=0,K694,0)</f>
        <v>0</v>
      </c>
      <c r="Z694" s="47" t="e">
        <f aca="false">IF(Informed=1,N694,0)</f>
        <v>#N/A</v>
      </c>
      <c r="AA694" s="47" t="n">
        <f aca="false">IF(Informed=0,N694,0)</f>
        <v>0</v>
      </c>
      <c r="AB694" s="51" t="e">
        <f aca="false">IF(Arterial=0,IF(Informed=1,1,0),0)</f>
        <v>#N/A</v>
      </c>
      <c r="AC694" s="51" t="e">
        <f aca="false">IF(Arterial=0,IF(Informed=0,1,0),0)</f>
        <v>#N/A</v>
      </c>
      <c r="AD694" s="51" t="e">
        <f aca="false">IF(Arterial=1,IF(Informed=1,1,0),0)</f>
        <v>#N/A</v>
      </c>
      <c r="AE694" s="51" t="e">
        <f aca="false">IF(Arterial=1,IF(Informed=0,1,0),0)</f>
        <v>#N/A</v>
      </c>
      <c r="AF694" s="44" t="e">
        <f aca="false">IF(AB694=1,(X694-G$1030)^2,0)</f>
        <v>#N/A</v>
      </c>
      <c r="AG694" s="44" t="e">
        <f aca="false">IF(AC694=1,(Y694-H$1030)^2,0)</f>
        <v>#N/A</v>
      </c>
      <c r="AH694" s="44" t="e">
        <f aca="false">IF(AD694=1,(Z694-I$1030)^2,0)</f>
        <v>#N/A</v>
      </c>
      <c r="AI694" s="44" t="e">
        <f aca="false">IF(AE694=1,(AA694-J$1030)^2,0)</f>
        <v>#N/A</v>
      </c>
    </row>
    <row r="695" customFormat="false" ht="12" hidden="false" customHeight="false" outlineLevel="0" collapsed="false">
      <c r="A695" s="29" t="n">
        <v>678</v>
      </c>
      <c r="B695" s="45" t="n">
        <f aca="true">IF(RAND()&lt;$D$8,1,0)</f>
        <v>1</v>
      </c>
      <c r="C695" s="34" t="n">
        <f aca="true">-LN(RAND())/$D$2</f>
        <v>2.18412652874298</v>
      </c>
      <c r="D695" s="46" t="n">
        <f aca="false">D694+C695</f>
        <v>1057.15800460504</v>
      </c>
      <c r="E695" s="47" t="e">
        <f aca="false">MAX($D$3,(1+P694-VLOOKUP(VALUE(D695),$J$18:$Q694,7,TRUE()))*$D$3)</f>
        <v>#N/A</v>
      </c>
      <c r="F695" s="47" t="e">
        <f aca="false">MAX($D$4,(1+Q694-VLOOKUP(VALUE(D695),$M$18:$Q694,5,TRUE()))*$D$4)</f>
        <v>#N/A</v>
      </c>
      <c r="G695" s="48" t="n">
        <v>0.5</v>
      </c>
      <c r="H695" s="46" t="e">
        <f aca="true">IF((B695=1),(IF((F695&lt;E695),1,(IF((F695=E695),(IF(RAND()&lt;G695,1,0)),0)))),(IF((RAND()&lt;G695),1,0)))</f>
        <v>#N/A</v>
      </c>
      <c r="I695" s="46" t="e">
        <f aca="true">IF((H695=1),0,$D$3+$D$5*(RAND()-0.5))</f>
        <v>#N/A</v>
      </c>
      <c r="J695" s="46" t="e">
        <f aca="false">I695+MAX(D695,J694)</f>
        <v>#N/A</v>
      </c>
      <c r="K695" s="46" t="e">
        <f aca="false">IF((H695=0),J695-D695,0)</f>
        <v>#N/A</v>
      </c>
      <c r="L695" s="46" t="e">
        <f aca="true">IF(($H695=0),0,$D$4+$D$5*(RAND()-0.5))</f>
        <v>#N/A</v>
      </c>
      <c r="M695" s="46" t="e">
        <f aca="false">L695+MAX(D695,M694)</f>
        <v>#N/A</v>
      </c>
      <c r="N695" s="46" t="e">
        <f aca="false">IF((H695=1),M695-D695,0)</f>
        <v>#N/A</v>
      </c>
      <c r="O695" s="29" t="n">
        <v>678</v>
      </c>
      <c r="P695" s="49" t="e">
        <f aca="false">IF((Arterial=0),P694+1,P694)</f>
        <v>#N/A</v>
      </c>
      <c r="Q695" s="49" t="e">
        <f aca="false">IF((Arterial=1),Q694+1,Q694)</f>
        <v>#N/A</v>
      </c>
      <c r="R695" s="50" t="n">
        <f aca="false">IF((RESET=1),0,R695+K695)</f>
        <v>0</v>
      </c>
      <c r="S695" s="19" t="n">
        <f aca="false">IF(RESET=1,0,S695+N695)</f>
        <v>0</v>
      </c>
      <c r="T695" s="0" t="n">
        <f aca="false">IF(RESET=1,0,T695+IF(H695=0,1,0))</f>
        <v>0</v>
      </c>
      <c r="U695" s="0" t="n">
        <f aca="false">IF(RESET=1,0,U695+H695)</f>
        <v>0</v>
      </c>
      <c r="V695" s="19" t="n">
        <f aca="false">R695/(T695+0.00001)</f>
        <v>0</v>
      </c>
      <c r="W695" s="19" t="n">
        <f aca="false">S695/(U695+0.0001)</f>
        <v>0</v>
      </c>
      <c r="X695" s="47" t="e">
        <f aca="false">IF(Informed=1,K695,0)</f>
        <v>#N/A</v>
      </c>
      <c r="Y695" s="47" t="n">
        <f aca="false">IF(Informed=0,K695,0)</f>
        <v>0</v>
      </c>
      <c r="Z695" s="47" t="e">
        <f aca="false">IF(Informed=1,N695,0)</f>
        <v>#N/A</v>
      </c>
      <c r="AA695" s="47" t="n">
        <f aca="false">IF(Informed=0,N695,0)</f>
        <v>0</v>
      </c>
      <c r="AB695" s="51" t="e">
        <f aca="false">IF(Arterial=0,IF(Informed=1,1,0),0)</f>
        <v>#N/A</v>
      </c>
      <c r="AC695" s="51" t="e">
        <f aca="false">IF(Arterial=0,IF(Informed=0,1,0),0)</f>
        <v>#N/A</v>
      </c>
      <c r="AD695" s="51" t="e">
        <f aca="false">IF(Arterial=1,IF(Informed=1,1,0),0)</f>
        <v>#N/A</v>
      </c>
      <c r="AE695" s="51" t="e">
        <f aca="false">IF(Arterial=1,IF(Informed=0,1,0),0)</f>
        <v>#N/A</v>
      </c>
      <c r="AF695" s="44" t="e">
        <f aca="false">IF(AB695=1,(X695-G$1030)^2,0)</f>
        <v>#N/A</v>
      </c>
      <c r="AG695" s="44" t="e">
        <f aca="false">IF(AC695=1,(Y695-H$1030)^2,0)</f>
        <v>#N/A</v>
      </c>
      <c r="AH695" s="44" t="e">
        <f aca="false">IF(AD695=1,(Z695-I$1030)^2,0)</f>
        <v>#N/A</v>
      </c>
      <c r="AI695" s="44" t="e">
        <f aca="false">IF(AE695=1,(AA695-J$1030)^2,0)</f>
        <v>#N/A</v>
      </c>
    </row>
    <row r="696" customFormat="false" ht="12" hidden="false" customHeight="false" outlineLevel="0" collapsed="false">
      <c r="A696" s="29" t="n">
        <v>679</v>
      </c>
      <c r="B696" s="45" t="n">
        <f aca="true">IF(RAND()&lt;$D$8,1,0)</f>
        <v>1</v>
      </c>
      <c r="C696" s="34" t="n">
        <f aca="true">-LN(RAND())/$D$2</f>
        <v>3.06654139837828</v>
      </c>
      <c r="D696" s="46" t="n">
        <f aca="false">D695+C696</f>
        <v>1060.22454600341</v>
      </c>
      <c r="E696" s="47" t="e">
        <f aca="false">MAX($D$3,(1+P695-VLOOKUP(VALUE(D696),$J$18:$Q695,7,TRUE()))*$D$3)</f>
        <v>#N/A</v>
      </c>
      <c r="F696" s="47" t="e">
        <f aca="false">MAX($D$4,(1+Q695-VLOOKUP(VALUE(D696),$M$18:$Q695,5,TRUE()))*$D$4)</f>
        <v>#N/A</v>
      </c>
      <c r="G696" s="48" t="n">
        <v>0.5</v>
      </c>
      <c r="H696" s="46" t="e">
        <f aca="true">IF((B696=1),(IF((F696&lt;E696),1,(IF((F696=E696),(IF(RAND()&lt;G696,1,0)),0)))),(IF((RAND()&lt;G696),1,0)))</f>
        <v>#N/A</v>
      </c>
      <c r="I696" s="46" t="e">
        <f aca="true">IF((H696=1),0,$D$3+$D$5*(RAND()-0.5))</f>
        <v>#N/A</v>
      </c>
      <c r="J696" s="46" t="e">
        <f aca="false">I696+MAX(D696,J695)</f>
        <v>#N/A</v>
      </c>
      <c r="K696" s="46" t="e">
        <f aca="false">IF((H696=0),J696-D696,0)</f>
        <v>#N/A</v>
      </c>
      <c r="L696" s="46" t="e">
        <f aca="true">IF(($H696=0),0,$D$4+$D$5*(RAND()-0.5))</f>
        <v>#N/A</v>
      </c>
      <c r="M696" s="46" t="e">
        <f aca="false">L696+MAX(D696,M695)</f>
        <v>#N/A</v>
      </c>
      <c r="N696" s="46" t="e">
        <f aca="false">IF((H696=1),M696-D696,0)</f>
        <v>#N/A</v>
      </c>
      <c r="O696" s="29" t="n">
        <v>679</v>
      </c>
      <c r="P696" s="49" t="e">
        <f aca="false">IF((Arterial=0),P695+1,P695)</f>
        <v>#N/A</v>
      </c>
      <c r="Q696" s="49" t="e">
        <f aca="false">IF((Arterial=1),Q695+1,Q695)</f>
        <v>#N/A</v>
      </c>
      <c r="R696" s="50" t="n">
        <f aca="false">IF((RESET=1),0,R696+K696)</f>
        <v>0</v>
      </c>
      <c r="S696" s="19" t="n">
        <f aca="false">IF(RESET=1,0,S696+N696)</f>
        <v>0</v>
      </c>
      <c r="T696" s="0" t="n">
        <f aca="false">IF(RESET=1,0,T696+IF(H696=0,1,0))</f>
        <v>0</v>
      </c>
      <c r="U696" s="0" t="n">
        <f aca="false">IF(RESET=1,0,U696+H696)</f>
        <v>0</v>
      </c>
      <c r="V696" s="19" t="n">
        <f aca="false">R696/(T696+0.00001)</f>
        <v>0</v>
      </c>
      <c r="W696" s="19" t="n">
        <f aca="false">S696/(U696+0.0001)</f>
        <v>0</v>
      </c>
      <c r="X696" s="47" t="e">
        <f aca="false">IF(Informed=1,K696,0)</f>
        <v>#N/A</v>
      </c>
      <c r="Y696" s="47" t="n">
        <f aca="false">IF(Informed=0,K696,0)</f>
        <v>0</v>
      </c>
      <c r="Z696" s="47" t="e">
        <f aca="false">IF(Informed=1,N696,0)</f>
        <v>#N/A</v>
      </c>
      <c r="AA696" s="47" t="n">
        <f aca="false">IF(Informed=0,N696,0)</f>
        <v>0</v>
      </c>
      <c r="AB696" s="51" t="e">
        <f aca="false">IF(Arterial=0,IF(Informed=1,1,0),0)</f>
        <v>#N/A</v>
      </c>
      <c r="AC696" s="51" t="e">
        <f aca="false">IF(Arterial=0,IF(Informed=0,1,0),0)</f>
        <v>#N/A</v>
      </c>
      <c r="AD696" s="51" t="e">
        <f aca="false">IF(Arterial=1,IF(Informed=1,1,0),0)</f>
        <v>#N/A</v>
      </c>
      <c r="AE696" s="51" t="e">
        <f aca="false">IF(Arterial=1,IF(Informed=0,1,0),0)</f>
        <v>#N/A</v>
      </c>
      <c r="AF696" s="44" t="e">
        <f aca="false">IF(AB696=1,(X696-G$1030)^2,0)</f>
        <v>#N/A</v>
      </c>
      <c r="AG696" s="44" t="e">
        <f aca="false">IF(AC696=1,(Y696-H$1030)^2,0)</f>
        <v>#N/A</v>
      </c>
      <c r="AH696" s="44" t="e">
        <f aca="false">IF(AD696=1,(Z696-I$1030)^2,0)</f>
        <v>#N/A</v>
      </c>
      <c r="AI696" s="44" t="e">
        <f aca="false">IF(AE696=1,(AA696-J$1030)^2,0)</f>
        <v>#N/A</v>
      </c>
    </row>
    <row r="697" customFormat="false" ht="12" hidden="false" customHeight="false" outlineLevel="0" collapsed="false">
      <c r="A697" s="29" t="n">
        <v>680</v>
      </c>
      <c r="B697" s="45" t="n">
        <f aca="true">IF(RAND()&lt;$D$8,1,0)</f>
        <v>1</v>
      </c>
      <c r="C697" s="34" t="n">
        <f aca="true">-LN(RAND())/$D$2</f>
        <v>0.560791798945575</v>
      </c>
      <c r="D697" s="46" t="n">
        <f aca="false">D696+C697</f>
        <v>1060.78533780236</v>
      </c>
      <c r="E697" s="47" t="e">
        <f aca="false">MAX($D$3,(1+P696-VLOOKUP(VALUE(D697),$J$18:$Q696,7,TRUE()))*$D$3)</f>
        <v>#N/A</v>
      </c>
      <c r="F697" s="47" t="e">
        <f aca="false">MAX($D$4,(1+Q696-VLOOKUP(VALUE(D697),$M$18:$Q696,5,TRUE()))*$D$4)</f>
        <v>#N/A</v>
      </c>
      <c r="G697" s="48" t="n">
        <v>0.5</v>
      </c>
      <c r="H697" s="46" t="e">
        <f aca="true">IF((B697=1),(IF((F697&lt;E697),1,(IF((F697=E697),(IF(RAND()&lt;G697,1,0)),0)))),(IF((RAND()&lt;G697),1,0)))</f>
        <v>#N/A</v>
      </c>
      <c r="I697" s="46" t="e">
        <f aca="true">IF((H697=1),0,$D$3+$D$5*(RAND()-0.5))</f>
        <v>#N/A</v>
      </c>
      <c r="J697" s="46" t="e">
        <f aca="false">I697+MAX(D697,J696)</f>
        <v>#N/A</v>
      </c>
      <c r="K697" s="46" t="e">
        <f aca="false">IF((H697=0),J697-D697,0)</f>
        <v>#N/A</v>
      </c>
      <c r="L697" s="46" t="e">
        <f aca="true">IF(($H697=0),0,$D$4+$D$5*(RAND()-0.5))</f>
        <v>#N/A</v>
      </c>
      <c r="M697" s="46" t="e">
        <f aca="false">L697+MAX(D697,M696)</f>
        <v>#N/A</v>
      </c>
      <c r="N697" s="46" t="e">
        <f aca="false">IF((H697=1),M697-D697,0)</f>
        <v>#N/A</v>
      </c>
      <c r="O697" s="29" t="n">
        <v>680</v>
      </c>
      <c r="P697" s="49" t="e">
        <f aca="false">IF((Arterial=0),P696+1,P696)</f>
        <v>#N/A</v>
      </c>
      <c r="Q697" s="49" t="e">
        <f aca="false">IF((Arterial=1),Q696+1,Q696)</f>
        <v>#N/A</v>
      </c>
      <c r="R697" s="50" t="n">
        <f aca="false">IF((RESET=1),0,R697+K697)</f>
        <v>0</v>
      </c>
      <c r="S697" s="19" t="n">
        <f aca="false">IF(RESET=1,0,S697+N697)</f>
        <v>0</v>
      </c>
      <c r="T697" s="0" t="n">
        <f aca="false">IF(RESET=1,0,T697+IF(H697=0,1,0))</f>
        <v>0</v>
      </c>
      <c r="U697" s="0" t="n">
        <f aca="false">IF(RESET=1,0,U697+H697)</f>
        <v>0</v>
      </c>
      <c r="V697" s="19" t="n">
        <f aca="false">R697/(T697+0.00001)</f>
        <v>0</v>
      </c>
      <c r="W697" s="19" t="n">
        <f aca="false">S697/(U697+0.0001)</f>
        <v>0</v>
      </c>
      <c r="X697" s="47" t="e">
        <f aca="false">IF(Informed=1,K697,0)</f>
        <v>#N/A</v>
      </c>
      <c r="Y697" s="47" t="n">
        <f aca="false">IF(Informed=0,K697,0)</f>
        <v>0</v>
      </c>
      <c r="Z697" s="47" t="e">
        <f aca="false">IF(Informed=1,N697,0)</f>
        <v>#N/A</v>
      </c>
      <c r="AA697" s="47" t="n">
        <f aca="false">IF(Informed=0,N697,0)</f>
        <v>0</v>
      </c>
      <c r="AB697" s="51" t="e">
        <f aca="false">IF(Arterial=0,IF(Informed=1,1,0),0)</f>
        <v>#N/A</v>
      </c>
      <c r="AC697" s="51" t="e">
        <f aca="false">IF(Arterial=0,IF(Informed=0,1,0),0)</f>
        <v>#N/A</v>
      </c>
      <c r="AD697" s="51" t="e">
        <f aca="false">IF(Arterial=1,IF(Informed=1,1,0),0)</f>
        <v>#N/A</v>
      </c>
      <c r="AE697" s="51" t="e">
        <f aca="false">IF(Arterial=1,IF(Informed=0,1,0),0)</f>
        <v>#N/A</v>
      </c>
      <c r="AF697" s="44" t="e">
        <f aca="false">IF(AB697=1,(X697-G$1030)^2,0)</f>
        <v>#N/A</v>
      </c>
      <c r="AG697" s="44" t="e">
        <f aca="false">IF(AC697=1,(Y697-H$1030)^2,0)</f>
        <v>#N/A</v>
      </c>
      <c r="AH697" s="44" t="e">
        <f aca="false">IF(AD697=1,(Z697-I$1030)^2,0)</f>
        <v>#N/A</v>
      </c>
      <c r="AI697" s="44" t="e">
        <f aca="false">IF(AE697=1,(AA697-J$1030)^2,0)</f>
        <v>#N/A</v>
      </c>
    </row>
    <row r="698" customFormat="false" ht="12" hidden="false" customHeight="false" outlineLevel="0" collapsed="false">
      <c r="A698" s="29" t="n">
        <v>681</v>
      </c>
      <c r="B698" s="45" t="n">
        <f aca="true">IF(RAND()&lt;$D$8,1,0)</f>
        <v>1</v>
      </c>
      <c r="C698" s="34" t="n">
        <f aca="true">-LN(RAND())/$D$2</f>
        <v>0.257547162111953</v>
      </c>
      <c r="D698" s="46" t="n">
        <f aca="false">D697+C698</f>
        <v>1061.04288496447</v>
      </c>
      <c r="E698" s="47" t="e">
        <f aca="false">MAX($D$3,(1+P697-VLOOKUP(VALUE(D698),$J$18:$Q697,7,TRUE()))*$D$3)</f>
        <v>#N/A</v>
      </c>
      <c r="F698" s="47" t="e">
        <f aca="false">MAX($D$4,(1+Q697-VLOOKUP(VALUE(D698),$M$18:$Q697,5,TRUE()))*$D$4)</f>
        <v>#N/A</v>
      </c>
      <c r="G698" s="48" t="n">
        <v>0.5</v>
      </c>
      <c r="H698" s="46" t="e">
        <f aca="true">IF((B698=1),(IF((F698&lt;E698),1,(IF((F698=E698),(IF(RAND()&lt;G698,1,0)),0)))),(IF((RAND()&lt;G698),1,0)))</f>
        <v>#N/A</v>
      </c>
      <c r="I698" s="46" t="e">
        <f aca="true">IF((H698=1),0,$D$3+$D$5*(RAND()-0.5))</f>
        <v>#N/A</v>
      </c>
      <c r="J698" s="46" t="e">
        <f aca="false">I698+MAX(D698,J697)</f>
        <v>#N/A</v>
      </c>
      <c r="K698" s="46" t="e">
        <f aca="false">IF((H698=0),J698-D698,0)</f>
        <v>#N/A</v>
      </c>
      <c r="L698" s="46" t="e">
        <f aca="true">IF(($H698=0),0,$D$4+$D$5*(RAND()-0.5))</f>
        <v>#N/A</v>
      </c>
      <c r="M698" s="46" t="e">
        <f aca="false">L698+MAX(D698,M697)</f>
        <v>#N/A</v>
      </c>
      <c r="N698" s="46" t="e">
        <f aca="false">IF((H698=1),M698-D698,0)</f>
        <v>#N/A</v>
      </c>
      <c r="O698" s="29" t="n">
        <v>681</v>
      </c>
      <c r="P698" s="49" t="e">
        <f aca="false">IF((Arterial=0),P697+1,P697)</f>
        <v>#N/A</v>
      </c>
      <c r="Q698" s="49" t="e">
        <f aca="false">IF((Arterial=1),Q697+1,Q697)</f>
        <v>#N/A</v>
      </c>
      <c r="R698" s="50" t="n">
        <f aca="false">IF((RESET=1),0,R698+K698)</f>
        <v>0</v>
      </c>
      <c r="S698" s="19" t="n">
        <f aca="false">IF(RESET=1,0,S698+N698)</f>
        <v>0</v>
      </c>
      <c r="T698" s="0" t="n">
        <f aca="false">IF(RESET=1,0,T698+IF(H698=0,1,0))</f>
        <v>0</v>
      </c>
      <c r="U698" s="0" t="n">
        <f aca="false">IF(RESET=1,0,U698+H698)</f>
        <v>0</v>
      </c>
      <c r="V698" s="19" t="n">
        <f aca="false">R698/(T698+0.00001)</f>
        <v>0</v>
      </c>
      <c r="W698" s="19" t="n">
        <f aca="false">S698/(U698+0.0001)</f>
        <v>0</v>
      </c>
      <c r="X698" s="47" t="e">
        <f aca="false">IF(Informed=1,K698,0)</f>
        <v>#N/A</v>
      </c>
      <c r="Y698" s="47" t="n">
        <f aca="false">IF(Informed=0,K698,0)</f>
        <v>0</v>
      </c>
      <c r="Z698" s="47" t="e">
        <f aca="false">IF(Informed=1,N698,0)</f>
        <v>#N/A</v>
      </c>
      <c r="AA698" s="47" t="n">
        <f aca="false">IF(Informed=0,N698,0)</f>
        <v>0</v>
      </c>
      <c r="AB698" s="51" t="e">
        <f aca="false">IF(Arterial=0,IF(Informed=1,1,0),0)</f>
        <v>#N/A</v>
      </c>
      <c r="AC698" s="51" t="e">
        <f aca="false">IF(Arterial=0,IF(Informed=0,1,0),0)</f>
        <v>#N/A</v>
      </c>
      <c r="AD698" s="51" t="e">
        <f aca="false">IF(Arterial=1,IF(Informed=1,1,0),0)</f>
        <v>#N/A</v>
      </c>
      <c r="AE698" s="51" t="e">
        <f aca="false">IF(Arterial=1,IF(Informed=0,1,0),0)</f>
        <v>#N/A</v>
      </c>
      <c r="AF698" s="44" t="e">
        <f aca="false">IF(AB698=1,(X698-G$1030)^2,0)</f>
        <v>#N/A</v>
      </c>
      <c r="AG698" s="44" t="e">
        <f aca="false">IF(AC698=1,(Y698-H$1030)^2,0)</f>
        <v>#N/A</v>
      </c>
      <c r="AH698" s="44" t="e">
        <f aca="false">IF(AD698=1,(Z698-I$1030)^2,0)</f>
        <v>#N/A</v>
      </c>
      <c r="AI698" s="44" t="e">
        <f aca="false">IF(AE698=1,(AA698-J$1030)^2,0)</f>
        <v>#N/A</v>
      </c>
    </row>
    <row r="699" customFormat="false" ht="12" hidden="false" customHeight="false" outlineLevel="0" collapsed="false">
      <c r="A699" s="29" t="n">
        <v>682</v>
      </c>
      <c r="B699" s="45" t="n">
        <f aca="true">IF(RAND()&lt;$D$8,1,0)</f>
        <v>1</v>
      </c>
      <c r="C699" s="34" t="n">
        <f aca="true">-LN(RAND())/$D$2</f>
        <v>0.180185593304859</v>
      </c>
      <c r="D699" s="46" t="n">
        <f aca="false">D698+C699</f>
        <v>1061.22307055778</v>
      </c>
      <c r="E699" s="47" t="e">
        <f aca="false">MAX($D$3,(1+P698-VLOOKUP(VALUE(D699),$J$18:$Q698,7,TRUE()))*$D$3)</f>
        <v>#N/A</v>
      </c>
      <c r="F699" s="47" t="e">
        <f aca="false">MAX($D$4,(1+Q698-VLOOKUP(VALUE(D699),$M$18:$Q698,5,TRUE()))*$D$4)</f>
        <v>#N/A</v>
      </c>
      <c r="G699" s="48" t="n">
        <v>0.5</v>
      </c>
      <c r="H699" s="46" t="e">
        <f aca="true">IF((B699=1),(IF((F699&lt;E699),1,(IF((F699=E699),(IF(RAND()&lt;G699,1,0)),0)))),(IF((RAND()&lt;G699),1,0)))</f>
        <v>#N/A</v>
      </c>
      <c r="I699" s="46" t="e">
        <f aca="true">IF((H699=1),0,$D$3+$D$5*(RAND()-0.5))</f>
        <v>#N/A</v>
      </c>
      <c r="J699" s="46" t="e">
        <f aca="false">I699+MAX(D699,J698)</f>
        <v>#N/A</v>
      </c>
      <c r="K699" s="46" t="e">
        <f aca="false">IF((H699=0),J699-D699,0)</f>
        <v>#N/A</v>
      </c>
      <c r="L699" s="46" t="e">
        <f aca="true">IF(($H699=0),0,$D$4+$D$5*(RAND()-0.5))</f>
        <v>#N/A</v>
      </c>
      <c r="M699" s="46" t="e">
        <f aca="false">L699+MAX(D699,M698)</f>
        <v>#N/A</v>
      </c>
      <c r="N699" s="46" t="e">
        <f aca="false">IF((H699=1),M699-D699,0)</f>
        <v>#N/A</v>
      </c>
      <c r="O699" s="29" t="n">
        <v>682</v>
      </c>
      <c r="P699" s="49" t="e">
        <f aca="false">IF((Arterial=0),P698+1,P698)</f>
        <v>#N/A</v>
      </c>
      <c r="Q699" s="49" t="e">
        <f aca="false">IF((Arterial=1),Q698+1,Q698)</f>
        <v>#N/A</v>
      </c>
      <c r="R699" s="50" t="n">
        <f aca="false">IF((RESET=1),0,R699+K699)</f>
        <v>0</v>
      </c>
      <c r="S699" s="19" t="n">
        <f aca="false">IF(RESET=1,0,S699+N699)</f>
        <v>0</v>
      </c>
      <c r="T699" s="0" t="n">
        <f aca="false">IF(RESET=1,0,T699+IF(H699=0,1,0))</f>
        <v>0</v>
      </c>
      <c r="U699" s="0" t="n">
        <f aca="false">IF(RESET=1,0,U699+H699)</f>
        <v>0</v>
      </c>
      <c r="V699" s="19" t="n">
        <f aca="false">R699/(T699+0.00001)</f>
        <v>0</v>
      </c>
      <c r="W699" s="19" t="n">
        <f aca="false">S699/(U699+0.0001)</f>
        <v>0</v>
      </c>
      <c r="X699" s="47" t="e">
        <f aca="false">IF(Informed=1,K699,0)</f>
        <v>#N/A</v>
      </c>
      <c r="Y699" s="47" t="n">
        <f aca="false">IF(Informed=0,K699,0)</f>
        <v>0</v>
      </c>
      <c r="Z699" s="47" t="e">
        <f aca="false">IF(Informed=1,N699,0)</f>
        <v>#N/A</v>
      </c>
      <c r="AA699" s="47" t="n">
        <f aca="false">IF(Informed=0,N699,0)</f>
        <v>0</v>
      </c>
      <c r="AB699" s="51" t="e">
        <f aca="false">IF(Arterial=0,IF(Informed=1,1,0),0)</f>
        <v>#N/A</v>
      </c>
      <c r="AC699" s="51" t="e">
        <f aca="false">IF(Arterial=0,IF(Informed=0,1,0),0)</f>
        <v>#N/A</v>
      </c>
      <c r="AD699" s="51" t="e">
        <f aca="false">IF(Arterial=1,IF(Informed=1,1,0),0)</f>
        <v>#N/A</v>
      </c>
      <c r="AE699" s="51" t="e">
        <f aca="false">IF(Arterial=1,IF(Informed=0,1,0),0)</f>
        <v>#N/A</v>
      </c>
      <c r="AF699" s="44" t="e">
        <f aca="false">IF(AB699=1,(X699-G$1030)^2,0)</f>
        <v>#N/A</v>
      </c>
      <c r="AG699" s="44" t="e">
        <f aca="false">IF(AC699=1,(Y699-H$1030)^2,0)</f>
        <v>#N/A</v>
      </c>
      <c r="AH699" s="44" t="e">
        <f aca="false">IF(AD699=1,(Z699-I$1030)^2,0)</f>
        <v>#N/A</v>
      </c>
      <c r="AI699" s="44" t="e">
        <f aca="false">IF(AE699=1,(AA699-J$1030)^2,0)</f>
        <v>#N/A</v>
      </c>
    </row>
    <row r="700" customFormat="false" ht="12" hidden="false" customHeight="false" outlineLevel="0" collapsed="false">
      <c r="A700" s="29" t="n">
        <v>683</v>
      </c>
      <c r="B700" s="45" t="n">
        <f aca="true">IF(RAND()&lt;$D$8,1,0)</f>
        <v>1</v>
      </c>
      <c r="C700" s="34" t="n">
        <f aca="true">-LN(RAND())/$D$2</f>
        <v>0.58689286289745</v>
      </c>
      <c r="D700" s="46" t="n">
        <f aca="false">D699+C700</f>
        <v>1061.80996342067</v>
      </c>
      <c r="E700" s="47" t="e">
        <f aca="false">MAX($D$3,(1+P699-VLOOKUP(VALUE(D700),$J$18:$Q699,7,TRUE()))*$D$3)</f>
        <v>#N/A</v>
      </c>
      <c r="F700" s="47" t="e">
        <f aca="false">MAX($D$4,(1+Q699-VLOOKUP(VALUE(D700),$M$18:$Q699,5,TRUE()))*$D$4)</f>
        <v>#N/A</v>
      </c>
      <c r="G700" s="48" t="n">
        <v>0.5</v>
      </c>
      <c r="H700" s="46" t="e">
        <f aca="true">IF((B700=1),(IF((F700&lt;E700),1,(IF((F700=E700),(IF(RAND()&lt;G700,1,0)),0)))),(IF((RAND()&lt;G700),1,0)))</f>
        <v>#N/A</v>
      </c>
      <c r="I700" s="46" t="e">
        <f aca="true">IF((H700=1),0,$D$3+$D$5*(RAND()-0.5))</f>
        <v>#N/A</v>
      </c>
      <c r="J700" s="46" t="e">
        <f aca="false">I700+MAX(D700,J699)</f>
        <v>#N/A</v>
      </c>
      <c r="K700" s="46" t="e">
        <f aca="false">IF((H700=0),J700-D700,0)</f>
        <v>#N/A</v>
      </c>
      <c r="L700" s="46" t="e">
        <f aca="true">IF(($H700=0),0,$D$4+$D$5*(RAND()-0.5))</f>
        <v>#N/A</v>
      </c>
      <c r="M700" s="46" t="e">
        <f aca="false">L700+MAX(D700,M699)</f>
        <v>#N/A</v>
      </c>
      <c r="N700" s="46" t="e">
        <f aca="false">IF((H700=1),M700-D700,0)</f>
        <v>#N/A</v>
      </c>
      <c r="O700" s="29" t="n">
        <v>683</v>
      </c>
      <c r="P700" s="49" t="e">
        <f aca="false">IF((Arterial=0),P699+1,P699)</f>
        <v>#N/A</v>
      </c>
      <c r="Q700" s="49" t="e">
        <f aca="false">IF((Arterial=1),Q699+1,Q699)</f>
        <v>#N/A</v>
      </c>
      <c r="R700" s="50" t="n">
        <f aca="false">IF((RESET=1),0,R700+K700)</f>
        <v>0</v>
      </c>
      <c r="S700" s="19" t="n">
        <f aca="false">IF(RESET=1,0,S700+N700)</f>
        <v>0</v>
      </c>
      <c r="T700" s="0" t="n">
        <f aca="false">IF(RESET=1,0,T700+IF(H700=0,1,0))</f>
        <v>0</v>
      </c>
      <c r="U700" s="0" t="n">
        <f aca="false">IF(RESET=1,0,U700+H700)</f>
        <v>0</v>
      </c>
      <c r="V700" s="19" t="n">
        <f aca="false">R700/(T700+0.00001)</f>
        <v>0</v>
      </c>
      <c r="W700" s="19" t="n">
        <f aca="false">S700/(U700+0.0001)</f>
        <v>0</v>
      </c>
      <c r="X700" s="47" t="e">
        <f aca="false">IF(Informed=1,K700,0)</f>
        <v>#N/A</v>
      </c>
      <c r="Y700" s="47" t="n">
        <f aca="false">IF(Informed=0,K700,0)</f>
        <v>0</v>
      </c>
      <c r="Z700" s="47" t="e">
        <f aca="false">IF(Informed=1,N700,0)</f>
        <v>#N/A</v>
      </c>
      <c r="AA700" s="47" t="n">
        <f aca="false">IF(Informed=0,N700,0)</f>
        <v>0</v>
      </c>
      <c r="AB700" s="51" t="e">
        <f aca="false">IF(Arterial=0,IF(Informed=1,1,0),0)</f>
        <v>#N/A</v>
      </c>
      <c r="AC700" s="51" t="e">
        <f aca="false">IF(Arterial=0,IF(Informed=0,1,0),0)</f>
        <v>#N/A</v>
      </c>
      <c r="AD700" s="51" t="e">
        <f aca="false">IF(Arterial=1,IF(Informed=1,1,0),0)</f>
        <v>#N/A</v>
      </c>
      <c r="AE700" s="51" t="e">
        <f aca="false">IF(Arterial=1,IF(Informed=0,1,0),0)</f>
        <v>#N/A</v>
      </c>
      <c r="AF700" s="44" t="e">
        <f aca="false">IF(AB700=1,(X700-G$1030)^2,0)</f>
        <v>#N/A</v>
      </c>
      <c r="AG700" s="44" t="e">
        <f aca="false">IF(AC700=1,(Y700-H$1030)^2,0)</f>
        <v>#N/A</v>
      </c>
      <c r="AH700" s="44" t="e">
        <f aca="false">IF(AD700=1,(Z700-I$1030)^2,0)</f>
        <v>#N/A</v>
      </c>
      <c r="AI700" s="44" t="e">
        <f aca="false">IF(AE700=1,(AA700-J$1030)^2,0)</f>
        <v>#N/A</v>
      </c>
    </row>
    <row r="701" customFormat="false" ht="12" hidden="false" customHeight="false" outlineLevel="0" collapsed="false">
      <c r="A701" s="29" t="n">
        <v>684</v>
      </c>
      <c r="B701" s="45" t="n">
        <f aca="true">IF(RAND()&lt;$D$8,1,0)</f>
        <v>1</v>
      </c>
      <c r="C701" s="34" t="n">
        <f aca="true">-LN(RAND())/$D$2</f>
        <v>7.48637100666958</v>
      </c>
      <c r="D701" s="46" t="n">
        <f aca="false">D700+C701</f>
        <v>1069.29633442734</v>
      </c>
      <c r="E701" s="47" t="e">
        <f aca="false">MAX($D$3,(1+P700-VLOOKUP(VALUE(D701),$J$18:$Q700,7,TRUE()))*$D$3)</f>
        <v>#N/A</v>
      </c>
      <c r="F701" s="47" t="e">
        <f aca="false">MAX($D$4,(1+Q700-VLOOKUP(VALUE(D701),$M$18:$Q700,5,TRUE()))*$D$4)</f>
        <v>#N/A</v>
      </c>
      <c r="G701" s="48" t="n">
        <v>0.5</v>
      </c>
      <c r="H701" s="46" t="e">
        <f aca="true">IF((B701=1),(IF((F701&lt;E701),1,(IF((F701=E701),(IF(RAND()&lt;G701,1,0)),0)))),(IF((RAND()&lt;G701),1,0)))</f>
        <v>#N/A</v>
      </c>
      <c r="I701" s="46" t="e">
        <f aca="true">IF((H701=1),0,$D$3+$D$5*(RAND()-0.5))</f>
        <v>#N/A</v>
      </c>
      <c r="J701" s="46" t="e">
        <f aca="false">I701+MAX(D701,J700)</f>
        <v>#N/A</v>
      </c>
      <c r="K701" s="46" t="e">
        <f aca="false">IF((H701=0),J701-D701,0)</f>
        <v>#N/A</v>
      </c>
      <c r="L701" s="46" t="e">
        <f aca="true">IF(($H701=0),0,$D$4+$D$5*(RAND()-0.5))</f>
        <v>#N/A</v>
      </c>
      <c r="M701" s="46" t="e">
        <f aca="false">L701+MAX(D701,M700)</f>
        <v>#N/A</v>
      </c>
      <c r="N701" s="46" t="e">
        <f aca="false">IF((H701=1),M701-D701,0)</f>
        <v>#N/A</v>
      </c>
      <c r="O701" s="29" t="n">
        <v>684</v>
      </c>
      <c r="P701" s="49" t="e">
        <f aca="false">IF((Arterial=0),P700+1,P700)</f>
        <v>#N/A</v>
      </c>
      <c r="Q701" s="49" t="e">
        <f aca="false">IF((Arterial=1),Q700+1,Q700)</f>
        <v>#N/A</v>
      </c>
      <c r="R701" s="50" t="n">
        <f aca="false">IF((RESET=1),0,R701+K701)</f>
        <v>0</v>
      </c>
      <c r="S701" s="19" t="n">
        <f aca="false">IF(RESET=1,0,S701+N701)</f>
        <v>0</v>
      </c>
      <c r="T701" s="0" t="n">
        <f aca="false">IF(RESET=1,0,T701+IF(H701=0,1,0))</f>
        <v>0</v>
      </c>
      <c r="U701" s="0" t="n">
        <f aca="false">IF(RESET=1,0,U701+H701)</f>
        <v>0</v>
      </c>
      <c r="V701" s="19" t="n">
        <f aca="false">R701/(T701+0.00001)</f>
        <v>0</v>
      </c>
      <c r="W701" s="19" t="n">
        <f aca="false">S701/(U701+0.0001)</f>
        <v>0</v>
      </c>
      <c r="X701" s="47" t="e">
        <f aca="false">IF(Informed=1,K701,0)</f>
        <v>#N/A</v>
      </c>
      <c r="Y701" s="47" t="n">
        <f aca="false">IF(Informed=0,K701,0)</f>
        <v>0</v>
      </c>
      <c r="Z701" s="47" t="e">
        <f aca="false">IF(Informed=1,N701,0)</f>
        <v>#N/A</v>
      </c>
      <c r="AA701" s="47" t="n">
        <f aca="false">IF(Informed=0,N701,0)</f>
        <v>0</v>
      </c>
      <c r="AB701" s="51" t="e">
        <f aca="false">IF(Arterial=0,IF(Informed=1,1,0),0)</f>
        <v>#N/A</v>
      </c>
      <c r="AC701" s="51" t="e">
        <f aca="false">IF(Arterial=0,IF(Informed=0,1,0),0)</f>
        <v>#N/A</v>
      </c>
      <c r="AD701" s="51" t="e">
        <f aca="false">IF(Arterial=1,IF(Informed=1,1,0),0)</f>
        <v>#N/A</v>
      </c>
      <c r="AE701" s="51" t="e">
        <f aca="false">IF(Arterial=1,IF(Informed=0,1,0),0)</f>
        <v>#N/A</v>
      </c>
      <c r="AF701" s="44" t="e">
        <f aca="false">IF(AB701=1,(X701-G$1030)^2,0)</f>
        <v>#N/A</v>
      </c>
      <c r="AG701" s="44" t="e">
        <f aca="false">IF(AC701=1,(Y701-H$1030)^2,0)</f>
        <v>#N/A</v>
      </c>
      <c r="AH701" s="44" t="e">
        <f aca="false">IF(AD701=1,(Z701-I$1030)^2,0)</f>
        <v>#N/A</v>
      </c>
      <c r="AI701" s="44" t="e">
        <f aca="false">IF(AE701=1,(AA701-J$1030)^2,0)</f>
        <v>#N/A</v>
      </c>
    </row>
    <row r="702" customFormat="false" ht="12" hidden="false" customHeight="false" outlineLevel="0" collapsed="false">
      <c r="A702" s="29" t="n">
        <v>685</v>
      </c>
      <c r="B702" s="45" t="n">
        <f aca="true">IF(RAND()&lt;$D$8,1,0)</f>
        <v>1</v>
      </c>
      <c r="C702" s="34" t="n">
        <f aca="true">-LN(RAND())/$D$2</f>
        <v>1.16867489211985</v>
      </c>
      <c r="D702" s="46" t="n">
        <f aca="false">D701+C702</f>
        <v>1070.46500931946</v>
      </c>
      <c r="E702" s="47" t="e">
        <f aca="false">MAX($D$3,(1+P701-VLOOKUP(VALUE(D702),$J$18:$Q701,7,TRUE()))*$D$3)</f>
        <v>#N/A</v>
      </c>
      <c r="F702" s="47" t="e">
        <f aca="false">MAX($D$4,(1+Q701-VLOOKUP(VALUE(D702),$M$18:$Q701,5,TRUE()))*$D$4)</f>
        <v>#N/A</v>
      </c>
      <c r="G702" s="48" t="n">
        <v>0.5</v>
      </c>
      <c r="H702" s="46" t="e">
        <f aca="true">IF((B702=1),(IF((F702&lt;E702),1,(IF((F702=E702),(IF(RAND()&lt;G702,1,0)),0)))),(IF((RAND()&lt;G702),1,0)))</f>
        <v>#N/A</v>
      </c>
      <c r="I702" s="46" t="e">
        <f aca="true">IF((H702=1),0,$D$3+$D$5*(RAND()-0.5))</f>
        <v>#N/A</v>
      </c>
      <c r="J702" s="46" t="e">
        <f aca="false">I702+MAX(D702,J701)</f>
        <v>#N/A</v>
      </c>
      <c r="K702" s="46" t="e">
        <f aca="false">IF((H702=0),J702-D702,0)</f>
        <v>#N/A</v>
      </c>
      <c r="L702" s="46" t="e">
        <f aca="true">IF(($H702=0),0,$D$4+$D$5*(RAND()-0.5))</f>
        <v>#N/A</v>
      </c>
      <c r="M702" s="46" t="e">
        <f aca="false">L702+MAX(D702,M701)</f>
        <v>#N/A</v>
      </c>
      <c r="N702" s="46" t="e">
        <f aca="false">IF((H702=1),M702-D702,0)</f>
        <v>#N/A</v>
      </c>
      <c r="O702" s="29" t="n">
        <v>685</v>
      </c>
      <c r="P702" s="49" t="e">
        <f aca="false">IF((Arterial=0),P701+1,P701)</f>
        <v>#N/A</v>
      </c>
      <c r="Q702" s="49" t="e">
        <f aca="false">IF((Arterial=1),Q701+1,Q701)</f>
        <v>#N/A</v>
      </c>
      <c r="R702" s="50" t="n">
        <f aca="false">IF((RESET=1),0,R702+K702)</f>
        <v>0</v>
      </c>
      <c r="S702" s="19" t="n">
        <f aca="false">IF(RESET=1,0,S702+N702)</f>
        <v>0</v>
      </c>
      <c r="T702" s="0" t="n">
        <f aca="false">IF(RESET=1,0,T702+IF(H702=0,1,0))</f>
        <v>0</v>
      </c>
      <c r="U702" s="0" t="n">
        <f aca="false">IF(RESET=1,0,U702+H702)</f>
        <v>0</v>
      </c>
      <c r="V702" s="19" t="n">
        <f aca="false">R702/(T702+0.00001)</f>
        <v>0</v>
      </c>
      <c r="W702" s="19" t="n">
        <f aca="false">S702/(U702+0.0001)</f>
        <v>0</v>
      </c>
      <c r="X702" s="47" t="e">
        <f aca="false">IF(Informed=1,K702,0)</f>
        <v>#N/A</v>
      </c>
      <c r="Y702" s="47" t="n">
        <f aca="false">IF(Informed=0,K702,0)</f>
        <v>0</v>
      </c>
      <c r="Z702" s="47" t="e">
        <f aca="false">IF(Informed=1,N702,0)</f>
        <v>#N/A</v>
      </c>
      <c r="AA702" s="47" t="n">
        <f aca="false">IF(Informed=0,N702,0)</f>
        <v>0</v>
      </c>
      <c r="AB702" s="51" t="e">
        <f aca="false">IF(Arterial=0,IF(Informed=1,1,0),0)</f>
        <v>#N/A</v>
      </c>
      <c r="AC702" s="51" t="e">
        <f aca="false">IF(Arterial=0,IF(Informed=0,1,0),0)</f>
        <v>#N/A</v>
      </c>
      <c r="AD702" s="51" t="e">
        <f aca="false">IF(Arterial=1,IF(Informed=1,1,0),0)</f>
        <v>#N/A</v>
      </c>
      <c r="AE702" s="51" t="e">
        <f aca="false">IF(Arterial=1,IF(Informed=0,1,0),0)</f>
        <v>#N/A</v>
      </c>
      <c r="AF702" s="44" t="e">
        <f aca="false">IF(AB702=1,(X702-G$1030)^2,0)</f>
        <v>#N/A</v>
      </c>
      <c r="AG702" s="44" t="e">
        <f aca="false">IF(AC702=1,(Y702-H$1030)^2,0)</f>
        <v>#N/A</v>
      </c>
      <c r="AH702" s="44" t="e">
        <f aca="false">IF(AD702=1,(Z702-I$1030)^2,0)</f>
        <v>#N/A</v>
      </c>
      <c r="AI702" s="44" t="e">
        <f aca="false">IF(AE702=1,(AA702-J$1030)^2,0)</f>
        <v>#N/A</v>
      </c>
    </row>
    <row r="703" customFormat="false" ht="12" hidden="false" customHeight="false" outlineLevel="0" collapsed="false">
      <c r="A703" s="29" t="n">
        <v>686</v>
      </c>
      <c r="B703" s="45" t="n">
        <f aca="true">IF(RAND()&lt;$D$8,1,0)</f>
        <v>1</v>
      </c>
      <c r="C703" s="34" t="n">
        <f aca="true">-LN(RAND())/$D$2</f>
        <v>0.0690957326518996</v>
      </c>
      <c r="D703" s="46" t="n">
        <f aca="false">D702+C703</f>
        <v>1070.53410505212</v>
      </c>
      <c r="E703" s="47" t="e">
        <f aca="false">MAX($D$3,(1+P702-VLOOKUP(VALUE(D703),$J$18:$Q702,7,TRUE()))*$D$3)</f>
        <v>#N/A</v>
      </c>
      <c r="F703" s="47" t="e">
        <f aca="false">MAX($D$4,(1+Q702-VLOOKUP(VALUE(D703),$M$18:$Q702,5,TRUE()))*$D$4)</f>
        <v>#N/A</v>
      </c>
      <c r="G703" s="48" t="n">
        <v>0.5</v>
      </c>
      <c r="H703" s="46" t="e">
        <f aca="true">IF((B703=1),(IF((F703&lt;E703),1,(IF((F703=E703),(IF(RAND()&lt;G703,1,0)),0)))),(IF((RAND()&lt;G703),1,0)))</f>
        <v>#N/A</v>
      </c>
      <c r="I703" s="46" t="e">
        <f aca="true">IF((H703=1),0,$D$3+$D$5*(RAND()-0.5))</f>
        <v>#N/A</v>
      </c>
      <c r="J703" s="46" t="e">
        <f aca="false">I703+MAX(D703,J702)</f>
        <v>#N/A</v>
      </c>
      <c r="K703" s="46" t="e">
        <f aca="false">IF((H703=0),J703-D703,0)</f>
        <v>#N/A</v>
      </c>
      <c r="L703" s="46" t="e">
        <f aca="true">IF(($H703=0),0,$D$4+$D$5*(RAND()-0.5))</f>
        <v>#N/A</v>
      </c>
      <c r="M703" s="46" t="e">
        <f aca="false">L703+MAX(D703,M702)</f>
        <v>#N/A</v>
      </c>
      <c r="N703" s="46" t="e">
        <f aca="false">IF((H703=1),M703-D703,0)</f>
        <v>#N/A</v>
      </c>
      <c r="O703" s="29" t="n">
        <v>686</v>
      </c>
      <c r="P703" s="49" t="e">
        <f aca="false">IF((Arterial=0),P702+1,P702)</f>
        <v>#N/A</v>
      </c>
      <c r="Q703" s="49" t="e">
        <f aca="false">IF((Arterial=1),Q702+1,Q702)</f>
        <v>#N/A</v>
      </c>
      <c r="R703" s="50" t="n">
        <f aca="false">IF((RESET=1),0,R703+K703)</f>
        <v>0</v>
      </c>
      <c r="S703" s="19" t="n">
        <f aca="false">IF(RESET=1,0,S703+N703)</f>
        <v>0</v>
      </c>
      <c r="T703" s="0" t="n">
        <f aca="false">IF(RESET=1,0,T703+IF(H703=0,1,0))</f>
        <v>0</v>
      </c>
      <c r="U703" s="0" t="n">
        <f aca="false">IF(RESET=1,0,U703+H703)</f>
        <v>0</v>
      </c>
      <c r="V703" s="19" t="n">
        <f aca="false">R703/(T703+0.00001)</f>
        <v>0</v>
      </c>
      <c r="W703" s="19" t="n">
        <f aca="false">S703/(U703+0.0001)</f>
        <v>0</v>
      </c>
      <c r="X703" s="47" t="e">
        <f aca="false">IF(Informed=1,K703,0)</f>
        <v>#N/A</v>
      </c>
      <c r="Y703" s="47" t="n">
        <f aca="false">IF(Informed=0,K703,0)</f>
        <v>0</v>
      </c>
      <c r="Z703" s="47" t="e">
        <f aca="false">IF(Informed=1,N703,0)</f>
        <v>#N/A</v>
      </c>
      <c r="AA703" s="47" t="n">
        <f aca="false">IF(Informed=0,N703,0)</f>
        <v>0</v>
      </c>
      <c r="AB703" s="51" t="e">
        <f aca="false">IF(Arterial=0,IF(Informed=1,1,0),0)</f>
        <v>#N/A</v>
      </c>
      <c r="AC703" s="51" t="e">
        <f aca="false">IF(Arterial=0,IF(Informed=0,1,0),0)</f>
        <v>#N/A</v>
      </c>
      <c r="AD703" s="51" t="e">
        <f aca="false">IF(Arterial=1,IF(Informed=1,1,0),0)</f>
        <v>#N/A</v>
      </c>
      <c r="AE703" s="51" t="e">
        <f aca="false">IF(Arterial=1,IF(Informed=0,1,0),0)</f>
        <v>#N/A</v>
      </c>
      <c r="AF703" s="44" t="e">
        <f aca="false">IF(AB703=1,(X703-G$1030)^2,0)</f>
        <v>#N/A</v>
      </c>
      <c r="AG703" s="44" t="e">
        <f aca="false">IF(AC703=1,(Y703-H$1030)^2,0)</f>
        <v>#N/A</v>
      </c>
      <c r="AH703" s="44" t="e">
        <f aca="false">IF(AD703=1,(Z703-I$1030)^2,0)</f>
        <v>#N/A</v>
      </c>
      <c r="AI703" s="44" t="e">
        <f aca="false">IF(AE703=1,(AA703-J$1030)^2,0)</f>
        <v>#N/A</v>
      </c>
    </row>
    <row r="704" customFormat="false" ht="12" hidden="false" customHeight="false" outlineLevel="0" collapsed="false">
      <c r="A704" s="29" t="n">
        <v>687</v>
      </c>
      <c r="B704" s="45" t="n">
        <f aca="true">IF(RAND()&lt;$D$8,1,0)</f>
        <v>1</v>
      </c>
      <c r="C704" s="34" t="n">
        <f aca="true">-LN(RAND())/$D$2</f>
        <v>0.04181815989686</v>
      </c>
      <c r="D704" s="46" t="n">
        <f aca="false">D703+C704</f>
        <v>1070.57592321201</v>
      </c>
      <c r="E704" s="47" t="e">
        <f aca="false">MAX($D$3,(1+P703-VLOOKUP(VALUE(D704),$J$18:$Q703,7,TRUE()))*$D$3)</f>
        <v>#N/A</v>
      </c>
      <c r="F704" s="47" t="e">
        <f aca="false">MAX($D$4,(1+Q703-VLOOKUP(VALUE(D704),$M$18:$Q703,5,TRUE()))*$D$4)</f>
        <v>#N/A</v>
      </c>
      <c r="G704" s="48" t="n">
        <v>0.5</v>
      </c>
      <c r="H704" s="46" t="e">
        <f aca="true">IF((B704=1),(IF((F704&lt;E704),1,(IF((F704=E704),(IF(RAND()&lt;G704,1,0)),0)))),(IF((RAND()&lt;G704),1,0)))</f>
        <v>#N/A</v>
      </c>
      <c r="I704" s="46" t="e">
        <f aca="true">IF((H704=1),0,$D$3+$D$5*(RAND()-0.5))</f>
        <v>#N/A</v>
      </c>
      <c r="J704" s="46" t="e">
        <f aca="false">I704+MAX(D704,J703)</f>
        <v>#N/A</v>
      </c>
      <c r="K704" s="46" t="e">
        <f aca="false">IF((H704=0),J704-D704,0)</f>
        <v>#N/A</v>
      </c>
      <c r="L704" s="46" t="e">
        <f aca="true">IF(($H704=0),0,$D$4+$D$5*(RAND()-0.5))</f>
        <v>#N/A</v>
      </c>
      <c r="M704" s="46" t="e">
        <f aca="false">L704+MAX(D704,M703)</f>
        <v>#N/A</v>
      </c>
      <c r="N704" s="46" t="e">
        <f aca="false">IF((H704=1),M704-D704,0)</f>
        <v>#N/A</v>
      </c>
      <c r="O704" s="29" t="n">
        <v>687</v>
      </c>
      <c r="P704" s="49" t="e">
        <f aca="false">IF((Arterial=0),P703+1,P703)</f>
        <v>#N/A</v>
      </c>
      <c r="Q704" s="49" t="e">
        <f aca="false">IF((Arterial=1),Q703+1,Q703)</f>
        <v>#N/A</v>
      </c>
      <c r="R704" s="50" t="n">
        <f aca="false">IF((RESET=1),0,R704+K704)</f>
        <v>0</v>
      </c>
      <c r="S704" s="19" t="n">
        <f aca="false">IF(RESET=1,0,S704+N704)</f>
        <v>0</v>
      </c>
      <c r="T704" s="0" t="n">
        <f aca="false">IF(RESET=1,0,T704+IF(H704=0,1,0))</f>
        <v>0</v>
      </c>
      <c r="U704" s="0" t="n">
        <f aca="false">IF(RESET=1,0,U704+H704)</f>
        <v>0</v>
      </c>
      <c r="V704" s="19" t="n">
        <f aca="false">R704/(T704+0.00001)</f>
        <v>0</v>
      </c>
      <c r="W704" s="19" t="n">
        <f aca="false">S704/(U704+0.0001)</f>
        <v>0</v>
      </c>
      <c r="X704" s="47" t="e">
        <f aca="false">IF(Informed=1,K704,0)</f>
        <v>#N/A</v>
      </c>
      <c r="Y704" s="47" t="n">
        <f aca="false">IF(Informed=0,K704,0)</f>
        <v>0</v>
      </c>
      <c r="Z704" s="47" t="e">
        <f aca="false">IF(Informed=1,N704,0)</f>
        <v>#N/A</v>
      </c>
      <c r="AA704" s="47" t="n">
        <f aca="false">IF(Informed=0,N704,0)</f>
        <v>0</v>
      </c>
      <c r="AB704" s="51" t="e">
        <f aca="false">IF(Arterial=0,IF(Informed=1,1,0),0)</f>
        <v>#N/A</v>
      </c>
      <c r="AC704" s="51" t="e">
        <f aca="false">IF(Arterial=0,IF(Informed=0,1,0),0)</f>
        <v>#N/A</v>
      </c>
      <c r="AD704" s="51" t="e">
        <f aca="false">IF(Arterial=1,IF(Informed=1,1,0),0)</f>
        <v>#N/A</v>
      </c>
      <c r="AE704" s="51" t="e">
        <f aca="false">IF(Arterial=1,IF(Informed=0,1,0),0)</f>
        <v>#N/A</v>
      </c>
      <c r="AF704" s="44" t="e">
        <f aca="false">IF(AB704=1,(X704-G$1030)^2,0)</f>
        <v>#N/A</v>
      </c>
      <c r="AG704" s="44" t="e">
        <f aca="false">IF(AC704=1,(Y704-H$1030)^2,0)</f>
        <v>#N/A</v>
      </c>
      <c r="AH704" s="44" t="e">
        <f aca="false">IF(AD704=1,(Z704-I$1030)^2,0)</f>
        <v>#N/A</v>
      </c>
      <c r="AI704" s="44" t="e">
        <f aca="false">IF(AE704=1,(AA704-J$1030)^2,0)</f>
        <v>#N/A</v>
      </c>
    </row>
    <row r="705" customFormat="false" ht="12" hidden="false" customHeight="false" outlineLevel="0" collapsed="false">
      <c r="A705" s="29" t="n">
        <v>688</v>
      </c>
      <c r="B705" s="45" t="n">
        <f aca="true">IF(RAND()&lt;$D$8,1,0)</f>
        <v>1</v>
      </c>
      <c r="C705" s="34" t="n">
        <f aca="true">-LN(RAND())/$D$2</f>
        <v>4.38148007676087</v>
      </c>
      <c r="D705" s="46" t="n">
        <f aca="false">D704+C705</f>
        <v>1074.95740328877</v>
      </c>
      <c r="E705" s="47" t="e">
        <f aca="false">MAX($D$3,(1+P704-VLOOKUP(VALUE(D705),$J$18:$Q704,7,TRUE()))*$D$3)</f>
        <v>#N/A</v>
      </c>
      <c r="F705" s="47" t="e">
        <f aca="false">MAX($D$4,(1+Q704-VLOOKUP(VALUE(D705),$M$18:$Q704,5,TRUE()))*$D$4)</f>
        <v>#N/A</v>
      </c>
      <c r="G705" s="48" t="n">
        <v>0.5</v>
      </c>
      <c r="H705" s="46" t="e">
        <f aca="true">IF((B705=1),(IF((F705&lt;E705),1,(IF((F705=E705),(IF(RAND()&lt;G705,1,0)),0)))),(IF((RAND()&lt;G705),1,0)))</f>
        <v>#N/A</v>
      </c>
      <c r="I705" s="46" t="e">
        <f aca="true">IF((H705=1),0,$D$3+$D$5*(RAND()-0.5))</f>
        <v>#N/A</v>
      </c>
      <c r="J705" s="46" t="e">
        <f aca="false">I705+MAX(D705,J704)</f>
        <v>#N/A</v>
      </c>
      <c r="K705" s="46" t="e">
        <f aca="false">IF((H705=0),J705-D705,0)</f>
        <v>#N/A</v>
      </c>
      <c r="L705" s="46" t="e">
        <f aca="true">IF(($H705=0),0,$D$4+$D$5*(RAND()-0.5))</f>
        <v>#N/A</v>
      </c>
      <c r="M705" s="46" t="e">
        <f aca="false">L705+MAX(D705,M704)</f>
        <v>#N/A</v>
      </c>
      <c r="N705" s="46" t="e">
        <f aca="false">IF((H705=1),M705-D705,0)</f>
        <v>#N/A</v>
      </c>
      <c r="O705" s="29" t="n">
        <v>688</v>
      </c>
      <c r="P705" s="49" t="e">
        <f aca="false">IF((Arterial=0),P704+1,P704)</f>
        <v>#N/A</v>
      </c>
      <c r="Q705" s="49" t="e">
        <f aca="false">IF((Arterial=1),Q704+1,Q704)</f>
        <v>#N/A</v>
      </c>
      <c r="R705" s="50" t="n">
        <f aca="false">IF((RESET=1),0,R705+K705)</f>
        <v>0</v>
      </c>
      <c r="S705" s="19" t="n">
        <f aca="false">IF(RESET=1,0,S705+N705)</f>
        <v>0</v>
      </c>
      <c r="T705" s="0" t="n">
        <f aca="false">IF(RESET=1,0,T705+IF(H705=0,1,0))</f>
        <v>0</v>
      </c>
      <c r="U705" s="0" t="n">
        <f aca="false">IF(RESET=1,0,U705+H705)</f>
        <v>0</v>
      </c>
      <c r="V705" s="19" t="n">
        <f aca="false">R705/(T705+0.00001)</f>
        <v>0</v>
      </c>
      <c r="W705" s="19" t="n">
        <f aca="false">S705/(U705+0.0001)</f>
        <v>0</v>
      </c>
      <c r="X705" s="47" t="e">
        <f aca="false">IF(Informed=1,K705,0)</f>
        <v>#N/A</v>
      </c>
      <c r="Y705" s="47" t="n">
        <f aca="false">IF(Informed=0,K705,0)</f>
        <v>0</v>
      </c>
      <c r="Z705" s="47" t="e">
        <f aca="false">IF(Informed=1,N705,0)</f>
        <v>#N/A</v>
      </c>
      <c r="AA705" s="47" t="n">
        <f aca="false">IF(Informed=0,N705,0)</f>
        <v>0</v>
      </c>
      <c r="AB705" s="51" t="e">
        <f aca="false">IF(Arterial=0,IF(Informed=1,1,0),0)</f>
        <v>#N/A</v>
      </c>
      <c r="AC705" s="51" t="e">
        <f aca="false">IF(Arterial=0,IF(Informed=0,1,0),0)</f>
        <v>#N/A</v>
      </c>
      <c r="AD705" s="51" t="e">
        <f aca="false">IF(Arterial=1,IF(Informed=1,1,0),0)</f>
        <v>#N/A</v>
      </c>
      <c r="AE705" s="51" t="e">
        <f aca="false">IF(Arterial=1,IF(Informed=0,1,0),0)</f>
        <v>#N/A</v>
      </c>
      <c r="AF705" s="44" t="e">
        <f aca="false">IF(AB705=1,(X705-G$1030)^2,0)</f>
        <v>#N/A</v>
      </c>
      <c r="AG705" s="44" t="e">
        <f aca="false">IF(AC705=1,(Y705-H$1030)^2,0)</f>
        <v>#N/A</v>
      </c>
      <c r="AH705" s="44" t="e">
        <f aca="false">IF(AD705=1,(Z705-I$1030)^2,0)</f>
        <v>#N/A</v>
      </c>
      <c r="AI705" s="44" t="e">
        <f aca="false">IF(AE705=1,(AA705-J$1030)^2,0)</f>
        <v>#N/A</v>
      </c>
    </row>
    <row r="706" customFormat="false" ht="12" hidden="false" customHeight="false" outlineLevel="0" collapsed="false">
      <c r="A706" s="29" t="n">
        <v>689</v>
      </c>
      <c r="B706" s="45" t="n">
        <f aca="true">IF(RAND()&lt;$D$8,1,0)</f>
        <v>1</v>
      </c>
      <c r="C706" s="34" t="n">
        <f aca="true">-LN(RAND())/$D$2</f>
        <v>0.288787086876104</v>
      </c>
      <c r="D706" s="46" t="n">
        <f aca="false">D705+C706</f>
        <v>1075.24619037565</v>
      </c>
      <c r="E706" s="47" t="e">
        <f aca="false">MAX($D$3,(1+P705-VLOOKUP(VALUE(D706),$J$18:$Q705,7,TRUE()))*$D$3)</f>
        <v>#N/A</v>
      </c>
      <c r="F706" s="47" t="e">
        <f aca="false">MAX($D$4,(1+Q705-VLOOKUP(VALUE(D706),$M$18:$Q705,5,TRUE()))*$D$4)</f>
        <v>#N/A</v>
      </c>
      <c r="G706" s="48" t="n">
        <v>0.5</v>
      </c>
      <c r="H706" s="46" t="e">
        <f aca="true">IF((B706=1),(IF((F706&lt;E706),1,(IF((F706=E706),(IF(RAND()&lt;G706,1,0)),0)))),(IF((RAND()&lt;G706),1,0)))</f>
        <v>#N/A</v>
      </c>
      <c r="I706" s="46" t="e">
        <f aca="true">IF((H706=1),0,$D$3+$D$5*(RAND()-0.5))</f>
        <v>#N/A</v>
      </c>
      <c r="J706" s="46" t="e">
        <f aca="false">I706+MAX(D706,J705)</f>
        <v>#N/A</v>
      </c>
      <c r="K706" s="46" t="e">
        <f aca="false">IF((H706=0),J706-D706,0)</f>
        <v>#N/A</v>
      </c>
      <c r="L706" s="46" t="e">
        <f aca="true">IF(($H706=0),0,$D$4+$D$5*(RAND()-0.5))</f>
        <v>#N/A</v>
      </c>
      <c r="M706" s="46" t="e">
        <f aca="false">L706+MAX(D706,M705)</f>
        <v>#N/A</v>
      </c>
      <c r="N706" s="46" t="e">
        <f aca="false">IF((H706=1),M706-D706,0)</f>
        <v>#N/A</v>
      </c>
      <c r="O706" s="29" t="n">
        <v>689</v>
      </c>
      <c r="P706" s="49" t="e">
        <f aca="false">IF((Arterial=0),P705+1,P705)</f>
        <v>#N/A</v>
      </c>
      <c r="Q706" s="49" t="e">
        <f aca="false">IF((Arterial=1),Q705+1,Q705)</f>
        <v>#N/A</v>
      </c>
      <c r="R706" s="50" t="n">
        <f aca="false">IF((RESET=1),0,R706+K706)</f>
        <v>0</v>
      </c>
      <c r="S706" s="19" t="n">
        <f aca="false">IF(RESET=1,0,S706+N706)</f>
        <v>0</v>
      </c>
      <c r="T706" s="0" t="n">
        <f aca="false">IF(RESET=1,0,T706+IF(H706=0,1,0))</f>
        <v>0</v>
      </c>
      <c r="U706" s="0" t="n">
        <f aca="false">IF(RESET=1,0,U706+H706)</f>
        <v>0</v>
      </c>
      <c r="V706" s="19" t="n">
        <f aca="false">R706/(T706+0.00001)</f>
        <v>0</v>
      </c>
      <c r="W706" s="19" t="n">
        <f aca="false">S706/(U706+0.0001)</f>
        <v>0</v>
      </c>
      <c r="X706" s="47" t="e">
        <f aca="false">IF(Informed=1,K706,0)</f>
        <v>#N/A</v>
      </c>
      <c r="Y706" s="47" t="n">
        <f aca="false">IF(Informed=0,K706,0)</f>
        <v>0</v>
      </c>
      <c r="Z706" s="47" t="e">
        <f aca="false">IF(Informed=1,N706,0)</f>
        <v>#N/A</v>
      </c>
      <c r="AA706" s="47" t="n">
        <f aca="false">IF(Informed=0,N706,0)</f>
        <v>0</v>
      </c>
      <c r="AB706" s="51" t="e">
        <f aca="false">IF(Arterial=0,IF(Informed=1,1,0),0)</f>
        <v>#N/A</v>
      </c>
      <c r="AC706" s="51" t="e">
        <f aca="false">IF(Arterial=0,IF(Informed=0,1,0),0)</f>
        <v>#N/A</v>
      </c>
      <c r="AD706" s="51" t="e">
        <f aca="false">IF(Arterial=1,IF(Informed=1,1,0),0)</f>
        <v>#N/A</v>
      </c>
      <c r="AE706" s="51" t="e">
        <f aca="false">IF(Arterial=1,IF(Informed=0,1,0),0)</f>
        <v>#N/A</v>
      </c>
      <c r="AF706" s="44" t="e">
        <f aca="false">IF(AB706=1,(X706-G$1030)^2,0)</f>
        <v>#N/A</v>
      </c>
      <c r="AG706" s="44" t="e">
        <f aca="false">IF(AC706=1,(Y706-H$1030)^2,0)</f>
        <v>#N/A</v>
      </c>
      <c r="AH706" s="44" t="e">
        <f aca="false">IF(AD706=1,(Z706-I$1030)^2,0)</f>
        <v>#N/A</v>
      </c>
      <c r="AI706" s="44" t="e">
        <f aca="false">IF(AE706=1,(AA706-J$1030)^2,0)</f>
        <v>#N/A</v>
      </c>
    </row>
    <row r="707" customFormat="false" ht="12" hidden="false" customHeight="false" outlineLevel="0" collapsed="false">
      <c r="A707" s="29" t="n">
        <v>690</v>
      </c>
      <c r="B707" s="45" t="n">
        <f aca="true">IF(RAND()&lt;$D$8,1,0)</f>
        <v>1</v>
      </c>
      <c r="C707" s="34" t="n">
        <f aca="true">-LN(RAND())/$D$2</f>
        <v>2.31701136661724</v>
      </c>
      <c r="D707" s="46" t="n">
        <f aca="false">D706+C707</f>
        <v>1077.56320174227</v>
      </c>
      <c r="E707" s="47" t="e">
        <f aca="false">MAX($D$3,(1+P706-VLOOKUP(VALUE(D707),$J$18:$Q706,7,TRUE()))*$D$3)</f>
        <v>#N/A</v>
      </c>
      <c r="F707" s="47" t="e">
        <f aca="false">MAX($D$4,(1+Q706-VLOOKUP(VALUE(D707),$M$18:$Q706,5,TRUE()))*$D$4)</f>
        <v>#N/A</v>
      </c>
      <c r="G707" s="48" t="n">
        <v>0.5</v>
      </c>
      <c r="H707" s="46" t="e">
        <f aca="true">IF((B707=1),(IF((F707&lt;E707),1,(IF((F707=E707),(IF(RAND()&lt;G707,1,0)),0)))),(IF((RAND()&lt;G707),1,0)))</f>
        <v>#N/A</v>
      </c>
      <c r="I707" s="46" t="e">
        <f aca="true">IF((H707=1),0,$D$3+$D$5*(RAND()-0.5))</f>
        <v>#N/A</v>
      </c>
      <c r="J707" s="46" t="e">
        <f aca="false">I707+MAX(D707,J706)</f>
        <v>#N/A</v>
      </c>
      <c r="K707" s="46" t="e">
        <f aca="false">IF((H707=0),J707-D707,0)</f>
        <v>#N/A</v>
      </c>
      <c r="L707" s="46" t="e">
        <f aca="true">IF(($H707=0),0,$D$4+$D$5*(RAND()-0.5))</f>
        <v>#N/A</v>
      </c>
      <c r="M707" s="46" t="e">
        <f aca="false">L707+MAX(D707,M706)</f>
        <v>#N/A</v>
      </c>
      <c r="N707" s="46" t="e">
        <f aca="false">IF((H707=1),M707-D707,0)</f>
        <v>#N/A</v>
      </c>
      <c r="O707" s="29" t="n">
        <v>690</v>
      </c>
      <c r="P707" s="49" t="e">
        <f aca="false">IF((Arterial=0),P706+1,P706)</f>
        <v>#N/A</v>
      </c>
      <c r="Q707" s="49" t="e">
        <f aca="false">IF((Arterial=1),Q706+1,Q706)</f>
        <v>#N/A</v>
      </c>
      <c r="R707" s="50" t="n">
        <f aca="false">IF((RESET=1),0,R707+K707)</f>
        <v>0</v>
      </c>
      <c r="S707" s="19" t="n">
        <f aca="false">IF(RESET=1,0,S707+N707)</f>
        <v>0</v>
      </c>
      <c r="T707" s="0" t="n">
        <f aca="false">IF(RESET=1,0,T707+IF(H707=0,1,0))</f>
        <v>0</v>
      </c>
      <c r="U707" s="0" t="n">
        <f aca="false">IF(RESET=1,0,U707+H707)</f>
        <v>0</v>
      </c>
      <c r="V707" s="19" t="n">
        <f aca="false">R707/(T707+0.00001)</f>
        <v>0</v>
      </c>
      <c r="W707" s="19" t="n">
        <f aca="false">S707/(U707+0.0001)</f>
        <v>0</v>
      </c>
      <c r="X707" s="47" t="e">
        <f aca="false">IF(Informed=1,K707,0)</f>
        <v>#N/A</v>
      </c>
      <c r="Y707" s="47" t="n">
        <f aca="false">IF(Informed=0,K707,0)</f>
        <v>0</v>
      </c>
      <c r="Z707" s="47" t="e">
        <f aca="false">IF(Informed=1,N707,0)</f>
        <v>#N/A</v>
      </c>
      <c r="AA707" s="47" t="n">
        <f aca="false">IF(Informed=0,N707,0)</f>
        <v>0</v>
      </c>
      <c r="AB707" s="51" t="e">
        <f aca="false">IF(Arterial=0,IF(Informed=1,1,0),0)</f>
        <v>#N/A</v>
      </c>
      <c r="AC707" s="51" t="e">
        <f aca="false">IF(Arterial=0,IF(Informed=0,1,0),0)</f>
        <v>#N/A</v>
      </c>
      <c r="AD707" s="51" t="e">
        <f aca="false">IF(Arterial=1,IF(Informed=1,1,0),0)</f>
        <v>#N/A</v>
      </c>
      <c r="AE707" s="51" t="e">
        <f aca="false">IF(Arterial=1,IF(Informed=0,1,0),0)</f>
        <v>#N/A</v>
      </c>
      <c r="AF707" s="44" t="e">
        <f aca="false">IF(AB707=1,(X707-G$1030)^2,0)</f>
        <v>#N/A</v>
      </c>
      <c r="AG707" s="44" t="e">
        <f aca="false">IF(AC707=1,(Y707-H$1030)^2,0)</f>
        <v>#N/A</v>
      </c>
      <c r="AH707" s="44" t="e">
        <f aca="false">IF(AD707=1,(Z707-I$1030)^2,0)</f>
        <v>#N/A</v>
      </c>
      <c r="AI707" s="44" t="e">
        <f aca="false">IF(AE707=1,(AA707-J$1030)^2,0)</f>
        <v>#N/A</v>
      </c>
    </row>
    <row r="708" customFormat="false" ht="12" hidden="false" customHeight="false" outlineLevel="0" collapsed="false">
      <c r="A708" s="29" t="n">
        <v>691</v>
      </c>
      <c r="B708" s="45" t="n">
        <f aca="true">IF(RAND()&lt;$D$8,1,0)</f>
        <v>1</v>
      </c>
      <c r="C708" s="34" t="n">
        <f aca="true">-LN(RAND())/$D$2</f>
        <v>3.88795169877508</v>
      </c>
      <c r="D708" s="46" t="n">
        <f aca="false">D707+C708</f>
        <v>1081.45115344104</v>
      </c>
      <c r="E708" s="47" t="e">
        <f aca="false">MAX($D$3,(1+P707-VLOOKUP(VALUE(D708),$J$18:$Q707,7,TRUE()))*$D$3)</f>
        <v>#N/A</v>
      </c>
      <c r="F708" s="47" t="e">
        <f aca="false">MAX($D$4,(1+Q707-VLOOKUP(VALUE(D708),$M$18:$Q707,5,TRUE()))*$D$4)</f>
        <v>#N/A</v>
      </c>
      <c r="G708" s="48" t="n">
        <v>0.5</v>
      </c>
      <c r="H708" s="46" t="e">
        <f aca="true">IF((B708=1),(IF((F708&lt;E708),1,(IF((F708=E708),(IF(RAND()&lt;G708,1,0)),0)))),(IF((RAND()&lt;G708),1,0)))</f>
        <v>#N/A</v>
      </c>
      <c r="I708" s="46" t="e">
        <f aca="true">IF((H708=1),0,$D$3+$D$5*(RAND()-0.5))</f>
        <v>#N/A</v>
      </c>
      <c r="J708" s="46" t="e">
        <f aca="false">I708+MAX(D708,J707)</f>
        <v>#N/A</v>
      </c>
      <c r="K708" s="46" t="e">
        <f aca="false">IF((H708=0),J708-D708,0)</f>
        <v>#N/A</v>
      </c>
      <c r="L708" s="46" t="e">
        <f aca="true">IF(($H708=0),0,$D$4+$D$5*(RAND()-0.5))</f>
        <v>#N/A</v>
      </c>
      <c r="M708" s="46" t="e">
        <f aca="false">L708+MAX(D708,M707)</f>
        <v>#N/A</v>
      </c>
      <c r="N708" s="46" t="e">
        <f aca="false">IF((H708=1),M708-D708,0)</f>
        <v>#N/A</v>
      </c>
      <c r="O708" s="29" t="n">
        <v>691</v>
      </c>
      <c r="P708" s="49" t="e">
        <f aca="false">IF((Arterial=0),P707+1,P707)</f>
        <v>#N/A</v>
      </c>
      <c r="Q708" s="49" t="e">
        <f aca="false">IF((Arterial=1),Q707+1,Q707)</f>
        <v>#N/A</v>
      </c>
      <c r="R708" s="50" t="n">
        <f aca="false">IF((RESET=1),0,R708+K708)</f>
        <v>0</v>
      </c>
      <c r="S708" s="19" t="n">
        <f aca="false">IF(RESET=1,0,S708+N708)</f>
        <v>0</v>
      </c>
      <c r="T708" s="0" t="n">
        <f aca="false">IF(RESET=1,0,T708+IF(H708=0,1,0))</f>
        <v>0</v>
      </c>
      <c r="U708" s="0" t="n">
        <f aca="false">IF(RESET=1,0,U708+H708)</f>
        <v>0</v>
      </c>
      <c r="V708" s="19" t="n">
        <f aca="false">R708/(T708+0.00001)</f>
        <v>0</v>
      </c>
      <c r="W708" s="19" t="n">
        <f aca="false">S708/(U708+0.0001)</f>
        <v>0</v>
      </c>
      <c r="X708" s="47" t="e">
        <f aca="false">IF(Informed=1,K708,0)</f>
        <v>#N/A</v>
      </c>
      <c r="Y708" s="47" t="n">
        <f aca="false">IF(Informed=0,K708,0)</f>
        <v>0</v>
      </c>
      <c r="Z708" s="47" t="e">
        <f aca="false">IF(Informed=1,N708,0)</f>
        <v>#N/A</v>
      </c>
      <c r="AA708" s="47" t="n">
        <f aca="false">IF(Informed=0,N708,0)</f>
        <v>0</v>
      </c>
      <c r="AB708" s="51" t="e">
        <f aca="false">IF(Arterial=0,IF(Informed=1,1,0),0)</f>
        <v>#N/A</v>
      </c>
      <c r="AC708" s="51" t="e">
        <f aca="false">IF(Arterial=0,IF(Informed=0,1,0),0)</f>
        <v>#N/A</v>
      </c>
      <c r="AD708" s="51" t="e">
        <f aca="false">IF(Arterial=1,IF(Informed=1,1,0),0)</f>
        <v>#N/A</v>
      </c>
      <c r="AE708" s="51" t="e">
        <f aca="false">IF(Arterial=1,IF(Informed=0,1,0),0)</f>
        <v>#N/A</v>
      </c>
      <c r="AF708" s="44" t="e">
        <f aca="false">IF(AB708=1,(X708-G$1030)^2,0)</f>
        <v>#N/A</v>
      </c>
      <c r="AG708" s="44" t="e">
        <f aca="false">IF(AC708=1,(Y708-H$1030)^2,0)</f>
        <v>#N/A</v>
      </c>
      <c r="AH708" s="44" t="e">
        <f aca="false">IF(AD708=1,(Z708-I$1030)^2,0)</f>
        <v>#N/A</v>
      </c>
      <c r="AI708" s="44" t="e">
        <f aca="false">IF(AE708=1,(AA708-J$1030)^2,0)</f>
        <v>#N/A</v>
      </c>
    </row>
    <row r="709" customFormat="false" ht="12" hidden="false" customHeight="false" outlineLevel="0" collapsed="false">
      <c r="A709" s="29" t="n">
        <v>692</v>
      </c>
      <c r="B709" s="45" t="n">
        <f aca="true">IF(RAND()&lt;$D$8,1,0)</f>
        <v>1</v>
      </c>
      <c r="C709" s="34" t="n">
        <f aca="true">-LN(RAND())/$D$2</f>
        <v>0.38825317993682</v>
      </c>
      <c r="D709" s="46" t="n">
        <f aca="false">D708+C709</f>
        <v>1081.83940662098</v>
      </c>
      <c r="E709" s="47" t="e">
        <f aca="false">MAX($D$3,(1+P708-VLOOKUP(VALUE(D709),$J$18:$Q708,7,TRUE()))*$D$3)</f>
        <v>#N/A</v>
      </c>
      <c r="F709" s="47" t="e">
        <f aca="false">MAX($D$4,(1+Q708-VLOOKUP(VALUE(D709),$M$18:$Q708,5,TRUE()))*$D$4)</f>
        <v>#N/A</v>
      </c>
      <c r="G709" s="48" t="n">
        <v>0.5</v>
      </c>
      <c r="H709" s="46" t="e">
        <f aca="true">IF((B709=1),(IF((F709&lt;E709),1,(IF((F709=E709),(IF(RAND()&lt;G709,1,0)),0)))),(IF((RAND()&lt;G709),1,0)))</f>
        <v>#N/A</v>
      </c>
      <c r="I709" s="46" t="e">
        <f aca="true">IF((H709=1),0,$D$3+$D$5*(RAND()-0.5))</f>
        <v>#N/A</v>
      </c>
      <c r="J709" s="46" t="e">
        <f aca="false">I709+MAX(D709,J708)</f>
        <v>#N/A</v>
      </c>
      <c r="K709" s="46" t="e">
        <f aca="false">IF((H709=0),J709-D709,0)</f>
        <v>#N/A</v>
      </c>
      <c r="L709" s="46" t="e">
        <f aca="true">IF(($H709=0),0,$D$4+$D$5*(RAND()-0.5))</f>
        <v>#N/A</v>
      </c>
      <c r="M709" s="46" t="e">
        <f aca="false">L709+MAX(D709,M708)</f>
        <v>#N/A</v>
      </c>
      <c r="N709" s="46" t="e">
        <f aca="false">IF((H709=1),M709-D709,0)</f>
        <v>#N/A</v>
      </c>
      <c r="O709" s="29" t="n">
        <v>692</v>
      </c>
      <c r="P709" s="49" t="e">
        <f aca="false">IF((Arterial=0),P708+1,P708)</f>
        <v>#N/A</v>
      </c>
      <c r="Q709" s="49" t="e">
        <f aca="false">IF((Arterial=1),Q708+1,Q708)</f>
        <v>#N/A</v>
      </c>
      <c r="R709" s="50" t="n">
        <f aca="false">IF((RESET=1),0,R709+K709)</f>
        <v>0</v>
      </c>
      <c r="S709" s="19" t="n">
        <f aca="false">IF(RESET=1,0,S709+N709)</f>
        <v>0</v>
      </c>
      <c r="T709" s="0" t="n">
        <f aca="false">IF(RESET=1,0,T709+IF(H709=0,1,0))</f>
        <v>0</v>
      </c>
      <c r="U709" s="0" t="n">
        <f aca="false">IF(RESET=1,0,U709+H709)</f>
        <v>0</v>
      </c>
      <c r="V709" s="19" t="n">
        <f aca="false">R709/(T709+0.00001)</f>
        <v>0</v>
      </c>
      <c r="W709" s="19" t="n">
        <f aca="false">S709/(U709+0.0001)</f>
        <v>0</v>
      </c>
      <c r="X709" s="47" t="e">
        <f aca="false">IF(Informed=1,K709,0)</f>
        <v>#N/A</v>
      </c>
      <c r="Y709" s="47" t="n">
        <f aca="false">IF(Informed=0,K709,0)</f>
        <v>0</v>
      </c>
      <c r="Z709" s="47" t="e">
        <f aca="false">IF(Informed=1,N709,0)</f>
        <v>#N/A</v>
      </c>
      <c r="AA709" s="47" t="n">
        <f aca="false">IF(Informed=0,N709,0)</f>
        <v>0</v>
      </c>
      <c r="AB709" s="51" t="e">
        <f aca="false">IF(Arterial=0,IF(Informed=1,1,0),0)</f>
        <v>#N/A</v>
      </c>
      <c r="AC709" s="51" t="e">
        <f aca="false">IF(Arterial=0,IF(Informed=0,1,0),0)</f>
        <v>#N/A</v>
      </c>
      <c r="AD709" s="51" t="e">
        <f aca="false">IF(Arterial=1,IF(Informed=1,1,0),0)</f>
        <v>#N/A</v>
      </c>
      <c r="AE709" s="51" t="e">
        <f aca="false">IF(Arterial=1,IF(Informed=0,1,0),0)</f>
        <v>#N/A</v>
      </c>
      <c r="AF709" s="44" t="e">
        <f aca="false">IF(AB709=1,(X709-G$1030)^2,0)</f>
        <v>#N/A</v>
      </c>
      <c r="AG709" s="44" t="e">
        <f aca="false">IF(AC709=1,(Y709-H$1030)^2,0)</f>
        <v>#N/A</v>
      </c>
      <c r="AH709" s="44" t="e">
        <f aca="false">IF(AD709=1,(Z709-I$1030)^2,0)</f>
        <v>#N/A</v>
      </c>
      <c r="AI709" s="44" t="e">
        <f aca="false">IF(AE709=1,(AA709-J$1030)^2,0)</f>
        <v>#N/A</v>
      </c>
    </row>
    <row r="710" customFormat="false" ht="12" hidden="false" customHeight="false" outlineLevel="0" collapsed="false">
      <c r="A710" s="29" t="n">
        <v>693</v>
      </c>
      <c r="B710" s="45" t="n">
        <f aca="true">IF(RAND()&lt;$D$8,1,0)</f>
        <v>1</v>
      </c>
      <c r="C710" s="34" t="n">
        <f aca="true">-LN(RAND())/$D$2</f>
        <v>2.33680678128111</v>
      </c>
      <c r="D710" s="46" t="n">
        <f aca="false">D709+C710</f>
        <v>1084.17621340226</v>
      </c>
      <c r="E710" s="47" t="e">
        <f aca="false">MAX($D$3,(1+P709-VLOOKUP(VALUE(D710),$J$18:$Q709,7,TRUE()))*$D$3)</f>
        <v>#N/A</v>
      </c>
      <c r="F710" s="47" t="e">
        <f aca="false">MAX($D$4,(1+Q709-VLOOKUP(VALUE(D710),$M$18:$Q709,5,TRUE()))*$D$4)</f>
        <v>#N/A</v>
      </c>
      <c r="G710" s="48" t="n">
        <v>0.5</v>
      </c>
      <c r="H710" s="46" t="e">
        <f aca="true">IF((B710=1),(IF((F710&lt;E710),1,(IF((F710=E710),(IF(RAND()&lt;G710,1,0)),0)))),(IF((RAND()&lt;G710),1,0)))</f>
        <v>#N/A</v>
      </c>
      <c r="I710" s="46" t="e">
        <f aca="true">IF((H710=1),0,$D$3+$D$5*(RAND()-0.5))</f>
        <v>#N/A</v>
      </c>
      <c r="J710" s="46" t="e">
        <f aca="false">I710+MAX(D710,J709)</f>
        <v>#N/A</v>
      </c>
      <c r="K710" s="46" t="e">
        <f aca="false">IF((H710=0),J710-D710,0)</f>
        <v>#N/A</v>
      </c>
      <c r="L710" s="46" t="e">
        <f aca="true">IF(($H710=0),0,$D$4+$D$5*(RAND()-0.5))</f>
        <v>#N/A</v>
      </c>
      <c r="M710" s="46" t="e">
        <f aca="false">L710+MAX(D710,M709)</f>
        <v>#N/A</v>
      </c>
      <c r="N710" s="46" t="e">
        <f aca="false">IF((H710=1),M710-D710,0)</f>
        <v>#N/A</v>
      </c>
      <c r="O710" s="29" t="n">
        <v>693</v>
      </c>
      <c r="P710" s="49" t="e">
        <f aca="false">IF((Arterial=0),P709+1,P709)</f>
        <v>#N/A</v>
      </c>
      <c r="Q710" s="49" t="e">
        <f aca="false">IF((Arterial=1),Q709+1,Q709)</f>
        <v>#N/A</v>
      </c>
      <c r="R710" s="50" t="n">
        <f aca="false">IF((RESET=1),0,R710+K710)</f>
        <v>0</v>
      </c>
      <c r="S710" s="19" t="n">
        <f aca="false">IF(RESET=1,0,S710+N710)</f>
        <v>0</v>
      </c>
      <c r="T710" s="0" t="n">
        <f aca="false">IF(RESET=1,0,T710+IF(H710=0,1,0))</f>
        <v>0</v>
      </c>
      <c r="U710" s="0" t="n">
        <f aca="false">IF(RESET=1,0,U710+H710)</f>
        <v>0</v>
      </c>
      <c r="V710" s="19" t="n">
        <f aca="false">R710/(T710+0.00001)</f>
        <v>0</v>
      </c>
      <c r="W710" s="19" t="n">
        <f aca="false">S710/(U710+0.0001)</f>
        <v>0</v>
      </c>
      <c r="X710" s="47" t="e">
        <f aca="false">IF(Informed=1,K710,0)</f>
        <v>#N/A</v>
      </c>
      <c r="Y710" s="47" t="n">
        <f aca="false">IF(Informed=0,K710,0)</f>
        <v>0</v>
      </c>
      <c r="Z710" s="47" t="e">
        <f aca="false">IF(Informed=1,N710,0)</f>
        <v>#N/A</v>
      </c>
      <c r="AA710" s="47" t="n">
        <f aca="false">IF(Informed=0,N710,0)</f>
        <v>0</v>
      </c>
      <c r="AB710" s="51" t="e">
        <f aca="false">IF(Arterial=0,IF(Informed=1,1,0),0)</f>
        <v>#N/A</v>
      </c>
      <c r="AC710" s="51" t="e">
        <f aca="false">IF(Arterial=0,IF(Informed=0,1,0),0)</f>
        <v>#N/A</v>
      </c>
      <c r="AD710" s="51" t="e">
        <f aca="false">IF(Arterial=1,IF(Informed=1,1,0),0)</f>
        <v>#N/A</v>
      </c>
      <c r="AE710" s="51" t="e">
        <f aca="false">IF(Arterial=1,IF(Informed=0,1,0),0)</f>
        <v>#N/A</v>
      </c>
      <c r="AF710" s="44" t="e">
        <f aca="false">IF(AB710=1,(X710-G$1030)^2,0)</f>
        <v>#N/A</v>
      </c>
      <c r="AG710" s="44" t="e">
        <f aca="false">IF(AC710=1,(Y710-H$1030)^2,0)</f>
        <v>#N/A</v>
      </c>
      <c r="AH710" s="44" t="e">
        <f aca="false">IF(AD710=1,(Z710-I$1030)^2,0)</f>
        <v>#N/A</v>
      </c>
      <c r="AI710" s="44" t="e">
        <f aca="false">IF(AE710=1,(AA710-J$1030)^2,0)</f>
        <v>#N/A</v>
      </c>
    </row>
    <row r="711" customFormat="false" ht="12" hidden="false" customHeight="false" outlineLevel="0" collapsed="false">
      <c r="A711" s="29" t="n">
        <v>694</v>
      </c>
      <c r="B711" s="45" t="n">
        <f aca="true">IF(RAND()&lt;$D$8,1,0)</f>
        <v>1</v>
      </c>
      <c r="C711" s="34" t="n">
        <f aca="true">-LN(RAND())/$D$2</f>
        <v>0.156270431745268</v>
      </c>
      <c r="D711" s="46" t="n">
        <f aca="false">D710+C711</f>
        <v>1084.332483834</v>
      </c>
      <c r="E711" s="47" t="e">
        <f aca="false">MAX($D$3,(1+P710-VLOOKUP(VALUE(D711),$J$18:$Q710,7,TRUE()))*$D$3)</f>
        <v>#N/A</v>
      </c>
      <c r="F711" s="47" t="e">
        <f aca="false">MAX($D$4,(1+Q710-VLOOKUP(VALUE(D711),$M$18:$Q710,5,TRUE()))*$D$4)</f>
        <v>#N/A</v>
      </c>
      <c r="G711" s="48" t="n">
        <v>0.5</v>
      </c>
      <c r="H711" s="46" t="e">
        <f aca="true">IF((B711=1),(IF((F711&lt;E711),1,(IF((F711=E711),(IF(RAND()&lt;G711,1,0)),0)))),(IF((RAND()&lt;G711),1,0)))</f>
        <v>#N/A</v>
      </c>
      <c r="I711" s="46" t="e">
        <f aca="true">IF((H711=1),0,$D$3+$D$5*(RAND()-0.5))</f>
        <v>#N/A</v>
      </c>
      <c r="J711" s="46" t="e">
        <f aca="false">I711+MAX(D711,J710)</f>
        <v>#N/A</v>
      </c>
      <c r="K711" s="46" t="e">
        <f aca="false">IF((H711=0),J711-D711,0)</f>
        <v>#N/A</v>
      </c>
      <c r="L711" s="46" t="e">
        <f aca="true">IF(($H711=0),0,$D$4+$D$5*(RAND()-0.5))</f>
        <v>#N/A</v>
      </c>
      <c r="M711" s="46" t="e">
        <f aca="false">L711+MAX(D711,M710)</f>
        <v>#N/A</v>
      </c>
      <c r="N711" s="46" t="e">
        <f aca="false">IF((H711=1),M711-D711,0)</f>
        <v>#N/A</v>
      </c>
      <c r="O711" s="29" t="n">
        <v>694</v>
      </c>
      <c r="P711" s="49" t="e">
        <f aca="false">IF((Arterial=0),P710+1,P710)</f>
        <v>#N/A</v>
      </c>
      <c r="Q711" s="49" t="e">
        <f aca="false">IF((Arterial=1),Q710+1,Q710)</f>
        <v>#N/A</v>
      </c>
      <c r="R711" s="50" t="n">
        <f aca="false">IF((RESET=1),0,R711+K711)</f>
        <v>0</v>
      </c>
      <c r="S711" s="19" t="n">
        <f aca="false">IF(RESET=1,0,S711+N711)</f>
        <v>0</v>
      </c>
      <c r="T711" s="0" t="n">
        <f aca="false">IF(RESET=1,0,T711+IF(H711=0,1,0))</f>
        <v>0</v>
      </c>
      <c r="U711" s="0" t="n">
        <f aca="false">IF(RESET=1,0,U711+H711)</f>
        <v>0</v>
      </c>
      <c r="V711" s="19" t="n">
        <f aca="false">R711/(T711+0.00001)</f>
        <v>0</v>
      </c>
      <c r="W711" s="19" t="n">
        <f aca="false">S711/(U711+0.0001)</f>
        <v>0</v>
      </c>
      <c r="X711" s="47" t="e">
        <f aca="false">IF(Informed=1,K711,0)</f>
        <v>#N/A</v>
      </c>
      <c r="Y711" s="47" t="n">
        <f aca="false">IF(Informed=0,K711,0)</f>
        <v>0</v>
      </c>
      <c r="Z711" s="47" t="e">
        <f aca="false">IF(Informed=1,N711,0)</f>
        <v>#N/A</v>
      </c>
      <c r="AA711" s="47" t="n">
        <f aca="false">IF(Informed=0,N711,0)</f>
        <v>0</v>
      </c>
      <c r="AB711" s="51" t="e">
        <f aca="false">IF(Arterial=0,IF(Informed=1,1,0),0)</f>
        <v>#N/A</v>
      </c>
      <c r="AC711" s="51" t="e">
        <f aca="false">IF(Arterial=0,IF(Informed=0,1,0),0)</f>
        <v>#N/A</v>
      </c>
      <c r="AD711" s="51" t="e">
        <f aca="false">IF(Arterial=1,IF(Informed=1,1,0),0)</f>
        <v>#N/A</v>
      </c>
      <c r="AE711" s="51" t="e">
        <f aca="false">IF(Arterial=1,IF(Informed=0,1,0),0)</f>
        <v>#N/A</v>
      </c>
      <c r="AF711" s="44" t="e">
        <f aca="false">IF(AB711=1,(X711-G$1030)^2,0)</f>
        <v>#N/A</v>
      </c>
      <c r="AG711" s="44" t="e">
        <f aca="false">IF(AC711=1,(Y711-H$1030)^2,0)</f>
        <v>#N/A</v>
      </c>
      <c r="AH711" s="44" t="e">
        <f aca="false">IF(AD711=1,(Z711-I$1030)^2,0)</f>
        <v>#N/A</v>
      </c>
      <c r="AI711" s="44" t="e">
        <f aca="false">IF(AE711=1,(AA711-J$1030)^2,0)</f>
        <v>#N/A</v>
      </c>
    </row>
    <row r="712" customFormat="false" ht="12" hidden="false" customHeight="false" outlineLevel="0" collapsed="false">
      <c r="A712" s="29" t="n">
        <v>695</v>
      </c>
      <c r="B712" s="45" t="n">
        <f aca="true">IF(RAND()&lt;$D$8,1,0)</f>
        <v>1</v>
      </c>
      <c r="C712" s="34" t="n">
        <f aca="true">-LN(RAND())/$D$2</f>
        <v>2.90627226768347</v>
      </c>
      <c r="D712" s="46" t="n">
        <f aca="false">D711+C712</f>
        <v>1087.23875610169</v>
      </c>
      <c r="E712" s="47" t="e">
        <f aca="false">MAX($D$3,(1+P711-VLOOKUP(VALUE(D712),$J$18:$Q711,7,TRUE()))*$D$3)</f>
        <v>#N/A</v>
      </c>
      <c r="F712" s="47" t="e">
        <f aca="false">MAX($D$4,(1+Q711-VLOOKUP(VALUE(D712),$M$18:$Q711,5,TRUE()))*$D$4)</f>
        <v>#N/A</v>
      </c>
      <c r="G712" s="48" t="n">
        <v>0.5</v>
      </c>
      <c r="H712" s="46" t="e">
        <f aca="true">IF((B712=1),(IF((F712&lt;E712),1,(IF((F712=E712),(IF(RAND()&lt;G712,1,0)),0)))),(IF((RAND()&lt;G712),1,0)))</f>
        <v>#N/A</v>
      </c>
      <c r="I712" s="46" t="e">
        <f aca="true">IF((H712=1),0,$D$3+$D$5*(RAND()-0.5))</f>
        <v>#N/A</v>
      </c>
      <c r="J712" s="46" t="e">
        <f aca="false">I712+MAX(D712,J711)</f>
        <v>#N/A</v>
      </c>
      <c r="K712" s="46" t="e">
        <f aca="false">IF((H712=0),J712-D712,0)</f>
        <v>#N/A</v>
      </c>
      <c r="L712" s="46" t="e">
        <f aca="true">IF(($H712=0),0,$D$4+$D$5*(RAND()-0.5))</f>
        <v>#N/A</v>
      </c>
      <c r="M712" s="46" t="e">
        <f aca="false">L712+MAX(D712,M711)</f>
        <v>#N/A</v>
      </c>
      <c r="N712" s="46" t="e">
        <f aca="false">IF((H712=1),M712-D712,0)</f>
        <v>#N/A</v>
      </c>
      <c r="O712" s="29" t="n">
        <v>695</v>
      </c>
      <c r="P712" s="49" t="e">
        <f aca="false">IF((Arterial=0),P711+1,P711)</f>
        <v>#N/A</v>
      </c>
      <c r="Q712" s="49" t="e">
        <f aca="false">IF((Arterial=1),Q711+1,Q711)</f>
        <v>#N/A</v>
      </c>
      <c r="R712" s="50" t="n">
        <f aca="false">IF((RESET=1),0,R712+K712)</f>
        <v>0</v>
      </c>
      <c r="S712" s="19" t="n">
        <f aca="false">IF(RESET=1,0,S712+N712)</f>
        <v>0</v>
      </c>
      <c r="T712" s="0" t="n">
        <f aca="false">IF(RESET=1,0,T712+IF(H712=0,1,0))</f>
        <v>0</v>
      </c>
      <c r="U712" s="0" t="n">
        <f aca="false">IF(RESET=1,0,U712+H712)</f>
        <v>0</v>
      </c>
      <c r="V712" s="19" t="n">
        <f aca="false">R712/(T712+0.00001)</f>
        <v>0</v>
      </c>
      <c r="W712" s="19" t="n">
        <f aca="false">S712/(U712+0.0001)</f>
        <v>0</v>
      </c>
      <c r="X712" s="47" t="e">
        <f aca="false">IF(Informed=1,K712,0)</f>
        <v>#N/A</v>
      </c>
      <c r="Y712" s="47" t="n">
        <f aca="false">IF(Informed=0,K712,0)</f>
        <v>0</v>
      </c>
      <c r="Z712" s="47" t="e">
        <f aca="false">IF(Informed=1,N712,0)</f>
        <v>#N/A</v>
      </c>
      <c r="AA712" s="47" t="n">
        <f aca="false">IF(Informed=0,N712,0)</f>
        <v>0</v>
      </c>
      <c r="AB712" s="51" t="e">
        <f aca="false">IF(Arterial=0,IF(Informed=1,1,0),0)</f>
        <v>#N/A</v>
      </c>
      <c r="AC712" s="51" t="e">
        <f aca="false">IF(Arterial=0,IF(Informed=0,1,0),0)</f>
        <v>#N/A</v>
      </c>
      <c r="AD712" s="51" t="e">
        <f aca="false">IF(Arterial=1,IF(Informed=1,1,0),0)</f>
        <v>#N/A</v>
      </c>
      <c r="AE712" s="51" t="e">
        <f aca="false">IF(Arterial=1,IF(Informed=0,1,0),0)</f>
        <v>#N/A</v>
      </c>
      <c r="AF712" s="44" t="e">
        <f aca="false">IF(AB712=1,(X712-G$1030)^2,0)</f>
        <v>#N/A</v>
      </c>
      <c r="AG712" s="44" t="e">
        <f aca="false">IF(AC712=1,(Y712-H$1030)^2,0)</f>
        <v>#N/A</v>
      </c>
      <c r="AH712" s="44" t="e">
        <f aca="false">IF(AD712=1,(Z712-I$1030)^2,0)</f>
        <v>#N/A</v>
      </c>
      <c r="AI712" s="44" t="e">
        <f aca="false">IF(AE712=1,(AA712-J$1030)^2,0)</f>
        <v>#N/A</v>
      </c>
    </row>
    <row r="713" customFormat="false" ht="12" hidden="false" customHeight="false" outlineLevel="0" collapsed="false">
      <c r="A713" s="29" t="n">
        <v>696</v>
      </c>
      <c r="B713" s="45" t="n">
        <f aca="true">IF(RAND()&lt;$D$8,1,0)</f>
        <v>1</v>
      </c>
      <c r="C713" s="34" t="n">
        <f aca="true">-LN(RAND())/$D$2</f>
        <v>1.99082221988807</v>
      </c>
      <c r="D713" s="46" t="n">
        <f aca="false">D712+C713</f>
        <v>1089.22957832158</v>
      </c>
      <c r="E713" s="47" t="e">
        <f aca="false">MAX($D$3,(1+P712-VLOOKUP(VALUE(D713),$J$18:$Q712,7,TRUE()))*$D$3)</f>
        <v>#N/A</v>
      </c>
      <c r="F713" s="47" t="e">
        <f aca="false">MAX($D$4,(1+Q712-VLOOKUP(VALUE(D713),$M$18:$Q712,5,TRUE()))*$D$4)</f>
        <v>#N/A</v>
      </c>
      <c r="G713" s="48" t="n">
        <v>0.5</v>
      </c>
      <c r="H713" s="46" t="e">
        <f aca="true">IF((B713=1),(IF((F713&lt;E713),1,(IF((F713=E713),(IF(RAND()&lt;G713,1,0)),0)))),(IF((RAND()&lt;G713),1,0)))</f>
        <v>#N/A</v>
      </c>
      <c r="I713" s="46" t="e">
        <f aca="true">IF((H713=1),0,$D$3+$D$5*(RAND()-0.5))</f>
        <v>#N/A</v>
      </c>
      <c r="J713" s="46" t="e">
        <f aca="false">I713+MAX(D713,J712)</f>
        <v>#N/A</v>
      </c>
      <c r="K713" s="46" t="e">
        <f aca="false">IF((H713=0),J713-D713,0)</f>
        <v>#N/A</v>
      </c>
      <c r="L713" s="46" t="e">
        <f aca="true">IF(($H713=0),0,$D$4+$D$5*(RAND()-0.5))</f>
        <v>#N/A</v>
      </c>
      <c r="M713" s="46" t="e">
        <f aca="false">L713+MAX(D713,M712)</f>
        <v>#N/A</v>
      </c>
      <c r="N713" s="46" t="e">
        <f aca="false">IF((H713=1),M713-D713,0)</f>
        <v>#N/A</v>
      </c>
      <c r="O713" s="29" t="n">
        <v>696</v>
      </c>
      <c r="P713" s="49" t="e">
        <f aca="false">IF((Arterial=0),P712+1,P712)</f>
        <v>#N/A</v>
      </c>
      <c r="Q713" s="49" t="e">
        <f aca="false">IF((Arterial=1),Q712+1,Q712)</f>
        <v>#N/A</v>
      </c>
      <c r="R713" s="50" t="n">
        <f aca="false">IF((RESET=1),0,R713+K713)</f>
        <v>0</v>
      </c>
      <c r="S713" s="19" t="n">
        <f aca="false">IF(RESET=1,0,S713+N713)</f>
        <v>0</v>
      </c>
      <c r="T713" s="0" t="n">
        <f aca="false">IF(RESET=1,0,T713+IF(H713=0,1,0))</f>
        <v>0</v>
      </c>
      <c r="U713" s="0" t="n">
        <f aca="false">IF(RESET=1,0,U713+H713)</f>
        <v>0</v>
      </c>
      <c r="V713" s="19" t="n">
        <f aca="false">R713/(T713+0.00001)</f>
        <v>0</v>
      </c>
      <c r="W713" s="19" t="n">
        <f aca="false">S713/(U713+0.0001)</f>
        <v>0</v>
      </c>
      <c r="X713" s="47" t="e">
        <f aca="false">IF(Informed=1,K713,0)</f>
        <v>#N/A</v>
      </c>
      <c r="Y713" s="47" t="n">
        <f aca="false">IF(Informed=0,K713,0)</f>
        <v>0</v>
      </c>
      <c r="Z713" s="47" t="e">
        <f aca="false">IF(Informed=1,N713,0)</f>
        <v>#N/A</v>
      </c>
      <c r="AA713" s="47" t="n">
        <f aca="false">IF(Informed=0,N713,0)</f>
        <v>0</v>
      </c>
      <c r="AB713" s="51" t="e">
        <f aca="false">IF(Arterial=0,IF(Informed=1,1,0),0)</f>
        <v>#N/A</v>
      </c>
      <c r="AC713" s="51" t="e">
        <f aca="false">IF(Arterial=0,IF(Informed=0,1,0),0)</f>
        <v>#N/A</v>
      </c>
      <c r="AD713" s="51" t="e">
        <f aca="false">IF(Arterial=1,IF(Informed=1,1,0),0)</f>
        <v>#N/A</v>
      </c>
      <c r="AE713" s="51" t="e">
        <f aca="false">IF(Arterial=1,IF(Informed=0,1,0),0)</f>
        <v>#N/A</v>
      </c>
      <c r="AF713" s="44" t="e">
        <f aca="false">IF(AB713=1,(X713-G$1030)^2,0)</f>
        <v>#N/A</v>
      </c>
      <c r="AG713" s="44" t="e">
        <f aca="false">IF(AC713=1,(Y713-H$1030)^2,0)</f>
        <v>#N/A</v>
      </c>
      <c r="AH713" s="44" t="e">
        <f aca="false">IF(AD713=1,(Z713-I$1030)^2,0)</f>
        <v>#N/A</v>
      </c>
      <c r="AI713" s="44" t="e">
        <f aca="false">IF(AE713=1,(AA713-J$1030)^2,0)</f>
        <v>#N/A</v>
      </c>
    </row>
    <row r="714" customFormat="false" ht="12" hidden="false" customHeight="false" outlineLevel="0" collapsed="false">
      <c r="A714" s="29" t="n">
        <v>697</v>
      </c>
      <c r="B714" s="45" t="n">
        <f aca="true">IF(RAND()&lt;$D$8,1,0)</f>
        <v>1</v>
      </c>
      <c r="C714" s="34" t="n">
        <f aca="true">-LN(RAND())/$D$2</f>
        <v>1.22396084883032</v>
      </c>
      <c r="D714" s="46" t="n">
        <f aca="false">D713+C714</f>
        <v>1090.45353917041</v>
      </c>
      <c r="E714" s="47" t="e">
        <f aca="false">MAX($D$3,(1+P713-VLOOKUP(VALUE(D714),$J$18:$Q713,7,TRUE()))*$D$3)</f>
        <v>#N/A</v>
      </c>
      <c r="F714" s="47" t="e">
        <f aca="false">MAX($D$4,(1+Q713-VLOOKUP(VALUE(D714),$M$18:$Q713,5,TRUE()))*$D$4)</f>
        <v>#N/A</v>
      </c>
      <c r="G714" s="48" t="n">
        <v>0.5</v>
      </c>
      <c r="H714" s="46" t="e">
        <f aca="true">IF((B714=1),(IF((F714&lt;E714),1,(IF((F714=E714),(IF(RAND()&lt;G714,1,0)),0)))),(IF((RAND()&lt;G714),1,0)))</f>
        <v>#N/A</v>
      </c>
      <c r="I714" s="46" t="e">
        <f aca="true">IF((H714=1),0,$D$3+$D$5*(RAND()-0.5))</f>
        <v>#N/A</v>
      </c>
      <c r="J714" s="46" t="e">
        <f aca="false">I714+MAX(D714,J713)</f>
        <v>#N/A</v>
      </c>
      <c r="K714" s="46" t="e">
        <f aca="false">IF((H714=0),J714-D714,0)</f>
        <v>#N/A</v>
      </c>
      <c r="L714" s="46" t="e">
        <f aca="true">IF(($H714=0),0,$D$4+$D$5*(RAND()-0.5))</f>
        <v>#N/A</v>
      </c>
      <c r="M714" s="46" t="e">
        <f aca="false">L714+MAX(D714,M713)</f>
        <v>#N/A</v>
      </c>
      <c r="N714" s="46" t="e">
        <f aca="false">IF((H714=1),M714-D714,0)</f>
        <v>#N/A</v>
      </c>
      <c r="O714" s="29" t="n">
        <v>697</v>
      </c>
      <c r="P714" s="49" t="e">
        <f aca="false">IF((Arterial=0),P713+1,P713)</f>
        <v>#N/A</v>
      </c>
      <c r="Q714" s="49" t="e">
        <f aca="false">IF((Arterial=1),Q713+1,Q713)</f>
        <v>#N/A</v>
      </c>
      <c r="R714" s="50" t="n">
        <f aca="false">IF((RESET=1),0,R714+K714)</f>
        <v>0</v>
      </c>
      <c r="S714" s="19" t="n">
        <f aca="false">IF(RESET=1,0,S714+N714)</f>
        <v>0</v>
      </c>
      <c r="T714" s="0" t="n">
        <f aca="false">IF(RESET=1,0,T714+IF(H714=0,1,0))</f>
        <v>0</v>
      </c>
      <c r="U714" s="0" t="n">
        <f aca="false">IF(RESET=1,0,U714+H714)</f>
        <v>0</v>
      </c>
      <c r="V714" s="19" t="n">
        <f aca="false">R714/(T714+0.00001)</f>
        <v>0</v>
      </c>
      <c r="W714" s="19" t="n">
        <f aca="false">S714/(U714+0.0001)</f>
        <v>0</v>
      </c>
      <c r="X714" s="47" t="e">
        <f aca="false">IF(Informed=1,K714,0)</f>
        <v>#N/A</v>
      </c>
      <c r="Y714" s="47" t="n">
        <f aca="false">IF(Informed=0,K714,0)</f>
        <v>0</v>
      </c>
      <c r="Z714" s="47" t="e">
        <f aca="false">IF(Informed=1,N714,0)</f>
        <v>#N/A</v>
      </c>
      <c r="AA714" s="47" t="n">
        <f aca="false">IF(Informed=0,N714,0)</f>
        <v>0</v>
      </c>
      <c r="AB714" s="51" t="e">
        <f aca="false">IF(Arterial=0,IF(Informed=1,1,0),0)</f>
        <v>#N/A</v>
      </c>
      <c r="AC714" s="51" t="e">
        <f aca="false">IF(Arterial=0,IF(Informed=0,1,0),0)</f>
        <v>#N/A</v>
      </c>
      <c r="AD714" s="51" t="e">
        <f aca="false">IF(Arterial=1,IF(Informed=1,1,0),0)</f>
        <v>#N/A</v>
      </c>
      <c r="AE714" s="51" t="e">
        <f aca="false">IF(Arterial=1,IF(Informed=0,1,0),0)</f>
        <v>#N/A</v>
      </c>
      <c r="AF714" s="44" t="e">
        <f aca="false">IF(AB714=1,(X714-G$1030)^2,0)</f>
        <v>#N/A</v>
      </c>
      <c r="AG714" s="44" t="e">
        <f aca="false">IF(AC714=1,(Y714-H$1030)^2,0)</f>
        <v>#N/A</v>
      </c>
      <c r="AH714" s="44" t="e">
        <f aca="false">IF(AD714=1,(Z714-I$1030)^2,0)</f>
        <v>#N/A</v>
      </c>
      <c r="AI714" s="44" t="e">
        <f aca="false">IF(AE714=1,(AA714-J$1030)^2,0)</f>
        <v>#N/A</v>
      </c>
    </row>
    <row r="715" customFormat="false" ht="12" hidden="false" customHeight="false" outlineLevel="0" collapsed="false">
      <c r="A715" s="29" t="n">
        <v>698</v>
      </c>
      <c r="B715" s="45" t="n">
        <f aca="true">IF(RAND()&lt;$D$8,1,0)</f>
        <v>1</v>
      </c>
      <c r="C715" s="34" t="n">
        <f aca="true">-LN(RAND())/$D$2</f>
        <v>6.91548514651044</v>
      </c>
      <c r="D715" s="46" t="n">
        <f aca="false">D714+C715</f>
        <v>1097.36902431692</v>
      </c>
      <c r="E715" s="47" t="e">
        <f aca="false">MAX($D$3,(1+P714-VLOOKUP(VALUE(D715),$J$18:$Q714,7,TRUE()))*$D$3)</f>
        <v>#N/A</v>
      </c>
      <c r="F715" s="47" t="e">
        <f aca="false">MAX($D$4,(1+Q714-VLOOKUP(VALUE(D715),$M$18:$Q714,5,TRUE()))*$D$4)</f>
        <v>#N/A</v>
      </c>
      <c r="G715" s="48" t="n">
        <v>0.5</v>
      </c>
      <c r="H715" s="46" t="e">
        <f aca="true">IF((B715=1),(IF((F715&lt;E715),1,(IF((F715=E715),(IF(RAND()&lt;G715,1,0)),0)))),(IF((RAND()&lt;G715),1,0)))</f>
        <v>#N/A</v>
      </c>
      <c r="I715" s="46" t="e">
        <f aca="true">IF((H715=1),0,$D$3+$D$5*(RAND()-0.5))</f>
        <v>#N/A</v>
      </c>
      <c r="J715" s="46" t="e">
        <f aca="false">I715+MAX(D715,J714)</f>
        <v>#N/A</v>
      </c>
      <c r="K715" s="46" t="e">
        <f aca="false">IF((H715=0),J715-D715,0)</f>
        <v>#N/A</v>
      </c>
      <c r="L715" s="46" t="e">
        <f aca="true">IF(($H715=0),0,$D$4+$D$5*(RAND()-0.5))</f>
        <v>#N/A</v>
      </c>
      <c r="M715" s="46" t="e">
        <f aca="false">L715+MAX(D715,M714)</f>
        <v>#N/A</v>
      </c>
      <c r="N715" s="46" t="e">
        <f aca="false">IF((H715=1),M715-D715,0)</f>
        <v>#N/A</v>
      </c>
      <c r="O715" s="29" t="n">
        <v>698</v>
      </c>
      <c r="P715" s="49" t="e">
        <f aca="false">IF((Arterial=0),P714+1,P714)</f>
        <v>#N/A</v>
      </c>
      <c r="Q715" s="49" t="e">
        <f aca="false">IF((Arterial=1),Q714+1,Q714)</f>
        <v>#N/A</v>
      </c>
      <c r="R715" s="50" t="n">
        <f aca="false">IF((RESET=1),0,R715+K715)</f>
        <v>0</v>
      </c>
      <c r="S715" s="19" t="n">
        <f aca="false">IF(RESET=1,0,S715+N715)</f>
        <v>0</v>
      </c>
      <c r="T715" s="0" t="n">
        <f aca="false">IF(RESET=1,0,T715+IF(H715=0,1,0))</f>
        <v>0</v>
      </c>
      <c r="U715" s="0" t="n">
        <f aca="false">IF(RESET=1,0,U715+H715)</f>
        <v>0</v>
      </c>
      <c r="V715" s="19" t="n">
        <f aca="false">R715/(T715+0.00001)</f>
        <v>0</v>
      </c>
      <c r="W715" s="19" t="n">
        <f aca="false">S715/(U715+0.0001)</f>
        <v>0</v>
      </c>
      <c r="X715" s="47" t="e">
        <f aca="false">IF(Informed=1,K715,0)</f>
        <v>#N/A</v>
      </c>
      <c r="Y715" s="47" t="n">
        <f aca="false">IF(Informed=0,K715,0)</f>
        <v>0</v>
      </c>
      <c r="Z715" s="47" t="e">
        <f aca="false">IF(Informed=1,N715,0)</f>
        <v>#N/A</v>
      </c>
      <c r="AA715" s="47" t="n">
        <f aca="false">IF(Informed=0,N715,0)</f>
        <v>0</v>
      </c>
      <c r="AB715" s="51" t="e">
        <f aca="false">IF(Arterial=0,IF(Informed=1,1,0),0)</f>
        <v>#N/A</v>
      </c>
      <c r="AC715" s="51" t="e">
        <f aca="false">IF(Arterial=0,IF(Informed=0,1,0),0)</f>
        <v>#N/A</v>
      </c>
      <c r="AD715" s="51" t="e">
        <f aca="false">IF(Arterial=1,IF(Informed=1,1,0),0)</f>
        <v>#N/A</v>
      </c>
      <c r="AE715" s="51" t="e">
        <f aca="false">IF(Arterial=1,IF(Informed=0,1,0),0)</f>
        <v>#N/A</v>
      </c>
      <c r="AF715" s="44" t="e">
        <f aca="false">IF(AB715=1,(X715-G$1030)^2,0)</f>
        <v>#N/A</v>
      </c>
      <c r="AG715" s="44" t="e">
        <f aca="false">IF(AC715=1,(Y715-H$1030)^2,0)</f>
        <v>#N/A</v>
      </c>
      <c r="AH715" s="44" t="e">
        <f aca="false">IF(AD715=1,(Z715-I$1030)^2,0)</f>
        <v>#N/A</v>
      </c>
      <c r="AI715" s="44" t="e">
        <f aca="false">IF(AE715=1,(AA715-J$1030)^2,0)</f>
        <v>#N/A</v>
      </c>
    </row>
    <row r="716" customFormat="false" ht="12" hidden="false" customHeight="false" outlineLevel="0" collapsed="false">
      <c r="A716" s="29" t="n">
        <v>699</v>
      </c>
      <c r="B716" s="45" t="n">
        <f aca="true">IF(RAND()&lt;$D$8,1,0)</f>
        <v>1</v>
      </c>
      <c r="C716" s="34" t="n">
        <f aca="true">-LN(RAND())/$D$2</f>
        <v>0.766920769219521</v>
      </c>
      <c r="D716" s="46" t="n">
        <f aca="false">D715+C716</f>
        <v>1098.13594508614</v>
      </c>
      <c r="E716" s="47" t="e">
        <f aca="false">MAX($D$3,(1+P715-VLOOKUP(VALUE(D716),$J$18:$Q715,7,TRUE()))*$D$3)</f>
        <v>#N/A</v>
      </c>
      <c r="F716" s="47" t="e">
        <f aca="false">MAX($D$4,(1+Q715-VLOOKUP(VALUE(D716),$M$18:$Q715,5,TRUE()))*$D$4)</f>
        <v>#N/A</v>
      </c>
      <c r="G716" s="48" t="n">
        <v>0.5</v>
      </c>
      <c r="H716" s="46" t="e">
        <f aca="true">IF((B716=1),(IF((F716&lt;E716),1,(IF((F716=E716),(IF(RAND()&lt;G716,1,0)),0)))),(IF((RAND()&lt;G716),1,0)))</f>
        <v>#N/A</v>
      </c>
      <c r="I716" s="46" t="e">
        <f aca="true">IF((H716=1),0,$D$3+$D$5*(RAND()-0.5))</f>
        <v>#N/A</v>
      </c>
      <c r="J716" s="46" t="e">
        <f aca="false">I716+MAX(D716,J715)</f>
        <v>#N/A</v>
      </c>
      <c r="K716" s="46" t="e">
        <f aca="false">IF((H716=0),J716-D716,0)</f>
        <v>#N/A</v>
      </c>
      <c r="L716" s="46" t="e">
        <f aca="true">IF(($H716=0),0,$D$4+$D$5*(RAND()-0.5))</f>
        <v>#N/A</v>
      </c>
      <c r="M716" s="46" t="e">
        <f aca="false">L716+MAX(D716,M715)</f>
        <v>#N/A</v>
      </c>
      <c r="N716" s="46" t="e">
        <f aca="false">IF((H716=1),M716-D716,0)</f>
        <v>#N/A</v>
      </c>
      <c r="O716" s="29" t="n">
        <v>699</v>
      </c>
      <c r="P716" s="49" t="e">
        <f aca="false">IF((Arterial=0),P715+1,P715)</f>
        <v>#N/A</v>
      </c>
      <c r="Q716" s="49" t="e">
        <f aca="false">IF((Arterial=1),Q715+1,Q715)</f>
        <v>#N/A</v>
      </c>
      <c r="R716" s="50" t="n">
        <f aca="false">IF((RESET=1),0,R716+K716)</f>
        <v>0</v>
      </c>
      <c r="S716" s="19" t="n">
        <f aca="false">IF(RESET=1,0,S716+N716)</f>
        <v>0</v>
      </c>
      <c r="T716" s="0" t="n">
        <f aca="false">IF(RESET=1,0,T716+IF(H716=0,1,0))</f>
        <v>0</v>
      </c>
      <c r="U716" s="0" t="n">
        <f aca="false">IF(RESET=1,0,U716+H716)</f>
        <v>0</v>
      </c>
      <c r="V716" s="19" t="n">
        <f aca="false">R716/(T716+0.00001)</f>
        <v>0</v>
      </c>
      <c r="W716" s="19" t="n">
        <f aca="false">S716/(U716+0.0001)</f>
        <v>0</v>
      </c>
      <c r="X716" s="47" t="e">
        <f aca="false">IF(Informed=1,K716,0)</f>
        <v>#N/A</v>
      </c>
      <c r="Y716" s="47" t="n">
        <f aca="false">IF(Informed=0,K716,0)</f>
        <v>0</v>
      </c>
      <c r="Z716" s="47" t="e">
        <f aca="false">IF(Informed=1,N716,0)</f>
        <v>#N/A</v>
      </c>
      <c r="AA716" s="47" t="n">
        <f aca="false">IF(Informed=0,N716,0)</f>
        <v>0</v>
      </c>
      <c r="AB716" s="51" t="e">
        <f aca="false">IF(Arterial=0,IF(Informed=1,1,0),0)</f>
        <v>#N/A</v>
      </c>
      <c r="AC716" s="51" t="e">
        <f aca="false">IF(Arterial=0,IF(Informed=0,1,0),0)</f>
        <v>#N/A</v>
      </c>
      <c r="AD716" s="51" t="e">
        <f aca="false">IF(Arterial=1,IF(Informed=1,1,0),0)</f>
        <v>#N/A</v>
      </c>
      <c r="AE716" s="51" t="e">
        <f aca="false">IF(Arterial=1,IF(Informed=0,1,0),0)</f>
        <v>#N/A</v>
      </c>
      <c r="AF716" s="44" t="e">
        <f aca="false">IF(AB716=1,(X716-G$1030)^2,0)</f>
        <v>#N/A</v>
      </c>
      <c r="AG716" s="44" t="e">
        <f aca="false">IF(AC716=1,(Y716-H$1030)^2,0)</f>
        <v>#N/A</v>
      </c>
      <c r="AH716" s="44" t="e">
        <f aca="false">IF(AD716=1,(Z716-I$1030)^2,0)</f>
        <v>#N/A</v>
      </c>
      <c r="AI716" s="44" t="e">
        <f aca="false">IF(AE716=1,(AA716-J$1030)^2,0)</f>
        <v>#N/A</v>
      </c>
    </row>
    <row r="717" customFormat="false" ht="12" hidden="false" customHeight="false" outlineLevel="0" collapsed="false">
      <c r="A717" s="29" t="n">
        <v>700</v>
      </c>
      <c r="B717" s="45" t="n">
        <f aca="true">IF(RAND()&lt;$D$8,1,0)</f>
        <v>1</v>
      </c>
      <c r="C717" s="34" t="n">
        <f aca="true">-LN(RAND())/$D$2</f>
        <v>2.56611474406216</v>
      </c>
      <c r="D717" s="46" t="n">
        <f aca="false">D716+C717</f>
        <v>1100.7020598302</v>
      </c>
      <c r="E717" s="47" t="e">
        <f aca="false">MAX($D$3,(1+P716-VLOOKUP(VALUE(D717),$J$18:$Q716,7,TRUE()))*$D$3)</f>
        <v>#N/A</v>
      </c>
      <c r="F717" s="47" t="e">
        <f aca="false">MAX($D$4,(1+Q716-VLOOKUP(VALUE(D717),$M$18:$Q716,5,TRUE()))*$D$4)</f>
        <v>#N/A</v>
      </c>
      <c r="G717" s="48" t="n">
        <v>0.5</v>
      </c>
      <c r="H717" s="46" t="e">
        <f aca="true">IF((B717=1),(IF((F717&lt;E717),1,(IF((F717=E717),(IF(RAND()&lt;G717,1,0)),0)))),(IF((RAND()&lt;G717),1,0)))</f>
        <v>#N/A</v>
      </c>
      <c r="I717" s="46" t="e">
        <f aca="true">IF((H717=1),0,$D$3+$D$5*(RAND()-0.5))</f>
        <v>#N/A</v>
      </c>
      <c r="J717" s="46" t="e">
        <f aca="false">I717+MAX(D717,J716)</f>
        <v>#N/A</v>
      </c>
      <c r="K717" s="46" t="e">
        <f aca="false">IF((H717=0),J717-D717,0)</f>
        <v>#N/A</v>
      </c>
      <c r="L717" s="46" t="e">
        <f aca="true">IF(($H717=0),0,$D$4+$D$5*(RAND()-0.5))</f>
        <v>#N/A</v>
      </c>
      <c r="M717" s="46" t="e">
        <f aca="false">L717+MAX(D717,M716)</f>
        <v>#N/A</v>
      </c>
      <c r="N717" s="46" t="e">
        <f aca="false">IF((H717=1),M717-D717,0)</f>
        <v>#N/A</v>
      </c>
      <c r="O717" s="29" t="n">
        <v>700</v>
      </c>
      <c r="P717" s="49" t="e">
        <f aca="false">IF((Arterial=0),P716+1,P716)</f>
        <v>#N/A</v>
      </c>
      <c r="Q717" s="49" t="e">
        <f aca="false">IF((Arterial=1),Q716+1,Q716)</f>
        <v>#N/A</v>
      </c>
      <c r="R717" s="50" t="n">
        <f aca="false">IF((RESET=1),0,R717+K717)</f>
        <v>0</v>
      </c>
      <c r="S717" s="19" t="n">
        <f aca="false">IF(RESET=1,0,S717+N717)</f>
        <v>0</v>
      </c>
      <c r="T717" s="0" t="n">
        <f aca="false">IF(RESET=1,0,T717+IF(H717=0,1,0))</f>
        <v>0</v>
      </c>
      <c r="U717" s="0" t="n">
        <f aca="false">IF(RESET=1,0,U717+H717)</f>
        <v>0</v>
      </c>
      <c r="V717" s="19" t="n">
        <f aca="false">R717/(T717+0.00001)</f>
        <v>0</v>
      </c>
      <c r="W717" s="19" t="n">
        <f aca="false">S717/(U717+0.0001)</f>
        <v>0</v>
      </c>
      <c r="X717" s="47" t="e">
        <f aca="false">IF(Informed=1,K717,0)</f>
        <v>#N/A</v>
      </c>
      <c r="Y717" s="47" t="n">
        <f aca="false">IF(Informed=0,K717,0)</f>
        <v>0</v>
      </c>
      <c r="Z717" s="47" t="e">
        <f aca="false">IF(Informed=1,N717,0)</f>
        <v>#N/A</v>
      </c>
      <c r="AA717" s="47" t="n">
        <f aca="false">IF(Informed=0,N717,0)</f>
        <v>0</v>
      </c>
      <c r="AB717" s="51" t="e">
        <f aca="false">IF(Arterial=0,IF(Informed=1,1,0),0)</f>
        <v>#N/A</v>
      </c>
      <c r="AC717" s="51" t="e">
        <f aca="false">IF(Arterial=0,IF(Informed=0,1,0),0)</f>
        <v>#N/A</v>
      </c>
      <c r="AD717" s="51" t="e">
        <f aca="false">IF(Arterial=1,IF(Informed=1,1,0),0)</f>
        <v>#N/A</v>
      </c>
      <c r="AE717" s="51" t="e">
        <f aca="false">IF(Arterial=1,IF(Informed=0,1,0),0)</f>
        <v>#N/A</v>
      </c>
      <c r="AF717" s="44" t="e">
        <f aca="false">IF(AB717=1,(X717-G$1030)^2,0)</f>
        <v>#N/A</v>
      </c>
      <c r="AG717" s="44" t="e">
        <f aca="false">IF(AC717=1,(Y717-H$1030)^2,0)</f>
        <v>#N/A</v>
      </c>
      <c r="AH717" s="44" t="e">
        <f aca="false">IF(AD717=1,(Z717-I$1030)^2,0)</f>
        <v>#N/A</v>
      </c>
      <c r="AI717" s="44" t="e">
        <f aca="false">IF(AE717=1,(AA717-J$1030)^2,0)</f>
        <v>#N/A</v>
      </c>
    </row>
    <row r="718" customFormat="false" ht="12" hidden="false" customHeight="false" outlineLevel="0" collapsed="false">
      <c r="A718" s="29" t="n">
        <v>701</v>
      </c>
      <c r="B718" s="45" t="n">
        <f aca="true">IF(RAND()&lt;$D$8,1,0)</f>
        <v>1</v>
      </c>
      <c r="C718" s="34" t="n">
        <f aca="true">-LN(RAND())/$D$2</f>
        <v>0.0881974243614557</v>
      </c>
      <c r="D718" s="46" t="n">
        <f aca="false">D717+C718</f>
        <v>1100.79025725456</v>
      </c>
      <c r="E718" s="47" t="e">
        <f aca="false">MAX($D$3,(1+P717-VLOOKUP(VALUE(D718),$J$18:$Q717,7,TRUE()))*$D$3)</f>
        <v>#N/A</v>
      </c>
      <c r="F718" s="47" t="e">
        <f aca="false">MAX($D$4,(1+Q717-VLOOKUP(VALUE(D718),$M$18:$Q717,5,TRUE()))*$D$4)</f>
        <v>#N/A</v>
      </c>
      <c r="G718" s="48" t="n">
        <v>0.5</v>
      </c>
      <c r="H718" s="46" t="e">
        <f aca="true">IF((B718=1),(IF((F718&lt;E718),1,(IF((F718=E718),(IF(RAND()&lt;G718,1,0)),0)))),(IF((RAND()&lt;G718),1,0)))</f>
        <v>#N/A</v>
      </c>
      <c r="I718" s="46" t="e">
        <f aca="true">IF((H718=1),0,$D$3+$D$5*(RAND()-0.5))</f>
        <v>#N/A</v>
      </c>
      <c r="J718" s="46" t="e">
        <f aca="false">I718+MAX(D718,J717)</f>
        <v>#N/A</v>
      </c>
      <c r="K718" s="46" t="e">
        <f aca="false">IF((H718=0),J718-D718,0)</f>
        <v>#N/A</v>
      </c>
      <c r="L718" s="46" t="e">
        <f aca="true">IF(($H718=0),0,$D$4+$D$5*(RAND()-0.5))</f>
        <v>#N/A</v>
      </c>
      <c r="M718" s="46" t="e">
        <f aca="false">L718+MAX(D718,M717)</f>
        <v>#N/A</v>
      </c>
      <c r="N718" s="46" t="e">
        <f aca="false">IF((H718=1),M718-D718,0)</f>
        <v>#N/A</v>
      </c>
      <c r="O718" s="29" t="n">
        <v>701</v>
      </c>
      <c r="P718" s="49" t="e">
        <f aca="false">IF((Arterial=0),P717+1,P717)</f>
        <v>#N/A</v>
      </c>
      <c r="Q718" s="49" t="e">
        <f aca="false">IF((Arterial=1),Q717+1,Q717)</f>
        <v>#N/A</v>
      </c>
      <c r="R718" s="50" t="n">
        <f aca="false">IF((RESET=1),0,R718+K718)</f>
        <v>0</v>
      </c>
      <c r="S718" s="19" t="n">
        <f aca="false">IF(RESET=1,0,S718+N718)</f>
        <v>0</v>
      </c>
      <c r="T718" s="0" t="n">
        <f aca="false">IF(RESET=1,0,T718+IF(H718=0,1,0))</f>
        <v>0</v>
      </c>
      <c r="U718" s="0" t="n">
        <f aca="false">IF(RESET=1,0,U718+H718)</f>
        <v>0</v>
      </c>
      <c r="V718" s="19" t="n">
        <f aca="false">R718/(T718+0.00001)</f>
        <v>0</v>
      </c>
      <c r="W718" s="19" t="n">
        <f aca="false">S718/(U718+0.0001)</f>
        <v>0</v>
      </c>
      <c r="X718" s="47" t="e">
        <f aca="false">IF(Informed=1,K718,0)</f>
        <v>#N/A</v>
      </c>
      <c r="Y718" s="47" t="n">
        <f aca="false">IF(Informed=0,K718,0)</f>
        <v>0</v>
      </c>
      <c r="Z718" s="47" t="e">
        <f aca="false">IF(Informed=1,N718,0)</f>
        <v>#N/A</v>
      </c>
      <c r="AA718" s="47" t="n">
        <f aca="false">IF(Informed=0,N718,0)</f>
        <v>0</v>
      </c>
      <c r="AB718" s="51" t="e">
        <f aca="false">IF(Arterial=0,IF(Informed=1,1,0),0)</f>
        <v>#N/A</v>
      </c>
      <c r="AC718" s="51" t="e">
        <f aca="false">IF(Arterial=0,IF(Informed=0,1,0),0)</f>
        <v>#N/A</v>
      </c>
      <c r="AD718" s="51" t="e">
        <f aca="false">IF(Arterial=1,IF(Informed=1,1,0),0)</f>
        <v>#N/A</v>
      </c>
      <c r="AE718" s="51" t="e">
        <f aca="false">IF(Arterial=1,IF(Informed=0,1,0),0)</f>
        <v>#N/A</v>
      </c>
      <c r="AF718" s="44" t="e">
        <f aca="false">IF(AB718=1,(X718-G$1030)^2,0)</f>
        <v>#N/A</v>
      </c>
      <c r="AG718" s="44" t="e">
        <f aca="false">IF(AC718=1,(Y718-H$1030)^2,0)</f>
        <v>#N/A</v>
      </c>
      <c r="AH718" s="44" t="e">
        <f aca="false">IF(AD718=1,(Z718-I$1030)^2,0)</f>
        <v>#N/A</v>
      </c>
      <c r="AI718" s="44" t="e">
        <f aca="false">IF(AE718=1,(AA718-J$1030)^2,0)</f>
        <v>#N/A</v>
      </c>
    </row>
    <row r="719" customFormat="false" ht="12" hidden="false" customHeight="false" outlineLevel="0" collapsed="false">
      <c r="A719" s="29" t="n">
        <v>702</v>
      </c>
      <c r="B719" s="45" t="n">
        <f aca="true">IF(RAND()&lt;$D$8,1,0)</f>
        <v>1</v>
      </c>
      <c r="C719" s="34" t="n">
        <f aca="true">-LN(RAND())/$D$2</f>
        <v>0.296557889032728</v>
      </c>
      <c r="D719" s="46" t="n">
        <f aca="false">D718+C719</f>
        <v>1101.08681514359</v>
      </c>
      <c r="E719" s="47" t="e">
        <f aca="false">MAX($D$3,(1+P718-VLOOKUP(VALUE(D719),$J$18:$Q718,7,TRUE()))*$D$3)</f>
        <v>#N/A</v>
      </c>
      <c r="F719" s="47" t="e">
        <f aca="false">MAX($D$4,(1+Q718-VLOOKUP(VALUE(D719),$M$18:$Q718,5,TRUE()))*$D$4)</f>
        <v>#N/A</v>
      </c>
      <c r="G719" s="48" t="n">
        <v>0.5</v>
      </c>
      <c r="H719" s="46" t="e">
        <f aca="true">IF((B719=1),(IF((F719&lt;E719),1,(IF((F719=E719),(IF(RAND()&lt;G719,1,0)),0)))),(IF((RAND()&lt;G719),1,0)))</f>
        <v>#N/A</v>
      </c>
      <c r="I719" s="46" t="e">
        <f aca="true">IF((H719=1),0,$D$3+$D$5*(RAND()-0.5))</f>
        <v>#N/A</v>
      </c>
      <c r="J719" s="46" t="e">
        <f aca="false">I719+MAX(D719,J718)</f>
        <v>#N/A</v>
      </c>
      <c r="K719" s="46" t="e">
        <f aca="false">IF((H719=0),J719-D719,0)</f>
        <v>#N/A</v>
      </c>
      <c r="L719" s="46" t="e">
        <f aca="true">IF(($H719=0),0,$D$4+$D$5*(RAND()-0.5))</f>
        <v>#N/A</v>
      </c>
      <c r="M719" s="46" t="e">
        <f aca="false">L719+MAX(D719,M718)</f>
        <v>#N/A</v>
      </c>
      <c r="N719" s="46" t="e">
        <f aca="false">IF((H719=1),M719-D719,0)</f>
        <v>#N/A</v>
      </c>
      <c r="O719" s="29" t="n">
        <v>702</v>
      </c>
      <c r="P719" s="49" t="e">
        <f aca="false">IF((Arterial=0),P718+1,P718)</f>
        <v>#N/A</v>
      </c>
      <c r="Q719" s="49" t="e">
        <f aca="false">IF((Arterial=1),Q718+1,Q718)</f>
        <v>#N/A</v>
      </c>
      <c r="R719" s="50" t="n">
        <f aca="false">IF((RESET=1),0,R719+K719)</f>
        <v>0</v>
      </c>
      <c r="S719" s="19" t="n">
        <f aca="false">IF(RESET=1,0,S719+N719)</f>
        <v>0</v>
      </c>
      <c r="T719" s="0" t="n">
        <f aca="false">IF(RESET=1,0,T719+IF(H719=0,1,0))</f>
        <v>0</v>
      </c>
      <c r="U719" s="0" t="n">
        <f aca="false">IF(RESET=1,0,U719+H719)</f>
        <v>0</v>
      </c>
      <c r="V719" s="19" t="n">
        <f aca="false">R719/(T719+0.00001)</f>
        <v>0</v>
      </c>
      <c r="W719" s="19" t="n">
        <f aca="false">S719/(U719+0.0001)</f>
        <v>0</v>
      </c>
      <c r="X719" s="47" t="e">
        <f aca="false">IF(Informed=1,K719,0)</f>
        <v>#N/A</v>
      </c>
      <c r="Y719" s="47" t="n">
        <f aca="false">IF(Informed=0,K719,0)</f>
        <v>0</v>
      </c>
      <c r="Z719" s="47" t="e">
        <f aca="false">IF(Informed=1,N719,0)</f>
        <v>#N/A</v>
      </c>
      <c r="AA719" s="47" t="n">
        <f aca="false">IF(Informed=0,N719,0)</f>
        <v>0</v>
      </c>
      <c r="AB719" s="51" t="e">
        <f aca="false">IF(Arterial=0,IF(Informed=1,1,0),0)</f>
        <v>#N/A</v>
      </c>
      <c r="AC719" s="51" t="e">
        <f aca="false">IF(Arterial=0,IF(Informed=0,1,0),0)</f>
        <v>#N/A</v>
      </c>
      <c r="AD719" s="51" t="e">
        <f aca="false">IF(Arterial=1,IF(Informed=1,1,0),0)</f>
        <v>#N/A</v>
      </c>
      <c r="AE719" s="51" t="e">
        <f aca="false">IF(Arterial=1,IF(Informed=0,1,0),0)</f>
        <v>#N/A</v>
      </c>
      <c r="AF719" s="44" t="e">
        <f aca="false">IF(AB719=1,(X719-G$1030)^2,0)</f>
        <v>#N/A</v>
      </c>
      <c r="AG719" s="44" t="e">
        <f aca="false">IF(AC719=1,(Y719-H$1030)^2,0)</f>
        <v>#N/A</v>
      </c>
      <c r="AH719" s="44" t="e">
        <f aca="false">IF(AD719=1,(Z719-I$1030)^2,0)</f>
        <v>#N/A</v>
      </c>
      <c r="AI719" s="44" t="e">
        <f aca="false">IF(AE719=1,(AA719-J$1030)^2,0)</f>
        <v>#N/A</v>
      </c>
    </row>
    <row r="720" customFormat="false" ht="12" hidden="false" customHeight="false" outlineLevel="0" collapsed="false">
      <c r="A720" s="29" t="n">
        <v>703</v>
      </c>
      <c r="B720" s="45" t="n">
        <f aca="true">IF(RAND()&lt;$D$8,1,0)</f>
        <v>1</v>
      </c>
      <c r="C720" s="34" t="n">
        <f aca="true">-LN(RAND())/$D$2</f>
        <v>0.10623862247734</v>
      </c>
      <c r="D720" s="46" t="n">
        <f aca="false">D719+C720</f>
        <v>1101.19305376607</v>
      </c>
      <c r="E720" s="47" t="e">
        <f aca="false">MAX($D$3,(1+P719-VLOOKUP(VALUE(D720),$J$18:$Q719,7,TRUE()))*$D$3)</f>
        <v>#N/A</v>
      </c>
      <c r="F720" s="47" t="e">
        <f aca="false">MAX($D$4,(1+Q719-VLOOKUP(VALUE(D720),$M$18:$Q719,5,TRUE()))*$D$4)</f>
        <v>#N/A</v>
      </c>
      <c r="G720" s="48" t="n">
        <v>0.5</v>
      </c>
      <c r="H720" s="46" t="e">
        <f aca="true">IF((B720=1),(IF((F720&lt;E720),1,(IF((F720=E720),(IF(RAND()&lt;G720,1,0)),0)))),(IF((RAND()&lt;G720),1,0)))</f>
        <v>#N/A</v>
      </c>
      <c r="I720" s="46" t="e">
        <f aca="true">IF((H720=1),0,$D$3+$D$5*(RAND()-0.5))</f>
        <v>#N/A</v>
      </c>
      <c r="J720" s="46" t="e">
        <f aca="false">I720+MAX(D720,J719)</f>
        <v>#N/A</v>
      </c>
      <c r="K720" s="46" t="e">
        <f aca="false">IF((H720=0),J720-D720,0)</f>
        <v>#N/A</v>
      </c>
      <c r="L720" s="46" t="e">
        <f aca="true">IF(($H720=0),0,$D$4+$D$5*(RAND()-0.5))</f>
        <v>#N/A</v>
      </c>
      <c r="M720" s="46" t="e">
        <f aca="false">L720+MAX(D720,M719)</f>
        <v>#N/A</v>
      </c>
      <c r="N720" s="46" t="e">
        <f aca="false">IF((H720=1),M720-D720,0)</f>
        <v>#N/A</v>
      </c>
      <c r="O720" s="29" t="n">
        <v>703</v>
      </c>
      <c r="P720" s="49" t="e">
        <f aca="false">IF((Arterial=0),P719+1,P719)</f>
        <v>#N/A</v>
      </c>
      <c r="Q720" s="49" t="e">
        <f aca="false">IF((Arterial=1),Q719+1,Q719)</f>
        <v>#N/A</v>
      </c>
      <c r="R720" s="50" t="n">
        <f aca="false">IF((RESET=1),0,R720+K720)</f>
        <v>0</v>
      </c>
      <c r="S720" s="19" t="n">
        <f aca="false">IF(RESET=1,0,S720+N720)</f>
        <v>0</v>
      </c>
      <c r="T720" s="0" t="n">
        <f aca="false">IF(RESET=1,0,T720+IF(H720=0,1,0))</f>
        <v>0</v>
      </c>
      <c r="U720" s="0" t="n">
        <f aca="false">IF(RESET=1,0,U720+H720)</f>
        <v>0</v>
      </c>
      <c r="V720" s="19" t="n">
        <f aca="false">R720/(T720+0.00001)</f>
        <v>0</v>
      </c>
      <c r="W720" s="19" t="n">
        <f aca="false">S720/(U720+0.0001)</f>
        <v>0</v>
      </c>
      <c r="X720" s="47" t="e">
        <f aca="false">IF(Informed=1,K720,0)</f>
        <v>#N/A</v>
      </c>
      <c r="Y720" s="47" t="n">
        <f aca="false">IF(Informed=0,K720,0)</f>
        <v>0</v>
      </c>
      <c r="Z720" s="47" t="e">
        <f aca="false">IF(Informed=1,N720,0)</f>
        <v>#N/A</v>
      </c>
      <c r="AA720" s="47" t="n">
        <f aca="false">IF(Informed=0,N720,0)</f>
        <v>0</v>
      </c>
      <c r="AB720" s="51" t="e">
        <f aca="false">IF(Arterial=0,IF(Informed=1,1,0),0)</f>
        <v>#N/A</v>
      </c>
      <c r="AC720" s="51" t="e">
        <f aca="false">IF(Arterial=0,IF(Informed=0,1,0),0)</f>
        <v>#N/A</v>
      </c>
      <c r="AD720" s="51" t="e">
        <f aca="false">IF(Arterial=1,IF(Informed=1,1,0),0)</f>
        <v>#N/A</v>
      </c>
      <c r="AE720" s="51" t="e">
        <f aca="false">IF(Arterial=1,IF(Informed=0,1,0),0)</f>
        <v>#N/A</v>
      </c>
      <c r="AF720" s="44" t="e">
        <f aca="false">IF(AB720=1,(X720-G$1030)^2,0)</f>
        <v>#N/A</v>
      </c>
      <c r="AG720" s="44" t="e">
        <f aca="false">IF(AC720=1,(Y720-H$1030)^2,0)</f>
        <v>#N/A</v>
      </c>
      <c r="AH720" s="44" t="e">
        <f aca="false">IF(AD720=1,(Z720-I$1030)^2,0)</f>
        <v>#N/A</v>
      </c>
      <c r="AI720" s="44" t="e">
        <f aca="false">IF(AE720=1,(AA720-J$1030)^2,0)</f>
        <v>#N/A</v>
      </c>
    </row>
    <row r="721" customFormat="false" ht="12" hidden="false" customHeight="false" outlineLevel="0" collapsed="false">
      <c r="A721" s="29" t="n">
        <v>704</v>
      </c>
      <c r="B721" s="45" t="n">
        <f aca="true">IF(RAND()&lt;$D$8,1,0)</f>
        <v>1</v>
      </c>
      <c r="C721" s="34" t="n">
        <f aca="true">-LN(RAND())/$D$2</f>
        <v>0.0549612663572368</v>
      </c>
      <c r="D721" s="46" t="n">
        <f aca="false">D720+C721</f>
        <v>1101.24801503243</v>
      </c>
      <c r="E721" s="47" t="e">
        <f aca="false">MAX($D$3,(1+P720-VLOOKUP(VALUE(D721),$J$18:$Q720,7,TRUE()))*$D$3)</f>
        <v>#N/A</v>
      </c>
      <c r="F721" s="47" t="e">
        <f aca="false">MAX($D$4,(1+Q720-VLOOKUP(VALUE(D721),$M$18:$Q720,5,TRUE()))*$D$4)</f>
        <v>#N/A</v>
      </c>
      <c r="G721" s="48" t="n">
        <v>0.5</v>
      </c>
      <c r="H721" s="46" t="e">
        <f aca="true">IF((B721=1),(IF((F721&lt;E721),1,(IF((F721=E721),(IF(RAND()&lt;G721,1,0)),0)))),(IF((RAND()&lt;G721),1,0)))</f>
        <v>#N/A</v>
      </c>
      <c r="I721" s="46" t="e">
        <f aca="true">IF((H721=1),0,$D$3+$D$5*(RAND()-0.5))</f>
        <v>#N/A</v>
      </c>
      <c r="J721" s="46" t="e">
        <f aca="false">I721+MAX(D721,J720)</f>
        <v>#N/A</v>
      </c>
      <c r="K721" s="46" t="e">
        <f aca="false">IF((H721=0),J721-D721,0)</f>
        <v>#N/A</v>
      </c>
      <c r="L721" s="46" t="e">
        <f aca="true">IF(($H721=0),0,$D$4+$D$5*(RAND()-0.5))</f>
        <v>#N/A</v>
      </c>
      <c r="M721" s="46" t="e">
        <f aca="false">L721+MAX(D721,M720)</f>
        <v>#N/A</v>
      </c>
      <c r="N721" s="46" t="e">
        <f aca="false">IF((H721=1),M721-D721,0)</f>
        <v>#N/A</v>
      </c>
      <c r="O721" s="29" t="n">
        <v>704</v>
      </c>
      <c r="P721" s="49" t="e">
        <f aca="false">IF((Arterial=0),P720+1,P720)</f>
        <v>#N/A</v>
      </c>
      <c r="Q721" s="49" t="e">
        <f aca="false">IF((Arterial=1),Q720+1,Q720)</f>
        <v>#N/A</v>
      </c>
      <c r="R721" s="50" t="n">
        <f aca="false">IF((RESET=1),0,R721+K721)</f>
        <v>0</v>
      </c>
      <c r="S721" s="19" t="n">
        <f aca="false">IF(RESET=1,0,S721+N721)</f>
        <v>0</v>
      </c>
      <c r="T721" s="0" t="n">
        <f aca="false">IF(RESET=1,0,T721+IF(H721=0,1,0))</f>
        <v>0</v>
      </c>
      <c r="U721" s="0" t="n">
        <f aca="false">IF(RESET=1,0,U721+H721)</f>
        <v>0</v>
      </c>
      <c r="V721" s="19" t="n">
        <f aca="false">R721/(T721+0.00001)</f>
        <v>0</v>
      </c>
      <c r="W721" s="19" t="n">
        <f aca="false">S721/(U721+0.0001)</f>
        <v>0</v>
      </c>
      <c r="X721" s="47" t="e">
        <f aca="false">IF(Informed=1,K721,0)</f>
        <v>#N/A</v>
      </c>
      <c r="Y721" s="47" t="n">
        <f aca="false">IF(Informed=0,K721,0)</f>
        <v>0</v>
      </c>
      <c r="Z721" s="47" t="e">
        <f aca="false">IF(Informed=1,N721,0)</f>
        <v>#N/A</v>
      </c>
      <c r="AA721" s="47" t="n">
        <f aca="false">IF(Informed=0,N721,0)</f>
        <v>0</v>
      </c>
      <c r="AB721" s="51" t="e">
        <f aca="false">IF(Arterial=0,IF(Informed=1,1,0),0)</f>
        <v>#N/A</v>
      </c>
      <c r="AC721" s="51" t="e">
        <f aca="false">IF(Arterial=0,IF(Informed=0,1,0),0)</f>
        <v>#N/A</v>
      </c>
      <c r="AD721" s="51" t="e">
        <f aca="false">IF(Arterial=1,IF(Informed=1,1,0),0)</f>
        <v>#N/A</v>
      </c>
      <c r="AE721" s="51" t="e">
        <f aca="false">IF(Arterial=1,IF(Informed=0,1,0),0)</f>
        <v>#N/A</v>
      </c>
      <c r="AF721" s="44" t="e">
        <f aca="false">IF(AB721=1,(X721-G$1030)^2,0)</f>
        <v>#N/A</v>
      </c>
      <c r="AG721" s="44" t="e">
        <f aca="false">IF(AC721=1,(Y721-H$1030)^2,0)</f>
        <v>#N/A</v>
      </c>
      <c r="AH721" s="44" t="e">
        <f aca="false">IF(AD721=1,(Z721-I$1030)^2,0)</f>
        <v>#N/A</v>
      </c>
      <c r="AI721" s="44" t="e">
        <f aca="false">IF(AE721=1,(AA721-J$1030)^2,0)</f>
        <v>#N/A</v>
      </c>
    </row>
    <row r="722" customFormat="false" ht="12" hidden="false" customHeight="false" outlineLevel="0" collapsed="false">
      <c r="A722" s="29" t="n">
        <v>705</v>
      </c>
      <c r="B722" s="45" t="n">
        <f aca="true">IF(RAND()&lt;$D$8,1,0)</f>
        <v>1</v>
      </c>
      <c r="C722" s="34" t="n">
        <f aca="true">-LN(RAND())/$D$2</f>
        <v>0.941122774655663</v>
      </c>
      <c r="D722" s="46" t="n">
        <f aca="false">D721+C722</f>
        <v>1102.18913780708</v>
      </c>
      <c r="E722" s="47" t="e">
        <f aca="false">MAX($D$3,(1+P721-VLOOKUP(VALUE(D722),$J$18:$Q721,7,TRUE()))*$D$3)</f>
        <v>#N/A</v>
      </c>
      <c r="F722" s="47" t="e">
        <f aca="false">MAX($D$4,(1+Q721-VLOOKUP(VALUE(D722),$M$18:$Q721,5,TRUE()))*$D$4)</f>
        <v>#N/A</v>
      </c>
      <c r="G722" s="48" t="n">
        <v>0.5</v>
      </c>
      <c r="H722" s="46" t="e">
        <f aca="true">IF((B722=1),(IF((F722&lt;E722),1,(IF((F722=E722),(IF(RAND()&lt;G722,1,0)),0)))),(IF((RAND()&lt;G722),1,0)))</f>
        <v>#N/A</v>
      </c>
      <c r="I722" s="46" t="e">
        <f aca="true">IF((H722=1),0,$D$3+$D$5*(RAND()-0.5))</f>
        <v>#N/A</v>
      </c>
      <c r="J722" s="46" t="e">
        <f aca="false">I722+MAX(D722,J721)</f>
        <v>#N/A</v>
      </c>
      <c r="K722" s="46" t="e">
        <f aca="false">IF((H722=0),J722-D722,0)</f>
        <v>#N/A</v>
      </c>
      <c r="L722" s="46" t="e">
        <f aca="true">IF(($H722=0),0,$D$4+$D$5*(RAND()-0.5))</f>
        <v>#N/A</v>
      </c>
      <c r="M722" s="46" t="e">
        <f aca="false">L722+MAX(D722,M721)</f>
        <v>#N/A</v>
      </c>
      <c r="N722" s="46" t="e">
        <f aca="false">IF((H722=1),M722-D722,0)</f>
        <v>#N/A</v>
      </c>
      <c r="O722" s="29" t="n">
        <v>705</v>
      </c>
      <c r="P722" s="49" t="e">
        <f aca="false">IF((Arterial=0),P721+1,P721)</f>
        <v>#N/A</v>
      </c>
      <c r="Q722" s="49" t="e">
        <f aca="false">IF((Arterial=1),Q721+1,Q721)</f>
        <v>#N/A</v>
      </c>
      <c r="R722" s="50" t="n">
        <f aca="false">IF((RESET=1),0,R722+K722)</f>
        <v>0</v>
      </c>
      <c r="S722" s="19" t="n">
        <f aca="false">IF(RESET=1,0,S722+N722)</f>
        <v>0</v>
      </c>
      <c r="T722" s="0" t="n">
        <f aca="false">IF(RESET=1,0,T722+IF(H722=0,1,0))</f>
        <v>0</v>
      </c>
      <c r="U722" s="0" t="n">
        <f aca="false">IF(RESET=1,0,U722+H722)</f>
        <v>0</v>
      </c>
      <c r="V722" s="19" t="n">
        <f aca="false">R722/(T722+0.00001)</f>
        <v>0</v>
      </c>
      <c r="W722" s="19" t="n">
        <f aca="false">S722/(U722+0.0001)</f>
        <v>0</v>
      </c>
      <c r="X722" s="47" t="e">
        <f aca="false">IF(Informed=1,K722,0)</f>
        <v>#N/A</v>
      </c>
      <c r="Y722" s="47" t="n">
        <f aca="false">IF(Informed=0,K722,0)</f>
        <v>0</v>
      </c>
      <c r="Z722" s="47" t="e">
        <f aca="false">IF(Informed=1,N722,0)</f>
        <v>#N/A</v>
      </c>
      <c r="AA722" s="47" t="n">
        <f aca="false">IF(Informed=0,N722,0)</f>
        <v>0</v>
      </c>
      <c r="AB722" s="51" t="e">
        <f aca="false">IF(Arterial=0,IF(Informed=1,1,0),0)</f>
        <v>#N/A</v>
      </c>
      <c r="AC722" s="51" t="e">
        <f aca="false">IF(Arterial=0,IF(Informed=0,1,0),0)</f>
        <v>#N/A</v>
      </c>
      <c r="AD722" s="51" t="e">
        <f aca="false">IF(Arterial=1,IF(Informed=1,1,0),0)</f>
        <v>#N/A</v>
      </c>
      <c r="AE722" s="51" t="e">
        <f aca="false">IF(Arterial=1,IF(Informed=0,1,0),0)</f>
        <v>#N/A</v>
      </c>
      <c r="AF722" s="44" t="e">
        <f aca="false">IF(AB722=1,(X722-G$1030)^2,0)</f>
        <v>#N/A</v>
      </c>
      <c r="AG722" s="44" t="e">
        <f aca="false">IF(AC722=1,(Y722-H$1030)^2,0)</f>
        <v>#N/A</v>
      </c>
      <c r="AH722" s="44" t="e">
        <f aca="false">IF(AD722=1,(Z722-I$1030)^2,0)</f>
        <v>#N/A</v>
      </c>
      <c r="AI722" s="44" t="e">
        <f aca="false">IF(AE722=1,(AA722-J$1030)^2,0)</f>
        <v>#N/A</v>
      </c>
    </row>
    <row r="723" customFormat="false" ht="12" hidden="false" customHeight="false" outlineLevel="0" collapsed="false">
      <c r="A723" s="29" t="n">
        <v>706</v>
      </c>
      <c r="B723" s="45" t="n">
        <f aca="true">IF(RAND()&lt;$D$8,1,0)</f>
        <v>1</v>
      </c>
      <c r="C723" s="34" t="n">
        <f aca="true">-LN(RAND())/$D$2</f>
        <v>0.399057510499625</v>
      </c>
      <c r="D723" s="46" t="n">
        <f aca="false">D722+C723</f>
        <v>1102.58819531758</v>
      </c>
      <c r="E723" s="47" t="e">
        <f aca="false">MAX($D$3,(1+P722-VLOOKUP(VALUE(D723),$J$18:$Q722,7,TRUE()))*$D$3)</f>
        <v>#N/A</v>
      </c>
      <c r="F723" s="47" t="e">
        <f aca="false">MAX($D$4,(1+Q722-VLOOKUP(VALUE(D723),$M$18:$Q722,5,TRUE()))*$D$4)</f>
        <v>#N/A</v>
      </c>
      <c r="G723" s="48" t="n">
        <v>0.5</v>
      </c>
      <c r="H723" s="46" t="e">
        <f aca="true">IF((B723=1),(IF((F723&lt;E723),1,(IF((F723=E723),(IF(RAND()&lt;G723,1,0)),0)))),(IF((RAND()&lt;G723),1,0)))</f>
        <v>#N/A</v>
      </c>
      <c r="I723" s="46" t="e">
        <f aca="true">IF((H723=1),0,$D$3+$D$5*(RAND()-0.5))</f>
        <v>#N/A</v>
      </c>
      <c r="J723" s="46" t="e">
        <f aca="false">I723+MAX(D723,J722)</f>
        <v>#N/A</v>
      </c>
      <c r="K723" s="46" t="e">
        <f aca="false">IF((H723=0),J723-D723,0)</f>
        <v>#N/A</v>
      </c>
      <c r="L723" s="46" t="e">
        <f aca="true">IF(($H723=0),0,$D$4+$D$5*(RAND()-0.5))</f>
        <v>#N/A</v>
      </c>
      <c r="M723" s="46" t="e">
        <f aca="false">L723+MAX(D723,M722)</f>
        <v>#N/A</v>
      </c>
      <c r="N723" s="46" t="e">
        <f aca="false">IF((H723=1),M723-D723,0)</f>
        <v>#N/A</v>
      </c>
      <c r="O723" s="29" t="n">
        <v>706</v>
      </c>
      <c r="P723" s="49" t="e">
        <f aca="false">IF((Arterial=0),P722+1,P722)</f>
        <v>#N/A</v>
      </c>
      <c r="Q723" s="49" t="e">
        <f aca="false">IF((Arterial=1),Q722+1,Q722)</f>
        <v>#N/A</v>
      </c>
      <c r="R723" s="50" t="n">
        <f aca="false">IF((RESET=1),0,R723+K723)</f>
        <v>0</v>
      </c>
      <c r="S723" s="19" t="n">
        <f aca="false">IF(RESET=1,0,S723+N723)</f>
        <v>0</v>
      </c>
      <c r="T723" s="0" t="n">
        <f aca="false">IF(RESET=1,0,T723+IF(H723=0,1,0))</f>
        <v>0</v>
      </c>
      <c r="U723" s="0" t="n">
        <f aca="false">IF(RESET=1,0,U723+H723)</f>
        <v>0</v>
      </c>
      <c r="V723" s="19" t="n">
        <f aca="false">R723/(T723+0.00001)</f>
        <v>0</v>
      </c>
      <c r="W723" s="19" t="n">
        <f aca="false">S723/(U723+0.0001)</f>
        <v>0</v>
      </c>
      <c r="X723" s="47" t="e">
        <f aca="false">IF(Informed=1,K723,0)</f>
        <v>#N/A</v>
      </c>
      <c r="Y723" s="47" t="n">
        <f aca="false">IF(Informed=0,K723,0)</f>
        <v>0</v>
      </c>
      <c r="Z723" s="47" t="e">
        <f aca="false">IF(Informed=1,N723,0)</f>
        <v>#N/A</v>
      </c>
      <c r="AA723" s="47" t="n">
        <f aca="false">IF(Informed=0,N723,0)</f>
        <v>0</v>
      </c>
      <c r="AB723" s="51" t="e">
        <f aca="false">IF(Arterial=0,IF(Informed=1,1,0),0)</f>
        <v>#N/A</v>
      </c>
      <c r="AC723" s="51" t="e">
        <f aca="false">IF(Arterial=0,IF(Informed=0,1,0),0)</f>
        <v>#N/A</v>
      </c>
      <c r="AD723" s="51" t="e">
        <f aca="false">IF(Arterial=1,IF(Informed=1,1,0),0)</f>
        <v>#N/A</v>
      </c>
      <c r="AE723" s="51" t="e">
        <f aca="false">IF(Arterial=1,IF(Informed=0,1,0),0)</f>
        <v>#N/A</v>
      </c>
      <c r="AF723" s="44" t="e">
        <f aca="false">IF(AB723=1,(X723-G$1030)^2,0)</f>
        <v>#N/A</v>
      </c>
      <c r="AG723" s="44" t="e">
        <f aca="false">IF(AC723=1,(Y723-H$1030)^2,0)</f>
        <v>#N/A</v>
      </c>
      <c r="AH723" s="44" t="e">
        <f aca="false">IF(AD723=1,(Z723-I$1030)^2,0)</f>
        <v>#N/A</v>
      </c>
      <c r="AI723" s="44" t="e">
        <f aca="false">IF(AE723=1,(AA723-J$1030)^2,0)</f>
        <v>#N/A</v>
      </c>
    </row>
    <row r="724" customFormat="false" ht="12" hidden="false" customHeight="false" outlineLevel="0" collapsed="false">
      <c r="A724" s="29" t="n">
        <v>707</v>
      </c>
      <c r="B724" s="45" t="n">
        <f aca="true">IF(RAND()&lt;$D$8,1,0)</f>
        <v>1</v>
      </c>
      <c r="C724" s="34" t="n">
        <f aca="true">-LN(RAND())/$D$2</f>
        <v>0.419471631217877</v>
      </c>
      <c r="D724" s="46" t="n">
        <f aca="false">D723+C724</f>
        <v>1103.0076669488</v>
      </c>
      <c r="E724" s="47" t="e">
        <f aca="false">MAX($D$3,(1+P723-VLOOKUP(VALUE(D724),$J$18:$Q723,7,TRUE()))*$D$3)</f>
        <v>#N/A</v>
      </c>
      <c r="F724" s="47" t="e">
        <f aca="false">MAX($D$4,(1+Q723-VLOOKUP(VALUE(D724),$M$18:$Q723,5,TRUE()))*$D$4)</f>
        <v>#N/A</v>
      </c>
      <c r="G724" s="48" t="n">
        <v>0.5</v>
      </c>
      <c r="H724" s="46" t="e">
        <f aca="true">IF((B724=1),(IF((F724&lt;E724),1,(IF((F724=E724),(IF(RAND()&lt;G724,1,0)),0)))),(IF((RAND()&lt;G724),1,0)))</f>
        <v>#N/A</v>
      </c>
      <c r="I724" s="46" t="e">
        <f aca="true">IF((H724=1),0,$D$3+$D$5*(RAND()-0.5))</f>
        <v>#N/A</v>
      </c>
      <c r="J724" s="46" t="e">
        <f aca="false">I724+MAX(D724,J723)</f>
        <v>#N/A</v>
      </c>
      <c r="K724" s="46" t="e">
        <f aca="false">IF((H724=0),J724-D724,0)</f>
        <v>#N/A</v>
      </c>
      <c r="L724" s="46" t="e">
        <f aca="true">IF(($H724=0),0,$D$4+$D$5*(RAND()-0.5))</f>
        <v>#N/A</v>
      </c>
      <c r="M724" s="46" t="e">
        <f aca="false">L724+MAX(D724,M723)</f>
        <v>#N/A</v>
      </c>
      <c r="N724" s="46" t="e">
        <f aca="false">IF((H724=1),M724-D724,0)</f>
        <v>#N/A</v>
      </c>
      <c r="O724" s="29" t="n">
        <v>707</v>
      </c>
      <c r="P724" s="49" t="e">
        <f aca="false">IF((Arterial=0),P723+1,P723)</f>
        <v>#N/A</v>
      </c>
      <c r="Q724" s="49" t="e">
        <f aca="false">IF((Arterial=1),Q723+1,Q723)</f>
        <v>#N/A</v>
      </c>
      <c r="R724" s="50" t="n">
        <f aca="false">IF((RESET=1),0,R724+K724)</f>
        <v>0</v>
      </c>
      <c r="S724" s="19" t="n">
        <f aca="false">IF(RESET=1,0,S724+N724)</f>
        <v>0</v>
      </c>
      <c r="T724" s="0" t="n">
        <f aca="false">IF(RESET=1,0,T724+IF(H724=0,1,0))</f>
        <v>0</v>
      </c>
      <c r="U724" s="0" t="n">
        <f aca="false">IF(RESET=1,0,U724+H724)</f>
        <v>0</v>
      </c>
      <c r="V724" s="19" t="n">
        <f aca="false">R724/(T724+0.00001)</f>
        <v>0</v>
      </c>
      <c r="W724" s="19" t="n">
        <f aca="false">S724/(U724+0.0001)</f>
        <v>0</v>
      </c>
      <c r="X724" s="47" t="e">
        <f aca="false">IF(Informed=1,K724,0)</f>
        <v>#N/A</v>
      </c>
      <c r="Y724" s="47" t="n">
        <f aca="false">IF(Informed=0,K724,0)</f>
        <v>0</v>
      </c>
      <c r="Z724" s="47" t="e">
        <f aca="false">IF(Informed=1,N724,0)</f>
        <v>#N/A</v>
      </c>
      <c r="AA724" s="47" t="n">
        <f aca="false">IF(Informed=0,N724,0)</f>
        <v>0</v>
      </c>
      <c r="AB724" s="51" t="e">
        <f aca="false">IF(Arterial=0,IF(Informed=1,1,0),0)</f>
        <v>#N/A</v>
      </c>
      <c r="AC724" s="51" t="e">
        <f aca="false">IF(Arterial=0,IF(Informed=0,1,0),0)</f>
        <v>#N/A</v>
      </c>
      <c r="AD724" s="51" t="e">
        <f aca="false">IF(Arterial=1,IF(Informed=1,1,0),0)</f>
        <v>#N/A</v>
      </c>
      <c r="AE724" s="51" t="e">
        <f aca="false">IF(Arterial=1,IF(Informed=0,1,0),0)</f>
        <v>#N/A</v>
      </c>
      <c r="AF724" s="44" t="e">
        <f aca="false">IF(AB724=1,(X724-G$1030)^2,0)</f>
        <v>#N/A</v>
      </c>
      <c r="AG724" s="44" t="e">
        <f aca="false">IF(AC724=1,(Y724-H$1030)^2,0)</f>
        <v>#N/A</v>
      </c>
      <c r="AH724" s="44" t="e">
        <f aca="false">IF(AD724=1,(Z724-I$1030)^2,0)</f>
        <v>#N/A</v>
      </c>
      <c r="AI724" s="44" t="e">
        <f aca="false">IF(AE724=1,(AA724-J$1030)^2,0)</f>
        <v>#N/A</v>
      </c>
    </row>
    <row r="725" customFormat="false" ht="12" hidden="false" customHeight="false" outlineLevel="0" collapsed="false">
      <c r="A725" s="29" t="n">
        <v>708</v>
      </c>
      <c r="B725" s="45" t="n">
        <f aca="true">IF(RAND()&lt;$D$8,1,0)</f>
        <v>1</v>
      </c>
      <c r="C725" s="34" t="n">
        <f aca="true">-LN(RAND())/$D$2</f>
        <v>0.612939210490771</v>
      </c>
      <c r="D725" s="46" t="n">
        <f aca="false">D724+C725</f>
        <v>1103.62060615929</v>
      </c>
      <c r="E725" s="47" t="e">
        <f aca="false">MAX($D$3,(1+P724-VLOOKUP(VALUE(D725),$J$18:$Q724,7,TRUE()))*$D$3)</f>
        <v>#N/A</v>
      </c>
      <c r="F725" s="47" t="e">
        <f aca="false">MAX($D$4,(1+Q724-VLOOKUP(VALUE(D725),$M$18:$Q724,5,TRUE()))*$D$4)</f>
        <v>#N/A</v>
      </c>
      <c r="G725" s="48" t="n">
        <v>0.5</v>
      </c>
      <c r="H725" s="46" t="e">
        <f aca="true">IF((B725=1),(IF((F725&lt;E725),1,(IF((F725=E725),(IF(RAND()&lt;G725,1,0)),0)))),(IF((RAND()&lt;G725),1,0)))</f>
        <v>#N/A</v>
      </c>
      <c r="I725" s="46" t="e">
        <f aca="true">IF((H725=1),0,$D$3+$D$5*(RAND()-0.5))</f>
        <v>#N/A</v>
      </c>
      <c r="J725" s="46" t="e">
        <f aca="false">I725+MAX(D725,J724)</f>
        <v>#N/A</v>
      </c>
      <c r="K725" s="46" t="e">
        <f aca="false">IF((H725=0),J725-D725,0)</f>
        <v>#N/A</v>
      </c>
      <c r="L725" s="46" t="e">
        <f aca="true">IF(($H725=0),0,$D$4+$D$5*(RAND()-0.5))</f>
        <v>#N/A</v>
      </c>
      <c r="M725" s="46" t="e">
        <f aca="false">L725+MAX(D725,M724)</f>
        <v>#N/A</v>
      </c>
      <c r="N725" s="46" t="e">
        <f aca="false">IF((H725=1),M725-D725,0)</f>
        <v>#N/A</v>
      </c>
      <c r="O725" s="29" t="n">
        <v>708</v>
      </c>
      <c r="P725" s="49" t="e">
        <f aca="false">IF((Arterial=0),P724+1,P724)</f>
        <v>#N/A</v>
      </c>
      <c r="Q725" s="49" t="e">
        <f aca="false">IF((Arterial=1),Q724+1,Q724)</f>
        <v>#N/A</v>
      </c>
      <c r="R725" s="50" t="n">
        <f aca="false">IF((RESET=1),0,R725+K725)</f>
        <v>0</v>
      </c>
      <c r="S725" s="19" t="n">
        <f aca="false">IF(RESET=1,0,S725+N725)</f>
        <v>0</v>
      </c>
      <c r="T725" s="0" t="n">
        <f aca="false">IF(RESET=1,0,T725+IF(H725=0,1,0))</f>
        <v>0</v>
      </c>
      <c r="U725" s="0" t="n">
        <f aca="false">IF(RESET=1,0,U725+H725)</f>
        <v>0</v>
      </c>
      <c r="V725" s="19" t="n">
        <f aca="false">R725/(T725+0.00001)</f>
        <v>0</v>
      </c>
      <c r="W725" s="19" t="n">
        <f aca="false">S725/(U725+0.0001)</f>
        <v>0</v>
      </c>
      <c r="X725" s="47" t="e">
        <f aca="false">IF(Informed=1,K725,0)</f>
        <v>#N/A</v>
      </c>
      <c r="Y725" s="47" t="n">
        <f aca="false">IF(Informed=0,K725,0)</f>
        <v>0</v>
      </c>
      <c r="Z725" s="47" t="e">
        <f aca="false">IF(Informed=1,N725,0)</f>
        <v>#N/A</v>
      </c>
      <c r="AA725" s="47" t="n">
        <f aca="false">IF(Informed=0,N725,0)</f>
        <v>0</v>
      </c>
      <c r="AB725" s="51" t="e">
        <f aca="false">IF(Arterial=0,IF(Informed=1,1,0),0)</f>
        <v>#N/A</v>
      </c>
      <c r="AC725" s="51" t="e">
        <f aca="false">IF(Arterial=0,IF(Informed=0,1,0),0)</f>
        <v>#N/A</v>
      </c>
      <c r="AD725" s="51" t="e">
        <f aca="false">IF(Arterial=1,IF(Informed=1,1,0),0)</f>
        <v>#N/A</v>
      </c>
      <c r="AE725" s="51" t="e">
        <f aca="false">IF(Arterial=1,IF(Informed=0,1,0),0)</f>
        <v>#N/A</v>
      </c>
      <c r="AF725" s="44" t="e">
        <f aca="false">IF(AB725=1,(X725-G$1030)^2,0)</f>
        <v>#N/A</v>
      </c>
      <c r="AG725" s="44" t="e">
        <f aca="false">IF(AC725=1,(Y725-H$1030)^2,0)</f>
        <v>#N/A</v>
      </c>
      <c r="AH725" s="44" t="e">
        <f aca="false">IF(AD725=1,(Z725-I$1030)^2,0)</f>
        <v>#N/A</v>
      </c>
      <c r="AI725" s="44" t="e">
        <f aca="false">IF(AE725=1,(AA725-J$1030)^2,0)</f>
        <v>#N/A</v>
      </c>
    </row>
    <row r="726" customFormat="false" ht="12" hidden="false" customHeight="false" outlineLevel="0" collapsed="false">
      <c r="A726" s="29" t="n">
        <v>709</v>
      </c>
      <c r="B726" s="45" t="n">
        <f aca="true">IF(RAND()&lt;$D$8,1,0)</f>
        <v>1</v>
      </c>
      <c r="C726" s="34" t="n">
        <f aca="true">-LN(RAND())/$D$2</f>
        <v>1.70696814835477</v>
      </c>
      <c r="D726" s="46" t="n">
        <f aca="false">D725+C726</f>
        <v>1105.32757430765</v>
      </c>
      <c r="E726" s="47" t="e">
        <f aca="false">MAX($D$3,(1+P725-VLOOKUP(VALUE(D726),$J$18:$Q725,7,TRUE()))*$D$3)</f>
        <v>#N/A</v>
      </c>
      <c r="F726" s="47" t="e">
        <f aca="false">MAX($D$4,(1+Q725-VLOOKUP(VALUE(D726),$M$18:$Q725,5,TRUE()))*$D$4)</f>
        <v>#N/A</v>
      </c>
      <c r="G726" s="48" t="n">
        <v>0.5</v>
      </c>
      <c r="H726" s="46" t="e">
        <f aca="true">IF((B726=1),(IF((F726&lt;E726),1,(IF((F726=E726),(IF(RAND()&lt;G726,1,0)),0)))),(IF((RAND()&lt;G726),1,0)))</f>
        <v>#N/A</v>
      </c>
      <c r="I726" s="46" t="e">
        <f aca="true">IF((H726=1),0,$D$3+$D$5*(RAND()-0.5))</f>
        <v>#N/A</v>
      </c>
      <c r="J726" s="46" t="e">
        <f aca="false">I726+MAX(D726,J725)</f>
        <v>#N/A</v>
      </c>
      <c r="K726" s="46" t="e">
        <f aca="false">IF((H726=0),J726-D726,0)</f>
        <v>#N/A</v>
      </c>
      <c r="L726" s="46" t="e">
        <f aca="true">IF(($H726=0),0,$D$4+$D$5*(RAND()-0.5))</f>
        <v>#N/A</v>
      </c>
      <c r="M726" s="46" t="e">
        <f aca="false">L726+MAX(D726,M725)</f>
        <v>#N/A</v>
      </c>
      <c r="N726" s="46" t="e">
        <f aca="false">IF((H726=1),M726-D726,0)</f>
        <v>#N/A</v>
      </c>
      <c r="O726" s="29" t="n">
        <v>709</v>
      </c>
      <c r="P726" s="49" t="e">
        <f aca="false">IF((Arterial=0),P725+1,P725)</f>
        <v>#N/A</v>
      </c>
      <c r="Q726" s="49" t="e">
        <f aca="false">IF((Arterial=1),Q725+1,Q725)</f>
        <v>#N/A</v>
      </c>
      <c r="R726" s="50" t="n">
        <f aca="false">IF((RESET=1),0,R726+K726)</f>
        <v>0</v>
      </c>
      <c r="S726" s="19" t="n">
        <f aca="false">IF(RESET=1,0,S726+N726)</f>
        <v>0</v>
      </c>
      <c r="T726" s="0" t="n">
        <f aca="false">IF(RESET=1,0,T726+IF(H726=0,1,0))</f>
        <v>0</v>
      </c>
      <c r="U726" s="0" t="n">
        <f aca="false">IF(RESET=1,0,U726+H726)</f>
        <v>0</v>
      </c>
      <c r="V726" s="19" t="n">
        <f aca="false">R726/(T726+0.00001)</f>
        <v>0</v>
      </c>
      <c r="W726" s="19" t="n">
        <f aca="false">S726/(U726+0.0001)</f>
        <v>0</v>
      </c>
      <c r="X726" s="47" t="e">
        <f aca="false">IF(Informed=1,K726,0)</f>
        <v>#N/A</v>
      </c>
      <c r="Y726" s="47" t="n">
        <f aca="false">IF(Informed=0,K726,0)</f>
        <v>0</v>
      </c>
      <c r="Z726" s="47" t="e">
        <f aca="false">IF(Informed=1,N726,0)</f>
        <v>#N/A</v>
      </c>
      <c r="AA726" s="47" t="n">
        <f aca="false">IF(Informed=0,N726,0)</f>
        <v>0</v>
      </c>
      <c r="AB726" s="51" t="e">
        <f aca="false">IF(Arterial=0,IF(Informed=1,1,0),0)</f>
        <v>#N/A</v>
      </c>
      <c r="AC726" s="51" t="e">
        <f aca="false">IF(Arterial=0,IF(Informed=0,1,0),0)</f>
        <v>#N/A</v>
      </c>
      <c r="AD726" s="51" t="e">
        <f aca="false">IF(Arterial=1,IF(Informed=1,1,0),0)</f>
        <v>#N/A</v>
      </c>
      <c r="AE726" s="51" t="e">
        <f aca="false">IF(Arterial=1,IF(Informed=0,1,0),0)</f>
        <v>#N/A</v>
      </c>
      <c r="AF726" s="44" t="e">
        <f aca="false">IF(AB726=1,(X726-G$1030)^2,0)</f>
        <v>#N/A</v>
      </c>
      <c r="AG726" s="44" t="e">
        <f aca="false">IF(AC726=1,(Y726-H$1030)^2,0)</f>
        <v>#N/A</v>
      </c>
      <c r="AH726" s="44" t="e">
        <f aca="false">IF(AD726=1,(Z726-I$1030)^2,0)</f>
        <v>#N/A</v>
      </c>
      <c r="AI726" s="44" t="e">
        <f aca="false">IF(AE726=1,(AA726-J$1030)^2,0)</f>
        <v>#N/A</v>
      </c>
    </row>
    <row r="727" customFormat="false" ht="12" hidden="false" customHeight="false" outlineLevel="0" collapsed="false">
      <c r="A727" s="29" t="n">
        <v>710</v>
      </c>
      <c r="B727" s="45" t="n">
        <f aca="true">IF(RAND()&lt;$D$8,1,0)</f>
        <v>1</v>
      </c>
      <c r="C727" s="34" t="n">
        <f aca="true">-LN(RAND())/$D$2</f>
        <v>2.17955061846516</v>
      </c>
      <c r="D727" s="46" t="n">
        <f aca="false">D726+C727</f>
        <v>1107.50712492611</v>
      </c>
      <c r="E727" s="47" t="e">
        <f aca="false">MAX($D$3,(1+P726-VLOOKUP(VALUE(D727),$J$18:$Q726,7,TRUE()))*$D$3)</f>
        <v>#N/A</v>
      </c>
      <c r="F727" s="47" t="e">
        <f aca="false">MAX($D$4,(1+Q726-VLOOKUP(VALUE(D727),$M$18:$Q726,5,TRUE()))*$D$4)</f>
        <v>#N/A</v>
      </c>
      <c r="G727" s="48" t="n">
        <v>0.5</v>
      </c>
      <c r="H727" s="46" t="e">
        <f aca="true">IF((B727=1),(IF((F727&lt;E727),1,(IF((F727=E727),(IF(RAND()&lt;G727,1,0)),0)))),(IF((RAND()&lt;G727),1,0)))</f>
        <v>#N/A</v>
      </c>
      <c r="I727" s="46" t="e">
        <f aca="true">IF((H727=1),0,$D$3+$D$5*(RAND()-0.5))</f>
        <v>#N/A</v>
      </c>
      <c r="J727" s="46" t="e">
        <f aca="false">I727+MAX(D727,J726)</f>
        <v>#N/A</v>
      </c>
      <c r="K727" s="46" t="e">
        <f aca="false">IF((H727=0),J727-D727,0)</f>
        <v>#N/A</v>
      </c>
      <c r="L727" s="46" t="e">
        <f aca="true">IF(($H727=0),0,$D$4+$D$5*(RAND()-0.5))</f>
        <v>#N/A</v>
      </c>
      <c r="M727" s="46" t="e">
        <f aca="false">L727+MAX(D727,M726)</f>
        <v>#N/A</v>
      </c>
      <c r="N727" s="46" t="e">
        <f aca="false">IF((H727=1),M727-D727,0)</f>
        <v>#N/A</v>
      </c>
      <c r="O727" s="29" t="n">
        <v>710</v>
      </c>
      <c r="P727" s="49" t="e">
        <f aca="false">IF((Arterial=0),P726+1,P726)</f>
        <v>#N/A</v>
      </c>
      <c r="Q727" s="49" t="e">
        <f aca="false">IF((Arterial=1),Q726+1,Q726)</f>
        <v>#N/A</v>
      </c>
      <c r="R727" s="50" t="n">
        <f aca="false">IF((RESET=1),0,R727+K727)</f>
        <v>0</v>
      </c>
      <c r="S727" s="19" t="n">
        <f aca="false">IF(RESET=1,0,S727+N727)</f>
        <v>0</v>
      </c>
      <c r="T727" s="0" t="n">
        <f aca="false">IF(RESET=1,0,T727+IF(H727=0,1,0))</f>
        <v>0</v>
      </c>
      <c r="U727" s="0" t="n">
        <f aca="false">IF(RESET=1,0,U727+H727)</f>
        <v>0</v>
      </c>
      <c r="V727" s="19" t="n">
        <f aca="false">R727/(T727+0.00001)</f>
        <v>0</v>
      </c>
      <c r="W727" s="19" t="n">
        <f aca="false">S727/(U727+0.0001)</f>
        <v>0</v>
      </c>
      <c r="X727" s="47" t="e">
        <f aca="false">IF(Informed=1,K727,0)</f>
        <v>#N/A</v>
      </c>
      <c r="Y727" s="47" t="n">
        <f aca="false">IF(Informed=0,K727,0)</f>
        <v>0</v>
      </c>
      <c r="Z727" s="47" t="e">
        <f aca="false">IF(Informed=1,N727,0)</f>
        <v>#N/A</v>
      </c>
      <c r="AA727" s="47" t="n">
        <f aca="false">IF(Informed=0,N727,0)</f>
        <v>0</v>
      </c>
      <c r="AB727" s="51" t="e">
        <f aca="false">IF(Arterial=0,IF(Informed=1,1,0),0)</f>
        <v>#N/A</v>
      </c>
      <c r="AC727" s="51" t="e">
        <f aca="false">IF(Arterial=0,IF(Informed=0,1,0),0)</f>
        <v>#N/A</v>
      </c>
      <c r="AD727" s="51" t="e">
        <f aca="false">IF(Arterial=1,IF(Informed=1,1,0),0)</f>
        <v>#N/A</v>
      </c>
      <c r="AE727" s="51" t="e">
        <f aca="false">IF(Arterial=1,IF(Informed=0,1,0),0)</f>
        <v>#N/A</v>
      </c>
      <c r="AF727" s="44" t="e">
        <f aca="false">IF(AB727=1,(X727-G$1030)^2,0)</f>
        <v>#N/A</v>
      </c>
      <c r="AG727" s="44" t="e">
        <f aca="false">IF(AC727=1,(Y727-H$1030)^2,0)</f>
        <v>#N/A</v>
      </c>
      <c r="AH727" s="44" t="e">
        <f aca="false">IF(AD727=1,(Z727-I$1030)^2,0)</f>
        <v>#N/A</v>
      </c>
      <c r="AI727" s="44" t="e">
        <f aca="false">IF(AE727=1,(AA727-J$1030)^2,0)</f>
        <v>#N/A</v>
      </c>
    </row>
    <row r="728" customFormat="false" ht="12" hidden="false" customHeight="false" outlineLevel="0" collapsed="false">
      <c r="A728" s="29" t="n">
        <v>711</v>
      </c>
      <c r="B728" s="45" t="n">
        <f aca="true">IF(RAND()&lt;$D$8,1,0)</f>
        <v>1</v>
      </c>
      <c r="C728" s="34" t="n">
        <f aca="true">-LN(RAND())/$D$2</f>
        <v>0.613415608469638</v>
      </c>
      <c r="D728" s="46" t="n">
        <f aca="false">D727+C728</f>
        <v>1108.12054053458</v>
      </c>
      <c r="E728" s="47" t="e">
        <f aca="false">MAX($D$3,(1+P727-VLOOKUP(VALUE(D728),$J$18:$Q727,7,TRUE()))*$D$3)</f>
        <v>#N/A</v>
      </c>
      <c r="F728" s="47" t="e">
        <f aca="false">MAX($D$4,(1+Q727-VLOOKUP(VALUE(D728),$M$18:$Q727,5,TRUE()))*$D$4)</f>
        <v>#N/A</v>
      </c>
      <c r="G728" s="48" t="n">
        <v>0.5</v>
      </c>
      <c r="H728" s="46" t="e">
        <f aca="true">IF((B728=1),(IF((F728&lt;E728),1,(IF((F728=E728),(IF(RAND()&lt;G728,1,0)),0)))),(IF((RAND()&lt;G728),1,0)))</f>
        <v>#N/A</v>
      </c>
      <c r="I728" s="46" t="e">
        <f aca="true">IF((H728=1),0,$D$3+$D$5*(RAND()-0.5))</f>
        <v>#N/A</v>
      </c>
      <c r="J728" s="46" t="e">
        <f aca="false">I728+MAX(D728,J727)</f>
        <v>#N/A</v>
      </c>
      <c r="K728" s="46" t="e">
        <f aca="false">IF((H728=0),J728-D728,0)</f>
        <v>#N/A</v>
      </c>
      <c r="L728" s="46" t="e">
        <f aca="true">IF(($H728=0),0,$D$4+$D$5*(RAND()-0.5))</f>
        <v>#N/A</v>
      </c>
      <c r="M728" s="46" t="e">
        <f aca="false">L728+MAX(D728,M727)</f>
        <v>#N/A</v>
      </c>
      <c r="N728" s="46" t="e">
        <f aca="false">IF((H728=1),M728-D728,0)</f>
        <v>#N/A</v>
      </c>
      <c r="O728" s="29" t="n">
        <v>711</v>
      </c>
      <c r="P728" s="49" t="e">
        <f aca="false">IF((Arterial=0),P727+1,P727)</f>
        <v>#N/A</v>
      </c>
      <c r="Q728" s="49" t="e">
        <f aca="false">IF((Arterial=1),Q727+1,Q727)</f>
        <v>#N/A</v>
      </c>
      <c r="R728" s="50" t="n">
        <f aca="false">IF((RESET=1),0,R728+K728)</f>
        <v>0</v>
      </c>
      <c r="S728" s="19" t="n">
        <f aca="false">IF(RESET=1,0,S728+N728)</f>
        <v>0</v>
      </c>
      <c r="T728" s="0" t="n">
        <f aca="false">IF(RESET=1,0,T728+IF(H728=0,1,0))</f>
        <v>0</v>
      </c>
      <c r="U728" s="0" t="n">
        <f aca="false">IF(RESET=1,0,U728+H728)</f>
        <v>0</v>
      </c>
      <c r="V728" s="19" t="n">
        <f aca="false">R728/(T728+0.00001)</f>
        <v>0</v>
      </c>
      <c r="W728" s="19" t="n">
        <f aca="false">S728/(U728+0.0001)</f>
        <v>0</v>
      </c>
      <c r="X728" s="47" t="e">
        <f aca="false">IF(Informed=1,K728,0)</f>
        <v>#N/A</v>
      </c>
      <c r="Y728" s="47" t="n">
        <f aca="false">IF(Informed=0,K728,0)</f>
        <v>0</v>
      </c>
      <c r="Z728" s="47" t="e">
        <f aca="false">IF(Informed=1,N728,0)</f>
        <v>#N/A</v>
      </c>
      <c r="AA728" s="47" t="n">
        <f aca="false">IF(Informed=0,N728,0)</f>
        <v>0</v>
      </c>
      <c r="AB728" s="51" t="e">
        <f aca="false">IF(Arterial=0,IF(Informed=1,1,0),0)</f>
        <v>#N/A</v>
      </c>
      <c r="AC728" s="51" t="e">
        <f aca="false">IF(Arterial=0,IF(Informed=0,1,0),0)</f>
        <v>#N/A</v>
      </c>
      <c r="AD728" s="51" t="e">
        <f aca="false">IF(Arterial=1,IF(Informed=1,1,0),0)</f>
        <v>#N/A</v>
      </c>
      <c r="AE728" s="51" t="e">
        <f aca="false">IF(Arterial=1,IF(Informed=0,1,0),0)</f>
        <v>#N/A</v>
      </c>
      <c r="AF728" s="44" t="e">
        <f aca="false">IF(AB728=1,(X728-G$1030)^2,0)</f>
        <v>#N/A</v>
      </c>
      <c r="AG728" s="44" t="e">
        <f aca="false">IF(AC728=1,(Y728-H$1030)^2,0)</f>
        <v>#N/A</v>
      </c>
      <c r="AH728" s="44" t="e">
        <f aca="false">IF(AD728=1,(Z728-I$1030)^2,0)</f>
        <v>#N/A</v>
      </c>
      <c r="AI728" s="44" t="e">
        <f aca="false">IF(AE728=1,(AA728-J$1030)^2,0)</f>
        <v>#N/A</v>
      </c>
    </row>
    <row r="729" customFormat="false" ht="12" hidden="false" customHeight="false" outlineLevel="0" collapsed="false">
      <c r="A729" s="29" t="n">
        <v>712</v>
      </c>
      <c r="B729" s="45" t="n">
        <f aca="true">IF(RAND()&lt;$D$8,1,0)</f>
        <v>1</v>
      </c>
      <c r="C729" s="34" t="n">
        <f aca="true">-LN(RAND())/$D$2</f>
        <v>0.536711145728407</v>
      </c>
      <c r="D729" s="46" t="n">
        <f aca="false">D728+C729</f>
        <v>1108.65725168031</v>
      </c>
      <c r="E729" s="47" t="e">
        <f aca="false">MAX($D$3,(1+P728-VLOOKUP(VALUE(D729),$J$18:$Q728,7,TRUE()))*$D$3)</f>
        <v>#N/A</v>
      </c>
      <c r="F729" s="47" t="e">
        <f aca="false">MAX($D$4,(1+Q728-VLOOKUP(VALUE(D729),$M$18:$Q728,5,TRUE()))*$D$4)</f>
        <v>#N/A</v>
      </c>
      <c r="G729" s="48" t="n">
        <v>0.5</v>
      </c>
      <c r="H729" s="46" t="e">
        <f aca="true">IF((B729=1),(IF((F729&lt;E729),1,(IF((F729=E729),(IF(RAND()&lt;G729,1,0)),0)))),(IF((RAND()&lt;G729),1,0)))</f>
        <v>#N/A</v>
      </c>
      <c r="I729" s="46" t="e">
        <f aca="true">IF((H729=1),0,$D$3+$D$5*(RAND()-0.5))</f>
        <v>#N/A</v>
      </c>
      <c r="J729" s="46" t="e">
        <f aca="false">I729+MAX(D729,J728)</f>
        <v>#N/A</v>
      </c>
      <c r="K729" s="46" t="e">
        <f aca="false">IF((H729=0),J729-D729,0)</f>
        <v>#N/A</v>
      </c>
      <c r="L729" s="46" t="e">
        <f aca="true">IF(($H729=0),0,$D$4+$D$5*(RAND()-0.5))</f>
        <v>#N/A</v>
      </c>
      <c r="M729" s="46" t="e">
        <f aca="false">L729+MAX(D729,M728)</f>
        <v>#N/A</v>
      </c>
      <c r="N729" s="46" t="e">
        <f aca="false">IF((H729=1),M729-D729,0)</f>
        <v>#N/A</v>
      </c>
      <c r="O729" s="29" t="n">
        <v>712</v>
      </c>
      <c r="P729" s="49" t="e">
        <f aca="false">IF((Arterial=0),P728+1,P728)</f>
        <v>#N/A</v>
      </c>
      <c r="Q729" s="49" t="e">
        <f aca="false">IF((Arterial=1),Q728+1,Q728)</f>
        <v>#N/A</v>
      </c>
      <c r="R729" s="50" t="n">
        <f aca="false">IF((RESET=1),0,R729+K729)</f>
        <v>0</v>
      </c>
      <c r="S729" s="19" t="n">
        <f aca="false">IF(RESET=1,0,S729+N729)</f>
        <v>0</v>
      </c>
      <c r="T729" s="0" t="n">
        <f aca="false">IF(RESET=1,0,T729+IF(H729=0,1,0))</f>
        <v>0</v>
      </c>
      <c r="U729" s="0" t="n">
        <f aca="false">IF(RESET=1,0,U729+H729)</f>
        <v>0</v>
      </c>
      <c r="V729" s="19" t="n">
        <f aca="false">R729/(T729+0.00001)</f>
        <v>0</v>
      </c>
      <c r="W729" s="19" t="n">
        <f aca="false">S729/(U729+0.0001)</f>
        <v>0</v>
      </c>
      <c r="X729" s="47" t="e">
        <f aca="false">IF(Informed=1,K729,0)</f>
        <v>#N/A</v>
      </c>
      <c r="Y729" s="47" t="n">
        <f aca="false">IF(Informed=0,K729,0)</f>
        <v>0</v>
      </c>
      <c r="Z729" s="47" t="e">
        <f aca="false">IF(Informed=1,N729,0)</f>
        <v>#N/A</v>
      </c>
      <c r="AA729" s="47" t="n">
        <f aca="false">IF(Informed=0,N729,0)</f>
        <v>0</v>
      </c>
      <c r="AB729" s="51" t="e">
        <f aca="false">IF(Arterial=0,IF(Informed=1,1,0),0)</f>
        <v>#N/A</v>
      </c>
      <c r="AC729" s="51" t="e">
        <f aca="false">IF(Arterial=0,IF(Informed=0,1,0),0)</f>
        <v>#N/A</v>
      </c>
      <c r="AD729" s="51" t="e">
        <f aca="false">IF(Arterial=1,IF(Informed=1,1,0),0)</f>
        <v>#N/A</v>
      </c>
      <c r="AE729" s="51" t="e">
        <f aca="false">IF(Arterial=1,IF(Informed=0,1,0),0)</f>
        <v>#N/A</v>
      </c>
      <c r="AF729" s="44" t="e">
        <f aca="false">IF(AB729=1,(X729-G$1030)^2,0)</f>
        <v>#N/A</v>
      </c>
      <c r="AG729" s="44" t="e">
        <f aca="false">IF(AC729=1,(Y729-H$1030)^2,0)</f>
        <v>#N/A</v>
      </c>
      <c r="AH729" s="44" t="e">
        <f aca="false">IF(AD729=1,(Z729-I$1030)^2,0)</f>
        <v>#N/A</v>
      </c>
      <c r="AI729" s="44" t="e">
        <f aca="false">IF(AE729=1,(AA729-J$1030)^2,0)</f>
        <v>#N/A</v>
      </c>
    </row>
    <row r="730" customFormat="false" ht="12" hidden="false" customHeight="false" outlineLevel="0" collapsed="false">
      <c r="A730" s="29" t="n">
        <v>713</v>
      </c>
      <c r="B730" s="45" t="n">
        <f aca="true">IF(RAND()&lt;$D$8,1,0)</f>
        <v>1</v>
      </c>
      <c r="C730" s="34" t="n">
        <f aca="true">-LN(RAND())/$D$2</f>
        <v>0.039378907604844</v>
      </c>
      <c r="D730" s="46" t="n">
        <f aca="false">D729+C730</f>
        <v>1108.69663058791</v>
      </c>
      <c r="E730" s="47" t="e">
        <f aca="false">MAX($D$3,(1+P729-VLOOKUP(VALUE(D730),$J$18:$Q729,7,TRUE()))*$D$3)</f>
        <v>#N/A</v>
      </c>
      <c r="F730" s="47" t="e">
        <f aca="false">MAX($D$4,(1+Q729-VLOOKUP(VALUE(D730),$M$18:$Q729,5,TRUE()))*$D$4)</f>
        <v>#N/A</v>
      </c>
      <c r="G730" s="48" t="n">
        <v>0.5</v>
      </c>
      <c r="H730" s="46" t="e">
        <f aca="true">IF((B730=1),(IF((F730&lt;E730),1,(IF((F730=E730),(IF(RAND()&lt;G730,1,0)),0)))),(IF((RAND()&lt;G730),1,0)))</f>
        <v>#N/A</v>
      </c>
      <c r="I730" s="46" t="e">
        <f aca="true">IF((H730=1),0,$D$3+$D$5*(RAND()-0.5))</f>
        <v>#N/A</v>
      </c>
      <c r="J730" s="46" t="e">
        <f aca="false">I730+MAX(D730,J729)</f>
        <v>#N/A</v>
      </c>
      <c r="K730" s="46" t="e">
        <f aca="false">IF((H730=0),J730-D730,0)</f>
        <v>#N/A</v>
      </c>
      <c r="L730" s="46" t="e">
        <f aca="true">IF(($H730=0),0,$D$4+$D$5*(RAND()-0.5))</f>
        <v>#N/A</v>
      </c>
      <c r="M730" s="46" t="e">
        <f aca="false">L730+MAX(D730,M729)</f>
        <v>#N/A</v>
      </c>
      <c r="N730" s="46" t="e">
        <f aca="false">IF((H730=1),M730-D730,0)</f>
        <v>#N/A</v>
      </c>
      <c r="O730" s="29" t="n">
        <v>713</v>
      </c>
      <c r="P730" s="49" t="e">
        <f aca="false">IF((Arterial=0),P729+1,P729)</f>
        <v>#N/A</v>
      </c>
      <c r="Q730" s="49" t="e">
        <f aca="false">IF((Arterial=1),Q729+1,Q729)</f>
        <v>#N/A</v>
      </c>
      <c r="R730" s="50" t="n">
        <f aca="false">IF((RESET=1),0,R730+K730)</f>
        <v>0</v>
      </c>
      <c r="S730" s="19" t="n">
        <f aca="false">IF(RESET=1,0,S730+N730)</f>
        <v>0</v>
      </c>
      <c r="T730" s="0" t="n">
        <f aca="false">IF(RESET=1,0,T730+IF(H730=0,1,0))</f>
        <v>0</v>
      </c>
      <c r="U730" s="0" t="n">
        <f aca="false">IF(RESET=1,0,U730+H730)</f>
        <v>0</v>
      </c>
      <c r="V730" s="19" t="n">
        <f aca="false">R730/(T730+0.00001)</f>
        <v>0</v>
      </c>
      <c r="W730" s="19" t="n">
        <f aca="false">S730/(U730+0.0001)</f>
        <v>0</v>
      </c>
      <c r="X730" s="47" t="e">
        <f aca="false">IF(Informed=1,K730,0)</f>
        <v>#N/A</v>
      </c>
      <c r="Y730" s="47" t="n">
        <f aca="false">IF(Informed=0,K730,0)</f>
        <v>0</v>
      </c>
      <c r="Z730" s="47" t="e">
        <f aca="false">IF(Informed=1,N730,0)</f>
        <v>#N/A</v>
      </c>
      <c r="AA730" s="47" t="n">
        <f aca="false">IF(Informed=0,N730,0)</f>
        <v>0</v>
      </c>
      <c r="AB730" s="51" t="e">
        <f aca="false">IF(Arterial=0,IF(Informed=1,1,0),0)</f>
        <v>#N/A</v>
      </c>
      <c r="AC730" s="51" t="e">
        <f aca="false">IF(Arterial=0,IF(Informed=0,1,0),0)</f>
        <v>#N/A</v>
      </c>
      <c r="AD730" s="51" t="e">
        <f aca="false">IF(Arterial=1,IF(Informed=1,1,0),0)</f>
        <v>#N/A</v>
      </c>
      <c r="AE730" s="51" t="e">
        <f aca="false">IF(Arterial=1,IF(Informed=0,1,0),0)</f>
        <v>#N/A</v>
      </c>
      <c r="AF730" s="44" t="e">
        <f aca="false">IF(AB730=1,(X730-G$1030)^2,0)</f>
        <v>#N/A</v>
      </c>
      <c r="AG730" s="44" t="e">
        <f aca="false">IF(AC730=1,(Y730-H$1030)^2,0)</f>
        <v>#N/A</v>
      </c>
      <c r="AH730" s="44" t="e">
        <f aca="false">IF(AD730=1,(Z730-I$1030)^2,0)</f>
        <v>#N/A</v>
      </c>
      <c r="AI730" s="44" t="e">
        <f aca="false">IF(AE730=1,(AA730-J$1030)^2,0)</f>
        <v>#N/A</v>
      </c>
    </row>
    <row r="731" customFormat="false" ht="12" hidden="false" customHeight="false" outlineLevel="0" collapsed="false">
      <c r="A731" s="29" t="n">
        <v>714</v>
      </c>
      <c r="B731" s="45" t="n">
        <f aca="true">IF(RAND()&lt;$D$8,1,0)</f>
        <v>1</v>
      </c>
      <c r="C731" s="34" t="n">
        <f aca="true">-LN(RAND())/$D$2</f>
        <v>0.658635553208957</v>
      </c>
      <c r="D731" s="46" t="n">
        <f aca="false">D730+C731</f>
        <v>1109.35526614112</v>
      </c>
      <c r="E731" s="47" t="e">
        <f aca="false">MAX($D$3,(1+P730-VLOOKUP(VALUE(D731),$J$18:$Q730,7,TRUE()))*$D$3)</f>
        <v>#N/A</v>
      </c>
      <c r="F731" s="47" t="e">
        <f aca="false">MAX($D$4,(1+Q730-VLOOKUP(VALUE(D731),$M$18:$Q730,5,TRUE()))*$D$4)</f>
        <v>#N/A</v>
      </c>
      <c r="G731" s="48" t="n">
        <v>0.5</v>
      </c>
      <c r="H731" s="46" t="e">
        <f aca="true">IF((B731=1),(IF((F731&lt;E731),1,(IF((F731=E731),(IF(RAND()&lt;G731,1,0)),0)))),(IF((RAND()&lt;G731),1,0)))</f>
        <v>#N/A</v>
      </c>
      <c r="I731" s="46" t="e">
        <f aca="true">IF((H731=1),0,$D$3+$D$5*(RAND()-0.5))</f>
        <v>#N/A</v>
      </c>
      <c r="J731" s="46" t="e">
        <f aca="false">I731+MAX(D731,J730)</f>
        <v>#N/A</v>
      </c>
      <c r="K731" s="46" t="e">
        <f aca="false">IF((H731=0),J731-D731,0)</f>
        <v>#N/A</v>
      </c>
      <c r="L731" s="46" t="e">
        <f aca="true">IF(($H731=0),0,$D$4+$D$5*(RAND()-0.5))</f>
        <v>#N/A</v>
      </c>
      <c r="M731" s="46" t="e">
        <f aca="false">L731+MAX(D731,M730)</f>
        <v>#N/A</v>
      </c>
      <c r="N731" s="46" t="e">
        <f aca="false">IF((H731=1),M731-D731,0)</f>
        <v>#N/A</v>
      </c>
      <c r="O731" s="29" t="n">
        <v>714</v>
      </c>
      <c r="P731" s="49" t="e">
        <f aca="false">IF((Arterial=0),P730+1,P730)</f>
        <v>#N/A</v>
      </c>
      <c r="Q731" s="49" t="e">
        <f aca="false">IF((Arterial=1),Q730+1,Q730)</f>
        <v>#N/A</v>
      </c>
      <c r="R731" s="50" t="n">
        <f aca="false">IF((RESET=1),0,R731+K731)</f>
        <v>0</v>
      </c>
      <c r="S731" s="19" t="n">
        <f aca="false">IF(RESET=1,0,S731+N731)</f>
        <v>0</v>
      </c>
      <c r="T731" s="0" t="n">
        <f aca="false">IF(RESET=1,0,T731+IF(H731=0,1,0))</f>
        <v>0</v>
      </c>
      <c r="U731" s="0" t="n">
        <f aca="false">IF(RESET=1,0,U731+H731)</f>
        <v>0</v>
      </c>
      <c r="V731" s="19" t="n">
        <f aca="false">R731/(T731+0.00001)</f>
        <v>0</v>
      </c>
      <c r="W731" s="19" t="n">
        <f aca="false">S731/(U731+0.0001)</f>
        <v>0</v>
      </c>
      <c r="X731" s="47" t="e">
        <f aca="false">IF(Informed=1,K731,0)</f>
        <v>#N/A</v>
      </c>
      <c r="Y731" s="47" t="n">
        <f aca="false">IF(Informed=0,K731,0)</f>
        <v>0</v>
      </c>
      <c r="Z731" s="47" t="e">
        <f aca="false">IF(Informed=1,N731,0)</f>
        <v>#N/A</v>
      </c>
      <c r="AA731" s="47" t="n">
        <f aca="false">IF(Informed=0,N731,0)</f>
        <v>0</v>
      </c>
      <c r="AB731" s="51" t="e">
        <f aca="false">IF(Arterial=0,IF(Informed=1,1,0),0)</f>
        <v>#N/A</v>
      </c>
      <c r="AC731" s="51" t="e">
        <f aca="false">IF(Arterial=0,IF(Informed=0,1,0),0)</f>
        <v>#N/A</v>
      </c>
      <c r="AD731" s="51" t="e">
        <f aca="false">IF(Arterial=1,IF(Informed=1,1,0),0)</f>
        <v>#N/A</v>
      </c>
      <c r="AE731" s="51" t="e">
        <f aca="false">IF(Arterial=1,IF(Informed=0,1,0),0)</f>
        <v>#N/A</v>
      </c>
      <c r="AF731" s="44" t="e">
        <f aca="false">IF(AB731=1,(X731-G$1030)^2,0)</f>
        <v>#N/A</v>
      </c>
      <c r="AG731" s="44" t="e">
        <f aca="false">IF(AC731=1,(Y731-H$1030)^2,0)</f>
        <v>#N/A</v>
      </c>
      <c r="AH731" s="44" t="e">
        <f aca="false">IF(AD731=1,(Z731-I$1030)^2,0)</f>
        <v>#N/A</v>
      </c>
      <c r="AI731" s="44" t="e">
        <f aca="false">IF(AE731=1,(AA731-J$1030)^2,0)</f>
        <v>#N/A</v>
      </c>
    </row>
    <row r="732" customFormat="false" ht="12" hidden="false" customHeight="false" outlineLevel="0" collapsed="false">
      <c r="A732" s="29" t="n">
        <v>715</v>
      </c>
      <c r="B732" s="45" t="n">
        <f aca="true">IF(RAND()&lt;$D$8,1,0)</f>
        <v>1</v>
      </c>
      <c r="C732" s="34" t="n">
        <f aca="true">-LN(RAND())/$D$2</f>
        <v>0.56962789221371</v>
      </c>
      <c r="D732" s="46" t="n">
        <f aca="false">D731+C732</f>
        <v>1109.92489403334</v>
      </c>
      <c r="E732" s="47" t="e">
        <f aca="false">MAX($D$3,(1+P731-VLOOKUP(VALUE(D732),$J$18:$Q731,7,TRUE()))*$D$3)</f>
        <v>#N/A</v>
      </c>
      <c r="F732" s="47" t="e">
        <f aca="false">MAX($D$4,(1+Q731-VLOOKUP(VALUE(D732),$M$18:$Q731,5,TRUE()))*$D$4)</f>
        <v>#N/A</v>
      </c>
      <c r="G732" s="48" t="n">
        <v>0.5</v>
      </c>
      <c r="H732" s="46" t="e">
        <f aca="true">IF((B732=1),(IF((F732&lt;E732),1,(IF((F732=E732),(IF(RAND()&lt;G732,1,0)),0)))),(IF((RAND()&lt;G732),1,0)))</f>
        <v>#N/A</v>
      </c>
      <c r="I732" s="46" t="e">
        <f aca="true">IF((H732=1),0,$D$3+$D$5*(RAND()-0.5))</f>
        <v>#N/A</v>
      </c>
      <c r="J732" s="46" t="e">
        <f aca="false">I732+MAX(D732,J731)</f>
        <v>#N/A</v>
      </c>
      <c r="K732" s="46" t="e">
        <f aca="false">IF((H732=0),J732-D732,0)</f>
        <v>#N/A</v>
      </c>
      <c r="L732" s="46" t="e">
        <f aca="true">IF(($H732=0),0,$D$4+$D$5*(RAND()-0.5))</f>
        <v>#N/A</v>
      </c>
      <c r="M732" s="46" t="e">
        <f aca="false">L732+MAX(D732,M731)</f>
        <v>#N/A</v>
      </c>
      <c r="N732" s="46" t="e">
        <f aca="false">IF((H732=1),M732-D732,0)</f>
        <v>#N/A</v>
      </c>
      <c r="O732" s="29" t="n">
        <v>715</v>
      </c>
      <c r="P732" s="49" t="e">
        <f aca="false">IF((Arterial=0),P731+1,P731)</f>
        <v>#N/A</v>
      </c>
      <c r="Q732" s="49" t="e">
        <f aca="false">IF((Arterial=1),Q731+1,Q731)</f>
        <v>#N/A</v>
      </c>
      <c r="R732" s="50" t="n">
        <f aca="false">IF((RESET=1),0,R732+K732)</f>
        <v>0</v>
      </c>
      <c r="S732" s="19" t="n">
        <f aca="false">IF(RESET=1,0,S732+N732)</f>
        <v>0</v>
      </c>
      <c r="T732" s="0" t="n">
        <f aca="false">IF(RESET=1,0,T732+IF(H732=0,1,0))</f>
        <v>0</v>
      </c>
      <c r="U732" s="0" t="n">
        <f aca="false">IF(RESET=1,0,U732+H732)</f>
        <v>0</v>
      </c>
      <c r="V732" s="19" t="n">
        <f aca="false">R732/(T732+0.00001)</f>
        <v>0</v>
      </c>
      <c r="W732" s="19" t="n">
        <f aca="false">S732/(U732+0.0001)</f>
        <v>0</v>
      </c>
      <c r="X732" s="47" t="e">
        <f aca="false">IF(Informed=1,K732,0)</f>
        <v>#N/A</v>
      </c>
      <c r="Y732" s="47" t="n">
        <f aca="false">IF(Informed=0,K732,0)</f>
        <v>0</v>
      </c>
      <c r="Z732" s="47" t="e">
        <f aca="false">IF(Informed=1,N732,0)</f>
        <v>#N/A</v>
      </c>
      <c r="AA732" s="47" t="n">
        <f aca="false">IF(Informed=0,N732,0)</f>
        <v>0</v>
      </c>
      <c r="AB732" s="51" t="e">
        <f aca="false">IF(Arterial=0,IF(Informed=1,1,0),0)</f>
        <v>#N/A</v>
      </c>
      <c r="AC732" s="51" t="e">
        <f aca="false">IF(Arterial=0,IF(Informed=0,1,0),0)</f>
        <v>#N/A</v>
      </c>
      <c r="AD732" s="51" t="e">
        <f aca="false">IF(Arterial=1,IF(Informed=1,1,0),0)</f>
        <v>#N/A</v>
      </c>
      <c r="AE732" s="51" t="e">
        <f aca="false">IF(Arterial=1,IF(Informed=0,1,0),0)</f>
        <v>#N/A</v>
      </c>
      <c r="AF732" s="44" t="e">
        <f aca="false">IF(AB732=1,(X732-G$1030)^2,0)</f>
        <v>#N/A</v>
      </c>
      <c r="AG732" s="44" t="e">
        <f aca="false">IF(AC732=1,(Y732-H$1030)^2,0)</f>
        <v>#N/A</v>
      </c>
      <c r="AH732" s="44" t="e">
        <f aca="false">IF(AD732=1,(Z732-I$1030)^2,0)</f>
        <v>#N/A</v>
      </c>
      <c r="AI732" s="44" t="e">
        <f aca="false">IF(AE732=1,(AA732-J$1030)^2,0)</f>
        <v>#N/A</v>
      </c>
    </row>
    <row r="733" customFormat="false" ht="12" hidden="false" customHeight="false" outlineLevel="0" collapsed="false">
      <c r="A733" s="29" t="n">
        <v>716</v>
      </c>
      <c r="B733" s="45" t="n">
        <f aca="true">IF(RAND()&lt;$D$8,1,0)</f>
        <v>1</v>
      </c>
      <c r="C733" s="34" t="n">
        <f aca="true">-LN(RAND())/$D$2</f>
        <v>0.063192111368715</v>
      </c>
      <c r="D733" s="46" t="n">
        <f aca="false">D732+C733</f>
        <v>1109.98808614471</v>
      </c>
      <c r="E733" s="47" t="e">
        <f aca="false">MAX($D$3,(1+P732-VLOOKUP(VALUE(D733),$J$18:$Q732,7,TRUE()))*$D$3)</f>
        <v>#N/A</v>
      </c>
      <c r="F733" s="47" t="e">
        <f aca="false">MAX($D$4,(1+Q732-VLOOKUP(VALUE(D733),$M$18:$Q732,5,TRUE()))*$D$4)</f>
        <v>#N/A</v>
      </c>
      <c r="G733" s="48" t="n">
        <v>0.5</v>
      </c>
      <c r="H733" s="46" t="e">
        <f aca="true">IF((B733=1),(IF((F733&lt;E733),1,(IF((F733=E733),(IF(RAND()&lt;G733,1,0)),0)))),(IF((RAND()&lt;G733),1,0)))</f>
        <v>#N/A</v>
      </c>
      <c r="I733" s="46" t="e">
        <f aca="true">IF((H733=1),0,$D$3+$D$5*(RAND()-0.5))</f>
        <v>#N/A</v>
      </c>
      <c r="J733" s="46" t="e">
        <f aca="false">I733+MAX(D733,J732)</f>
        <v>#N/A</v>
      </c>
      <c r="K733" s="46" t="e">
        <f aca="false">IF((H733=0),J733-D733,0)</f>
        <v>#N/A</v>
      </c>
      <c r="L733" s="46" t="e">
        <f aca="true">IF(($H733=0),0,$D$4+$D$5*(RAND()-0.5))</f>
        <v>#N/A</v>
      </c>
      <c r="M733" s="46" t="e">
        <f aca="false">L733+MAX(D733,M732)</f>
        <v>#N/A</v>
      </c>
      <c r="N733" s="46" t="e">
        <f aca="false">IF((H733=1),M733-D733,0)</f>
        <v>#N/A</v>
      </c>
      <c r="O733" s="29" t="n">
        <v>716</v>
      </c>
      <c r="P733" s="49" t="e">
        <f aca="false">IF((Arterial=0),P732+1,P732)</f>
        <v>#N/A</v>
      </c>
      <c r="Q733" s="49" t="e">
        <f aca="false">IF((Arterial=1),Q732+1,Q732)</f>
        <v>#N/A</v>
      </c>
      <c r="R733" s="50" t="n">
        <f aca="false">IF((RESET=1),0,R733+K733)</f>
        <v>0</v>
      </c>
      <c r="S733" s="19" t="n">
        <f aca="false">IF(RESET=1,0,S733+N733)</f>
        <v>0</v>
      </c>
      <c r="T733" s="0" t="n">
        <f aca="false">IF(RESET=1,0,T733+IF(H733=0,1,0))</f>
        <v>0</v>
      </c>
      <c r="U733" s="0" t="n">
        <f aca="false">IF(RESET=1,0,U733+H733)</f>
        <v>0</v>
      </c>
      <c r="V733" s="19" t="n">
        <f aca="false">R733/(T733+0.00001)</f>
        <v>0</v>
      </c>
      <c r="W733" s="19" t="n">
        <f aca="false">S733/(U733+0.0001)</f>
        <v>0</v>
      </c>
      <c r="X733" s="47" t="e">
        <f aca="false">IF(Informed=1,K733,0)</f>
        <v>#N/A</v>
      </c>
      <c r="Y733" s="47" t="n">
        <f aca="false">IF(Informed=0,K733,0)</f>
        <v>0</v>
      </c>
      <c r="Z733" s="47" t="e">
        <f aca="false">IF(Informed=1,N733,0)</f>
        <v>#N/A</v>
      </c>
      <c r="AA733" s="47" t="n">
        <f aca="false">IF(Informed=0,N733,0)</f>
        <v>0</v>
      </c>
      <c r="AB733" s="51" t="e">
        <f aca="false">IF(Arterial=0,IF(Informed=1,1,0),0)</f>
        <v>#N/A</v>
      </c>
      <c r="AC733" s="51" t="e">
        <f aca="false">IF(Arterial=0,IF(Informed=0,1,0),0)</f>
        <v>#N/A</v>
      </c>
      <c r="AD733" s="51" t="e">
        <f aca="false">IF(Arterial=1,IF(Informed=1,1,0),0)</f>
        <v>#N/A</v>
      </c>
      <c r="AE733" s="51" t="e">
        <f aca="false">IF(Arterial=1,IF(Informed=0,1,0),0)</f>
        <v>#N/A</v>
      </c>
      <c r="AF733" s="44" t="e">
        <f aca="false">IF(AB733=1,(X733-G$1030)^2,0)</f>
        <v>#N/A</v>
      </c>
      <c r="AG733" s="44" t="e">
        <f aca="false">IF(AC733=1,(Y733-H$1030)^2,0)</f>
        <v>#N/A</v>
      </c>
      <c r="AH733" s="44" t="e">
        <f aca="false">IF(AD733=1,(Z733-I$1030)^2,0)</f>
        <v>#N/A</v>
      </c>
      <c r="AI733" s="44" t="e">
        <f aca="false">IF(AE733=1,(AA733-J$1030)^2,0)</f>
        <v>#N/A</v>
      </c>
    </row>
    <row r="734" customFormat="false" ht="12" hidden="false" customHeight="false" outlineLevel="0" collapsed="false">
      <c r="A734" s="29" t="n">
        <v>717</v>
      </c>
      <c r="B734" s="45" t="n">
        <f aca="true">IF(RAND()&lt;$D$8,1,0)</f>
        <v>1</v>
      </c>
      <c r="C734" s="34" t="n">
        <f aca="true">-LN(RAND())/$D$2</f>
        <v>4.22536378492241</v>
      </c>
      <c r="D734" s="46" t="n">
        <f aca="false">D733+C734</f>
        <v>1114.21344992963</v>
      </c>
      <c r="E734" s="47" t="e">
        <f aca="false">MAX($D$3,(1+P733-VLOOKUP(VALUE(D734),$J$18:$Q733,7,TRUE()))*$D$3)</f>
        <v>#N/A</v>
      </c>
      <c r="F734" s="47" t="e">
        <f aca="false">MAX($D$4,(1+Q733-VLOOKUP(VALUE(D734),$M$18:$Q733,5,TRUE()))*$D$4)</f>
        <v>#N/A</v>
      </c>
      <c r="G734" s="48" t="n">
        <v>0.5</v>
      </c>
      <c r="H734" s="46" t="e">
        <f aca="true">IF((B734=1),(IF((F734&lt;E734),1,(IF((F734=E734),(IF(RAND()&lt;G734,1,0)),0)))),(IF((RAND()&lt;G734),1,0)))</f>
        <v>#N/A</v>
      </c>
      <c r="I734" s="46" t="e">
        <f aca="true">IF((H734=1),0,$D$3+$D$5*(RAND()-0.5))</f>
        <v>#N/A</v>
      </c>
      <c r="J734" s="46" t="e">
        <f aca="false">I734+MAX(D734,J733)</f>
        <v>#N/A</v>
      </c>
      <c r="K734" s="46" t="e">
        <f aca="false">IF((H734=0),J734-D734,0)</f>
        <v>#N/A</v>
      </c>
      <c r="L734" s="46" t="e">
        <f aca="true">IF(($H734=0),0,$D$4+$D$5*(RAND()-0.5))</f>
        <v>#N/A</v>
      </c>
      <c r="M734" s="46" t="e">
        <f aca="false">L734+MAX(D734,M733)</f>
        <v>#N/A</v>
      </c>
      <c r="N734" s="46" t="e">
        <f aca="false">IF((H734=1),M734-D734,0)</f>
        <v>#N/A</v>
      </c>
      <c r="O734" s="29" t="n">
        <v>717</v>
      </c>
      <c r="P734" s="49" t="e">
        <f aca="false">IF((Arterial=0),P733+1,P733)</f>
        <v>#N/A</v>
      </c>
      <c r="Q734" s="49" t="e">
        <f aca="false">IF((Arterial=1),Q733+1,Q733)</f>
        <v>#N/A</v>
      </c>
      <c r="R734" s="50" t="n">
        <f aca="false">IF((RESET=1),0,R734+K734)</f>
        <v>0</v>
      </c>
      <c r="S734" s="19" t="n">
        <f aca="false">IF(RESET=1,0,S734+N734)</f>
        <v>0</v>
      </c>
      <c r="T734" s="0" t="n">
        <f aca="false">IF(RESET=1,0,T734+IF(H734=0,1,0))</f>
        <v>0</v>
      </c>
      <c r="U734" s="0" t="n">
        <f aca="false">IF(RESET=1,0,U734+H734)</f>
        <v>0</v>
      </c>
      <c r="V734" s="19" t="n">
        <f aca="false">R734/(T734+0.00001)</f>
        <v>0</v>
      </c>
      <c r="W734" s="19" t="n">
        <f aca="false">S734/(U734+0.0001)</f>
        <v>0</v>
      </c>
      <c r="X734" s="47" t="e">
        <f aca="false">IF(Informed=1,K734,0)</f>
        <v>#N/A</v>
      </c>
      <c r="Y734" s="47" t="n">
        <f aca="false">IF(Informed=0,K734,0)</f>
        <v>0</v>
      </c>
      <c r="Z734" s="47" t="e">
        <f aca="false">IF(Informed=1,N734,0)</f>
        <v>#N/A</v>
      </c>
      <c r="AA734" s="47" t="n">
        <f aca="false">IF(Informed=0,N734,0)</f>
        <v>0</v>
      </c>
      <c r="AB734" s="51" t="e">
        <f aca="false">IF(Arterial=0,IF(Informed=1,1,0),0)</f>
        <v>#N/A</v>
      </c>
      <c r="AC734" s="51" t="e">
        <f aca="false">IF(Arterial=0,IF(Informed=0,1,0),0)</f>
        <v>#N/A</v>
      </c>
      <c r="AD734" s="51" t="e">
        <f aca="false">IF(Arterial=1,IF(Informed=1,1,0),0)</f>
        <v>#N/A</v>
      </c>
      <c r="AE734" s="51" t="e">
        <f aca="false">IF(Arterial=1,IF(Informed=0,1,0),0)</f>
        <v>#N/A</v>
      </c>
      <c r="AF734" s="44" t="e">
        <f aca="false">IF(AB734=1,(X734-G$1030)^2,0)</f>
        <v>#N/A</v>
      </c>
      <c r="AG734" s="44" t="e">
        <f aca="false">IF(AC734=1,(Y734-H$1030)^2,0)</f>
        <v>#N/A</v>
      </c>
      <c r="AH734" s="44" t="e">
        <f aca="false">IF(AD734=1,(Z734-I$1030)^2,0)</f>
        <v>#N/A</v>
      </c>
      <c r="AI734" s="44" t="e">
        <f aca="false">IF(AE734=1,(AA734-J$1030)^2,0)</f>
        <v>#N/A</v>
      </c>
    </row>
    <row r="735" customFormat="false" ht="12" hidden="false" customHeight="false" outlineLevel="0" collapsed="false">
      <c r="A735" s="29" t="n">
        <v>718</v>
      </c>
      <c r="B735" s="45" t="n">
        <f aca="true">IF(RAND()&lt;$D$8,1,0)</f>
        <v>1</v>
      </c>
      <c r="C735" s="34" t="n">
        <f aca="true">-LN(RAND())/$D$2</f>
        <v>1.06672719635675</v>
      </c>
      <c r="D735" s="46" t="n">
        <f aca="false">D734+C735</f>
        <v>1115.28017712598</v>
      </c>
      <c r="E735" s="47" t="e">
        <f aca="false">MAX($D$3,(1+P734-VLOOKUP(VALUE(D735),$J$18:$Q734,7,TRUE()))*$D$3)</f>
        <v>#N/A</v>
      </c>
      <c r="F735" s="47" t="e">
        <f aca="false">MAX($D$4,(1+Q734-VLOOKUP(VALUE(D735),$M$18:$Q734,5,TRUE()))*$D$4)</f>
        <v>#N/A</v>
      </c>
      <c r="G735" s="48" t="n">
        <v>0.5</v>
      </c>
      <c r="H735" s="46" t="e">
        <f aca="true">IF((B735=1),(IF((F735&lt;E735),1,(IF((F735=E735),(IF(RAND()&lt;G735,1,0)),0)))),(IF((RAND()&lt;G735),1,0)))</f>
        <v>#N/A</v>
      </c>
      <c r="I735" s="46" t="e">
        <f aca="true">IF((H735=1),0,$D$3+$D$5*(RAND()-0.5))</f>
        <v>#N/A</v>
      </c>
      <c r="J735" s="46" t="e">
        <f aca="false">I735+MAX(D735,J734)</f>
        <v>#N/A</v>
      </c>
      <c r="K735" s="46" t="e">
        <f aca="false">IF((H735=0),J735-D735,0)</f>
        <v>#N/A</v>
      </c>
      <c r="L735" s="46" t="e">
        <f aca="true">IF(($H735=0),0,$D$4+$D$5*(RAND()-0.5))</f>
        <v>#N/A</v>
      </c>
      <c r="M735" s="46" t="e">
        <f aca="false">L735+MAX(D735,M734)</f>
        <v>#N/A</v>
      </c>
      <c r="N735" s="46" t="e">
        <f aca="false">IF((H735=1),M735-D735,0)</f>
        <v>#N/A</v>
      </c>
      <c r="O735" s="29" t="n">
        <v>718</v>
      </c>
      <c r="P735" s="49" t="e">
        <f aca="false">IF((Arterial=0),P734+1,P734)</f>
        <v>#N/A</v>
      </c>
      <c r="Q735" s="49" t="e">
        <f aca="false">IF((Arterial=1),Q734+1,Q734)</f>
        <v>#N/A</v>
      </c>
      <c r="R735" s="50" t="n">
        <f aca="false">IF((RESET=1),0,R735+K735)</f>
        <v>0</v>
      </c>
      <c r="S735" s="19" t="n">
        <f aca="false">IF(RESET=1,0,S735+N735)</f>
        <v>0</v>
      </c>
      <c r="T735" s="0" t="n">
        <f aca="false">IF(RESET=1,0,T735+IF(H735=0,1,0))</f>
        <v>0</v>
      </c>
      <c r="U735" s="0" t="n">
        <f aca="false">IF(RESET=1,0,U735+H735)</f>
        <v>0</v>
      </c>
      <c r="V735" s="19" t="n">
        <f aca="false">R735/(T735+0.00001)</f>
        <v>0</v>
      </c>
      <c r="W735" s="19" t="n">
        <f aca="false">S735/(U735+0.0001)</f>
        <v>0</v>
      </c>
      <c r="X735" s="47" t="e">
        <f aca="false">IF(Informed=1,K735,0)</f>
        <v>#N/A</v>
      </c>
      <c r="Y735" s="47" t="n">
        <f aca="false">IF(Informed=0,K735,0)</f>
        <v>0</v>
      </c>
      <c r="Z735" s="47" t="e">
        <f aca="false">IF(Informed=1,N735,0)</f>
        <v>#N/A</v>
      </c>
      <c r="AA735" s="47" t="n">
        <f aca="false">IF(Informed=0,N735,0)</f>
        <v>0</v>
      </c>
      <c r="AB735" s="51" t="e">
        <f aca="false">IF(Arterial=0,IF(Informed=1,1,0),0)</f>
        <v>#N/A</v>
      </c>
      <c r="AC735" s="51" t="e">
        <f aca="false">IF(Arterial=0,IF(Informed=0,1,0),0)</f>
        <v>#N/A</v>
      </c>
      <c r="AD735" s="51" t="e">
        <f aca="false">IF(Arterial=1,IF(Informed=1,1,0),0)</f>
        <v>#N/A</v>
      </c>
      <c r="AE735" s="51" t="e">
        <f aca="false">IF(Arterial=1,IF(Informed=0,1,0),0)</f>
        <v>#N/A</v>
      </c>
      <c r="AF735" s="44" t="e">
        <f aca="false">IF(AB735=1,(X735-G$1030)^2,0)</f>
        <v>#N/A</v>
      </c>
      <c r="AG735" s="44" t="e">
        <f aca="false">IF(AC735=1,(Y735-H$1030)^2,0)</f>
        <v>#N/A</v>
      </c>
      <c r="AH735" s="44" t="e">
        <f aca="false">IF(AD735=1,(Z735-I$1030)^2,0)</f>
        <v>#N/A</v>
      </c>
      <c r="AI735" s="44" t="e">
        <f aca="false">IF(AE735=1,(AA735-J$1030)^2,0)</f>
        <v>#N/A</v>
      </c>
    </row>
    <row r="736" customFormat="false" ht="12" hidden="false" customHeight="false" outlineLevel="0" collapsed="false">
      <c r="A736" s="29" t="n">
        <v>719</v>
      </c>
      <c r="B736" s="45" t="n">
        <f aca="true">IF(RAND()&lt;$D$8,1,0)</f>
        <v>1</v>
      </c>
      <c r="C736" s="34" t="n">
        <f aca="true">-LN(RAND())/$D$2</f>
        <v>1.189794382737</v>
      </c>
      <c r="D736" s="46" t="n">
        <f aca="false">D735+C736</f>
        <v>1116.46997150872</v>
      </c>
      <c r="E736" s="47" t="e">
        <f aca="false">MAX($D$3,(1+P735-VLOOKUP(VALUE(D736),$J$18:$Q735,7,TRUE()))*$D$3)</f>
        <v>#N/A</v>
      </c>
      <c r="F736" s="47" t="e">
        <f aca="false">MAX($D$4,(1+Q735-VLOOKUP(VALUE(D736),$M$18:$Q735,5,TRUE()))*$D$4)</f>
        <v>#N/A</v>
      </c>
      <c r="G736" s="48" t="n">
        <v>0.5</v>
      </c>
      <c r="H736" s="46" t="e">
        <f aca="true">IF((B736=1),(IF((F736&lt;E736),1,(IF((F736=E736),(IF(RAND()&lt;G736,1,0)),0)))),(IF((RAND()&lt;G736),1,0)))</f>
        <v>#N/A</v>
      </c>
      <c r="I736" s="46" t="e">
        <f aca="true">IF((H736=1),0,$D$3+$D$5*(RAND()-0.5))</f>
        <v>#N/A</v>
      </c>
      <c r="J736" s="46" t="e">
        <f aca="false">I736+MAX(D736,J735)</f>
        <v>#N/A</v>
      </c>
      <c r="K736" s="46" t="e">
        <f aca="false">IF((H736=0),J736-D736,0)</f>
        <v>#N/A</v>
      </c>
      <c r="L736" s="46" t="e">
        <f aca="true">IF(($H736=0),0,$D$4+$D$5*(RAND()-0.5))</f>
        <v>#N/A</v>
      </c>
      <c r="M736" s="46" t="e">
        <f aca="false">L736+MAX(D736,M735)</f>
        <v>#N/A</v>
      </c>
      <c r="N736" s="46" t="e">
        <f aca="false">IF((H736=1),M736-D736,0)</f>
        <v>#N/A</v>
      </c>
      <c r="O736" s="29" t="n">
        <v>719</v>
      </c>
      <c r="P736" s="49" t="e">
        <f aca="false">IF((Arterial=0),P735+1,P735)</f>
        <v>#N/A</v>
      </c>
      <c r="Q736" s="49" t="e">
        <f aca="false">IF((Arterial=1),Q735+1,Q735)</f>
        <v>#N/A</v>
      </c>
      <c r="R736" s="50" t="n">
        <f aca="false">IF((RESET=1),0,R736+K736)</f>
        <v>0</v>
      </c>
      <c r="S736" s="19" t="n">
        <f aca="false">IF(RESET=1,0,S736+N736)</f>
        <v>0</v>
      </c>
      <c r="T736" s="0" t="n">
        <f aca="false">IF(RESET=1,0,T736+IF(H736=0,1,0))</f>
        <v>0</v>
      </c>
      <c r="U736" s="0" t="n">
        <f aca="false">IF(RESET=1,0,U736+H736)</f>
        <v>0</v>
      </c>
      <c r="V736" s="19" t="n">
        <f aca="false">R736/(T736+0.00001)</f>
        <v>0</v>
      </c>
      <c r="W736" s="19" t="n">
        <f aca="false">S736/(U736+0.0001)</f>
        <v>0</v>
      </c>
      <c r="X736" s="47" t="e">
        <f aca="false">IF(Informed=1,K736,0)</f>
        <v>#N/A</v>
      </c>
      <c r="Y736" s="47" t="n">
        <f aca="false">IF(Informed=0,K736,0)</f>
        <v>0</v>
      </c>
      <c r="Z736" s="47" t="e">
        <f aca="false">IF(Informed=1,N736,0)</f>
        <v>#N/A</v>
      </c>
      <c r="AA736" s="47" t="n">
        <f aca="false">IF(Informed=0,N736,0)</f>
        <v>0</v>
      </c>
      <c r="AB736" s="51" t="e">
        <f aca="false">IF(Arterial=0,IF(Informed=1,1,0),0)</f>
        <v>#N/A</v>
      </c>
      <c r="AC736" s="51" t="e">
        <f aca="false">IF(Arterial=0,IF(Informed=0,1,0),0)</f>
        <v>#N/A</v>
      </c>
      <c r="AD736" s="51" t="e">
        <f aca="false">IF(Arterial=1,IF(Informed=1,1,0),0)</f>
        <v>#N/A</v>
      </c>
      <c r="AE736" s="51" t="e">
        <f aca="false">IF(Arterial=1,IF(Informed=0,1,0),0)</f>
        <v>#N/A</v>
      </c>
      <c r="AF736" s="44" t="e">
        <f aca="false">IF(AB736=1,(X736-G$1030)^2,0)</f>
        <v>#N/A</v>
      </c>
      <c r="AG736" s="44" t="e">
        <f aca="false">IF(AC736=1,(Y736-H$1030)^2,0)</f>
        <v>#N/A</v>
      </c>
      <c r="AH736" s="44" t="e">
        <f aca="false">IF(AD736=1,(Z736-I$1030)^2,0)</f>
        <v>#N/A</v>
      </c>
      <c r="AI736" s="44" t="e">
        <f aca="false">IF(AE736=1,(AA736-J$1030)^2,0)</f>
        <v>#N/A</v>
      </c>
    </row>
    <row r="737" customFormat="false" ht="12" hidden="false" customHeight="false" outlineLevel="0" collapsed="false">
      <c r="A737" s="29" t="n">
        <v>720</v>
      </c>
      <c r="B737" s="45" t="n">
        <f aca="true">IF(RAND()&lt;$D$8,1,0)</f>
        <v>1</v>
      </c>
      <c r="C737" s="34" t="n">
        <f aca="true">-LN(RAND())/$D$2</f>
        <v>0.795617428956728</v>
      </c>
      <c r="D737" s="46" t="n">
        <f aca="false">D736+C737</f>
        <v>1117.26558893768</v>
      </c>
      <c r="E737" s="47" t="e">
        <f aca="false">MAX($D$3,(1+P736-VLOOKUP(VALUE(D737),$J$18:$Q736,7,TRUE()))*$D$3)</f>
        <v>#N/A</v>
      </c>
      <c r="F737" s="47" t="e">
        <f aca="false">MAX($D$4,(1+Q736-VLOOKUP(VALUE(D737),$M$18:$Q736,5,TRUE()))*$D$4)</f>
        <v>#N/A</v>
      </c>
      <c r="G737" s="48" t="n">
        <v>0.5</v>
      </c>
      <c r="H737" s="46" t="e">
        <f aca="true">IF((B737=1),(IF((F737&lt;E737),1,(IF((F737=E737),(IF(RAND()&lt;G737,1,0)),0)))),(IF((RAND()&lt;G737),1,0)))</f>
        <v>#N/A</v>
      </c>
      <c r="I737" s="46" t="e">
        <f aca="true">IF((H737=1),0,$D$3+$D$5*(RAND()-0.5))</f>
        <v>#N/A</v>
      </c>
      <c r="J737" s="46" t="e">
        <f aca="false">I737+MAX(D737,J736)</f>
        <v>#N/A</v>
      </c>
      <c r="K737" s="46" t="e">
        <f aca="false">IF((H737=0),J737-D737,0)</f>
        <v>#N/A</v>
      </c>
      <c r="L737" s="46" t="e">
        <f aca="true">IF(($H737=0),0,$D$4+$D$5*(RAND()-0.5))</f>
        <v>#N/A</v>
      </c>
      <c r="M737" s="46" t="e">
        <f aca="false">L737+MAX(D737,M736)</f>
        <v>#N/A</v>
      </c>
      <c r="N737" s="46" t="e">
        <f aca="false">IF((H737=1),M737-D737,0)</f>
        <v>#N/A</v>
      </c>
      <c r="O737" s="29" t="n">
        <v>720</v>
      </c>
      <c r="P737" s="49" t="e">
        <f aca="false">IF((Arterial=0),P736+1,P736)</f>
        <v>#N/A</v>
      </c>
      <c r="Q737" s="49" t="e">
        <f aca="false">IF((Arterial=1),Q736+1,Q736)</f>
        <v>#N/A</v>
      </c>
      <c r="R737" s="50" t="n">
        <f aca="false">IF((RESET=1),0,R737+K737)</f>
        <v>0</v>
      </c>
      <c r="S737" s="19" t="n">
        <f aca="false">IF(RESET=1,0,S737+N737)</f>
        <v>0</v>
      </c>
      <c r="T737" s="0" t="n">
        <f aca="false">IF(RESET=1,0,T737+IF(H737=0,1,0))</f>
        <v>0</v>
      </c>
      <c r="U737" s="0" t="n">
        <f aca="false">IF(RESET=1,0,U737+H737)</f>
        <v>0</v>
      </c>
      <c r="V737" s="19" t="n">
        <f aca="false">R737/(T737+0.00001)</f>
        <v>0</v>
      </c>
      <c r="W737" s="19" t="n">
        <f aca="false">S737/(U737+0.0001)</f>
        <v>0</v>
      </c>
      <c r="X737" s="47" t="e">
        <f aca="false">IF(Informed=1,K737,0)</f>
        <v>#N/A</v>
      </c>
      <c r="Y737" s="47" t="n">
        <f aca="false">IF(Informed=0,K737,0)</f>
        <v>0</v>
      </c>
      <c r="Z737" s="47" t="e">
        <f aca="false">IF(Informed=1,N737,0)</f>
        <v>#N/A</v>
      </c>
      <c r="AA737" s="47" t="n">
        <f aca="false">IF(Informed=0,N737,0)</f>
        <v>0</v>
      </c>
      <c r="AB737" s="51" t="e">
        <f aca="false">IF(Arterial=0,IF(Informed=1,1,0),0)</f>
        <v>#N/A</v>
      </c>
      <c r="AC737" s="51" t="e">
        <f aca="false">IF(Arterial=0,IF(Informed=0,1,0),0)</f>
        <v>#N/A</v>
      </c>
      <c r="AD737" s="51" t="e">
        <f aca="false">IF(Arterial=1,IF(Informed=1,1,0),0)</f>
        <v>#N/A</v>
      </c>
      <c r="AE737" s="51" t="e">
        <f aca="false">IF(Arterial=1,IF(Informed=0,1,0),0)</f>
        <v>#N/A</v>
      </c>
      <c r="AF737" s="44" t="e">
        <f aca="false">IF(AB737=1,(X737-G$1030)^2,0)</f>
        <v>#N/A</v>
      </c>
      <c r="AG737" s="44" t="e">
        <f aca="false">IF(AC737=1,(Y737-H$1030)^2,0)</f>
        <v>#N/A</v>
      </c>
      <c r="AH737" s="44" t="e">
        <f aca="false">IF(AD737=1,(Z737-I$1030)^2,0)</f>
        <v>#N/A</v>
      </c>
      <c r="AI737" s="44" t="e">
        <f aca="false">IF(AE737=1,(AA737-J$1030)^2,0)</f>
        <v>#N/A</v>
      </c>
    </row>
    <row r="738" customFormat="false" ht="12" hidden="false" customHeight="false" outlineLevel="0" collapsed="false">
      <c r="A738" s="29" t="n">
        <v>721</v>
      </c>
      <c r="B738" s="45" t="n">
        <f aca="true">IF(RAND()&lt;$D$8,1,0)</f>
        <v>1</v>
      </c>
      <c r="C738" s="34" t="n">
        <f aca="true">-LN(RAND())/$D$2</f>
        <v>0.885672370560454</v>
      </c>
      <c r="D738" s="46" t="n">
        <f aca="false">D737+C738</f>
        <v>1118.15126130824</v>
      </c>
      <c r="E738" s="47" t="e">
        <f aca="false">MAX($D$3,(1+P737-VLOOKUP(VALUE(D738),$J$18:$Q737,7,TRUE()))*$D$3)</f>
        <v>#N/A</v>
      </c>
      <c r="F738" s="47" t="e">
        <f aca="false">MAX($D$4,(1+Q737-VLOOKUP(VALUE(D738),$M$18:$Q737,5,TRUE()))*$D$4)</f>
        <v>#N/A</v>
      </c>
      <c r="G738" s="48" t="n">
        <v>0.5</v>
      </c>
      <c r="H738" s="46" t="e">
        <f aca="true">IF((B738=1),(IF((F738&lt;E738),1,(IF((F738=E738),(IF(RAND()&lt;G738,1,0)),0)))),(IF((RAND()&lt;G738),1,0)))</f>
        <v>#N/A</v>
      </c>
      <c r="I738" s="46" t="e">
        <f aca="true">IF((H738=1),0,$D$3+$D$5*(RAND()-0.5))</f>
        <v>#N/A</v>
      </c>
      <c r="J738" s="46" t="e">
        <f aca="false">I738+MAX(D738,J737)</f>
        <v>#N/A</v>
      </c>
      <c r="K738" s="46" t="e">
        <f aca="false">IF((H738=0),J738-D738,0)</f>
        <v>#N/A</v>
      </c>
      <c r="L738" s="46" t="e">
        <f aca="true">IF(($H738=0),0,$D$4+$D$5*(RAND()-0.5))</f>
        <v>#N/A</v>
      </c>
      <c r="M738" s="46" t="e">
        <f aca="false">L738+MAX(D738,M737)</f>
        <v>#N/A</v>
      </c>
      <c r="N738" s="46" t="e">
        <f aca="false">IF((H738=1),M738-D738,0)</f>
        <v>#N/A</v>
      </c>
      <c r="O738" s="29" t="n">
        <v>721</v>
      </c>
      <c r="P738" s="49" t="e">
        <f aca="false">IF((Arterial=0),P737+1,P737)</f>
        <v>#N/A</v>
      </c>
      <c r="Q738" s="49" t="e">
        <f aca="false">IF((Arterial=1),Q737+1,Q737)</f>
        <v>#N/A</v>
      </c>
      <c r="R738" s="50" t="n">
        <f aca="false">IF((RESET=1),0,R738+K738)</f>
        <v>0</v>
      </c>
      <c r="S738" s="19" t="n">
        <f aca="false">IF(RESET=1,0,S738+N738)</f>
        <v>0</v>
      </c>
      <c r="T738" s="0" t="n">
        <f aca="false">IF(RESET=1,0,T738+IF(H738=0,1,0))</f>
        <v>0</v>
      </c>
      <c r="U738" s="0" t="n">
        <f aca="false">IF(RESET=1,0,U738+H738)</f>
        <v>0</v>
      </c>
      <c r="V738" s="19" t="n">
        <f aca="false">R738/(T738+0.00001)</f>
        <v>0</v>
      </c>
      <c r="W738" s="19" t="n">
        <f aca="false">S738/(U738+0.0001)</f>
        <v>0</v>
      </c>
      <c r="X738" s="47" t="e">
        <f aca="false">IF(Informed=1,K738,0)</f>
        <v>#N/A</v>
      </c>
      <c r="Y738" s="47" t="n">
        <f aca="false">IF(Informed=0,K738,0)</f>
        <v>0</v>
      </c>
      <c r="Z738" s="47" t="e">
        <f aca="false">IF(Informed=1,N738,0)</f>
        <v>#N/A</v>
      </c>
      <c r="AA738" s="47" t="n">
        <f aca="false">IF(Informed=0,N738,0)</f>
        <v>0</v>
      </c>
      <c r="AB738" s="51" t="e">
        <f aca="false">IF(Arterial=0,IF(Informed=1,1,0),0)</f>
        <v>#N/A</v>
      </c>
      <c r="AC738" s="51" t="e">
        <f aca="false">IF(Arterial=0,IF(Informed=0,1,0),0)</f>
        <v>#N/A</v>
      </c>
      <c r="AD738" s="51" t="e">
        <f aca="false">IF(Arterial=1,IF(Informed=1,1,0),0)</f>
        <v>#N/A</v>
      </c>
      <c r="AE738" s="51" t="e">
        <f aca="false">IF(Arterial=1,IF(Informed=0,1,0),0)</f>
        <v>#N/A</v>
      </c>
      <c r="AF738" s="44" t="e">
        <f aca="false">IF(AB738=1,(X738-G$1030)^2,0)</f>
        <v>#N/A</v>
      </c>
      <c r="AG738" s="44" t="e">
        <f aca="false">IF(AC738=1,(Y738-H$1030)^2,0)</f>
        <v>#N/A</v>
      </c>
      <c r="AH738" s="44" t="e">
        <f aca="false">IF(AD738=1,(Z738-I$1030)^2,0)</f>
        <v>#N/A</v>
      </c>
      <c r="AI738" s="44" t="e">
        <f aca="false">IF(AE738=1,(AA738-J$1030)^2,0)</f>
        <v>#N/A</v>
      </c>
    </row>
    <row r="739" customFormat="false" ht="12" hidden="false" customHeight="false" outlineLevel="0" collapsed="false">
      <c r="A739" s="29" t="n">
        <v>722</v>
      </c>
      <c r="B739" s="45" t="n">
        <f aca="true">IF(RAND()&lt;$D$8,1,0)</f>
        <v>1</v>
      </c>
      <c r="C739" s="34" t="n">
        <f aca="true">-LN(RAND())/$D$2</f>
        <v>1.44124049335005</v>
      </c>
      <c r="D739" s="46" t="n">
        <f aca="false">D738+C739</f>
        <v>1119.59250180159</v>
      </c>
      <c r="E739" s="47" t="e">
        <f aca="false">MAX($D$3,(1+P738-VLOOKUP(VALUE(D739),$J$18:$Q738,7,TRUE()))*$D$3)</f>
        <v>#N/A</v>
      </c>
      <c r="F739" s="47" t="e">
        <f aca="false">MAX($D$4,(1+Q738-VLOOKUP(VALUE(D739),$M$18:$Q738,5,TRUE()))*$D$4)</f>
        <v>#N/A</v>
      </c>
      <c r="G739" s="48" t="n">
        <v>0.5</v>
      </c>
      <c r="H739" s="46" t="e">
        <f aca="true">IF((B739=1),(IF((F739&lt;E739),1,(IF((F739=E739),(IF(RAND()&lt;G739,1,0)),0)))),(IF((RAND()&lt;G739),1,0)))</f>
        <v>#N/A</v>
      </c>
      <c r="I739" s="46" t="e">
        <f aca="true">IF((H739=1),0,$D$3+$D$5*(RAND()-0.5))</f>
        <v>#N/A</v>
      </c>
      <c r="J739" s="46" t="e">
        <f aca="false">I739+MAX(D739,J738)</f>
        <v>#N/A</v>
      </c>
      <c r="K739" s="46" t="e">
        <f aca="false">IF((H739=0),J739-D739,0)</f>
        <v>#N/A</v>
      </c>
      <c r="L739" s="46" t="e">
        <f aca="true">IF(($H739=0),0,$D$4+$D$5*(RAND()-0.5))</f>
        <v>#N/A</v>
      </c>
      <c r="M739" s="46" t="e">
        <f aca="false">L739+MAX(D739,M738)</f>
        <v>#N/A</v>
      </c>
      <c r="N739" s="46" t="e">
        <f aca="false">IF((H739=1),M739-D739,0)</f>
        <v>#N/A</v>
      </c>
      <c r="O739" s="29" t="n">
        <v>722</v>
      </c>
      <c r="P739" s="49" t="e">
        <f aca="false">IF((Arterial=0),P738+1,P738)</f>
        <v>#N/A</v>
      </c>
      <c r="Q739" s="49" t="e">
        <f aca="false">IF((Arterial=1),Q738+1,Q738)</f>
        <v>#N/A</v>
      </c>
      <c r="R739" s="50" t="n">
        <f aca="false">IF((RESET=1),0,R739+K739)</f>
        <v>0</v>
      </c>
      <c r="S739" s="19" t="n">
        <f aca="false">IF(RESET=1,0,S739+N739)</f>
        <v>0</v>
      </c>
      <c r="T739" s="0" t="n">
        <f aca="false">IF(RESET=1,0,T739+IF(H739=0,1,0))</f>
        <v>0</v>
      </c>
      <c r="U739" s="0" t="n">
        <f aca="false">IF(RESET=1,0,U739+H739)</f>
        <v>0</v>
      </c>
      <c r="V739" s="19" t="n">
        <f aca="false">R739/(T739+0.00001)</f>
        <v>0</v>
      </c>
      <c r="W739" s="19" t="n">
        <f aca="false">S739/(U739+0.0001)</f>
        <v>0</v>
      </c>
      <c r="X739" s="47" t="e">
        <f aca="false">IF(Informed=1,K739,0)</f>
        <v>#N/A</v>
      </c>
      <c r="Y739" s="47" t="n">
        <f aca="false">IF(Informed=0,K739,0)</f>
        <v>0</v>
      </c>
      <c r="Z739" s="47" t="e">
        <f aca="false">IF(Informed=1,N739,0)</f>
        <v>#N/A</v>
      </c>
      <c r="AA739" s="47" t="n">
        <f aca="false">IF(Informed=0,N739,0)</f>
        <v>0</v>
      </c>
      <c r="AB739" s="51" t="e">
        <f aca="false">IF(Arterial=0,IF(Informed=1,1,0),0)</f>
        <v>#N/A</v>
      </c>
      <c r="AC739" s="51" t="e">
        <f aca="false">IF(Arterial=0,IF(Informed=0,1,0),0)</f>
        <v>#N/A</v>
      </c>
      <c r="AD739" s="51" t="e">
        <f aca="false">IF(Arterial=1,IF(Informed=1,1,0),0)</f>
        <v>#N/A</v>
      </c>
      <c r="AE739" s="51" t="e">
        <f aca="false">IF(Arterial=1,IF(Informed=0,1,0),0)</f>
        <v>#N/A</v>
      </c>
      <c r="AF739" s="44" t="e">
        <f aca="false">IF(AB739=1,(X739-G$1030)^2,0)</f>
        <v>#N/A</v>
      </c>
      <c r="AG739" s="44" t="e">
        <f aca="false">IF(AC739=1,(Y739-H$1030)^2,0)</f>
        <v>#N/A</v>
      </c>
      <c r="AH739" s="44" t="e">
        <f aca="false">IF(AD739=1,(Z739-I$1030)^2,0)</f>
        <v>#N/A</v>
      </c>
      <c r="AI739" s="44" t="e">
        <f aca="false">IF(AE739=1,(AA739-J$1030)^2,0)</f>
        <v>#N/A</v>
      </c>
    </row>
    <row r="740" customFormat="false" ht="12" hidden="false" customHeight="false" outlineLevel="0" collapsed="false">
      <c r="A740" s="29" t="n">
        <v>723</v>
      </c>
      <c r="B740" s="45" t="n">
        <f aca="true">IF(RAND()&lt;$D$8,1,0)</f>
        <v>1</v>
      </c>
      <c r="C740" s="34" t="n">
        <f aca="true">-LN(RAND())/$D$2</f>
        <v>2.55509534633414</v>
      </c>
      <c r="D740" s="46" t="n">
        <f aca="false">D739+C740</f>
        <v>1122.14759714792</v>
      </c>
      <c r="E740" s="47" t="e">
        <f aca="false">MAX($D$3,(1+P739-VLOOKUP(VALUE(D740),$J$18:$Q739,7,TRUE()))*$D$3)</f>
        <v>#N/A</v>
      </c>
      <c r="F740" s="47" t="e">
        <f aca="false">MAX($D$4,(1+Q739-VLOOKUP(VALUE(D740),$M$18:$Q739,5,TRUE()))*$D$4)</f>
        <v>#N/A</v>
      </c>
      <c r="G740" s="48" t="n">
        <v>0.5</v>
      </c>
      <c r="H740" s="46" t="e">
        <f aca="true">IF((B740=1),(IF((F740&lt;E740),1,(IF((F740=E740),(IF(RAND()&lt;G740,1,0)),0)))),(IF((RAND()&lt;G740),1,0)))</f>
        <v>#N/A</v>
      </c>
      <c r="I740" s="46" t="e">
        <f aca="true">IF((H740=1),0,$D$3+$D$5*(RAND()-0.5))</f>
        <v>#N/A</v>
      </c>
      <c r="J740" s="46" t="e">
        <f aca="false">I740+MAX(D740,J739)</f>
        <v>#N/A</v>
      </c>
      <c r="K740" s="46" t="e">
        <f aca="false">IF((H740=0),J740-D740,0)</f>
        <v>#N/A</v>
      </c>
      <c r="L740" s="46" t="e">
        <f aca="true">IF(($H740=0),0,$D$4+$D$5*(RAND()-0.5))</f>
        <v>#N/A</v>
      </c>
      <c r="M740" s="46" t="e">
        <f aca="false">L740+MAX(D740,M739)</f>
        <v>#N/A</v>
      </c>
      <c r="N740" s="46" t="e">
        <f aca="false">IF((H740=1),M740-D740,0)</f>
        <v>#N/A</v>
      </c>
      <c r="O740" s="29" t="n">
        <v>723</v>
      </c>
      <c r="P740" s="49" t="e">
        <f aca="false">IF((Arterial=0),P739+1,P739)</f>
        <v>#N/A</v>
      </c>
      <c r="Q740" s="49" t="e">
        <f aca="false">IF((Arterial=1),Q739+1,Q739)</f>
        <v>#N/A</v>
      </c>
      <c r="R740" s="50" t="n">
        <f aca="false">IF((RESET=1),0,R740+K740)</f>
        <v>0</v>
      </c>
      <c r="S740" s="19" t="n">
        <f aca="false">IF(RESET=1,0,S740+N740)</f>
        <v>0</v>
      </c>
      <c r="T740" s="0" t="n">
        <f aca="false">IF(RESET=1,0,T740+IF(H740=0,1,0))</f>
        <v>0</v>
      </c>
      <c r="U740" s="0" t="n">
        <f aca="false">IF(RESET=1,0,U740+H740)</f>
        <v>0</v>
      </c>
      <c r="V740" s="19" t="n">
        <f aca="false">R740/(T740+0.00001)</f>
        <v>0</v>
      </c>
      <c r="W740" s="19" t="n">
        <f aca="false">S740/(U740+0.0001)</f>
        <v>0</v>
      </c>
      <c r="X740" s="47" t="e">
        <f aca="false">IF(Informed=1,K740,0)</f>
        <v>#N/A</v>
      </c>
      <c r="Y740" s="47" t="n">
        <f aca="false">IF(Informed=0,K740,0)</f>
        <v>0</v>
      </c>
      <c r="Z740" s="47" t="e">
        <f aca="false">IF(Informed=1,N740,0)</f>
        <v>#N/A</v>
      </c>
      <c r="AA740" s="47" t="n">
        <f aca="false">IF(Informed=0,N740,0)</f>
        <v>0</v>
      </c>
      <c r="AB740" s="51" t="e">
        <f aca="false">IF(Arterial=0,IF(Informed=1,1,0),0)</f>
        <v>#N/A</v>
      </c>
      <c r="AC740" s="51" t="e">
        <f aca="false">IF(Arterial=0,IF(Informed=0,1,0),0)</f>
        <v>#N/A</v>
      </c>
      <c r="AD740" s="51" t="e">
        <f aca="false">IF(Arterial=1,IF(Informed=1,1,0),0)</f>
        <v>#N/A</v>
      </c>
      <c r="AE740" s="51" t="e">
        <f aca="false">IF(Arterial=1,IF(Informed=0,1,0),0)</f>
        <v>#N/A</v>
      </c>
      <c r="AF740" s="44" t="e">
        <f aca="false">IF(AB740=1,(X740-G$1030)^2,0)</f>
        <v>#N/A</v>
      </c>
      <c r="AG740" s="44" t="e">
        <f aca="false">IF(AC740=1,(Y740-H$1030)^2,0)</f>
        <v>#N/A</v>
      </c>
      <c r="AH740" s="44" t="e">
        <f aca="false">IF(AD740=1,(Z740-I$1030)^2,0)</f>
        <v>#N/A</v>
      </c>
      <c r="AI740" s="44" t="e">
        <f aca="false">IF(AE740=1,(AA740-J$1030)^2,0)</f>
        <v>#N/A</v>
      </c>
    </row>
    <row r="741" customFormat="false" ht="12" hidden="false" customHeight="false" outlineLevel="0" collapsed="false">
      <c r="A741" s="29" t="n">
        <v>724</v>
      </c>
      <c r="B741" s="45" t="n">
        <f aca="true">IF(RAND()&lt;$D$8,1,0)</f>
        <v>1</v>
      </c>
      <c r="C741" s="34" t="n">
        <f aca="true">-LN(RAND())/$D$2</f>
        <v>2.38421401245917</v>
      </c>
      <c r="D741" s="46" t="n">
        <f aca="false">D740+C741</f>
        <v>1124.53181116038</v>
      </c>
      <c r="E741" s="47" t="e">
        <f aca="false">MAX($D$3,(1+P740-VLOOKUP(VALUE(D741),$J$18:$Q740,7,TRUE()))*$D$3)</f>
        <v>#N/A</v>
      </c>
      <c r="F741" s="47" t="e">
        <f aca="false">MAX($D$4,(1+Q740-VLOOKUP(VALUE(D741),$M$18:$Q740,5,TRUE()))*$D$4)</f>
        <v>#N/A</v>
      </c>
      <c r="G741" s="48" t="n">
        <v>0.5</v>
      </c>
      <c r="H741" s="46" t="e">
        <f aca="true">IF((B741=1),(IF((F741&lt;E741),1,(IF((F741=E741),(IF(RAND()&lt;G741,1,0)),0)))),(IF((RAND()&lt;G741),1,0)))</f>
        <v>#N/A</v>
      </c>
      <c r="I741" s="46" t="e">
        <f aca="true">IF((H741=1),0,$D$3+$D$5*(RAND()-0.5))</f>
        <v>#N/A</v>
      </c>
      <c r="J741" s="46" t="e">
        <f aca="false">I741+MAX(D741,J740)</f>
        <v>#N/A</v>
      </c>
      <c r="K741" s="46" t="e">
        <f aca="false">IF((H741=0),J741-D741,0)</f>
        <v>#N/A</v>
      </c>
      <c r="L741" s="46" t="e">
        <f aca="true">IF(($H741=0),0,$D$4+$D$5*(RAND()-0.5))</f>
        <v>#N/A</v>
      </c>
      <c r="M741" s="46" t="e">
        <f aca="false">L741+MAX(D741,M740)</f>
        <v>#N/A</v>
      </c>
      <c r="N741" s="46" t="e">
        <f aca="false">IF((H741=1),M741-D741,0)</f>
        <v>#N/A</v>
      </c>
      <c r="O741" s="29" t="n">
        <v>724</v>
      </c>
      <c r="P741" s="49" t="e">
        <f aca="false">IF((Arterial=0),P740+1,P740)</f>
        <v>#N/A</v>
      </c>
      <c r="Q741" s="49" t="e">
        <f aca="false">IF((Arterial=1),Q740+1,Q740)</f>
        <v>#N/A</v>
      </c>
      <c r="R741" s="50" t="n">
        <f aca="false">IF((RESET=1),0,R741+K741)</f>
        <v>0</v>
      </c>
      <c r="S741" s="19" t="n">
        <f aca="false">IF(RESET=1,0,S741+N741)</f>
        <v>0</v>
      </c>
      <c r="T741" s="0" t="n">
        <f aca="false">IF(RESET=1,0,T741+IF(H741=0,1,0))</f>
        <v>0</v>
      </c>
      <c r="U741" s="0" t="n">
        <f aca="false">IF(RESET=1,0,U741+H741)</f>
        <v>0</v>
      </c>
      <c r="V741" s="19" t="n">
        <f aca="false">R741/(T741+0.00001)</f>
        <v>0</v>
      </c>
      <c r="W741" s="19" t="n">
        <f aca="false">S741/(U741+0.0001)</f>
        <v>0</v>
      </c>
      <c r="X741" s="47" t="e">
        <f aca="false">IF(Informed=1,K741,0)</f>
        <v>#N/A</v>
      </c>
      <c r="Y741" s="47" t="n">
        <f aca="false">IF(Informed=0,K741,0)</f>
        <v>0</v>
      </c>
      <c r="Z741" s="47" t="e">
        <f aca="false">IF(Informed=1,N741,0)</f>
        <v>#N/A</v>
      </c>
      <c r="AA741" s="47" t="n">
        <f aca="false">IF(Informed=0,N741,0)</f>
        <v>0</v>
      </c>
      <c r="AB741" s="51" t="e">
        <f aca="false">IF(Arterial=0,IF(Informed=1,1,0),0)</f>
        <v>#N/A</v>
      </c>
      <c r="AC741" s="51" t="e">
        <f aca="false">IF(Arterial=0,IF(Informed=0,1,0),0)</f>
        <v>#N/A</v>
      </c>
      <c r="AD741" s="51" t="e">
        <f aca="false">IF(Arterial=1,IF(Informed=1,1,0),0)</f>
        <v>#N/A</v>
      </c>
      <c r="AE741" s="51" t="e">
        <f aca="false">IF(Arterial=1,IF(Informed=0,1,0),0)</f>
        <v>#N/A</v>
      </c>
      <c r="AF741" s="44" t="e">
        <f aca="false">IF(AB741=1,(X741-G$1030)^2,0)</f>
        <v>#N/A</v>
      </c>
      <c r="AG741" s="44" t="e">
        <f aca="false">IF(AC741=1,(Y741-H$1030)^2,0)</f>
        <v>#N/A</v>
      </c>
      <c r="AH741" s="44" t="e">
        <f aca="false">IF(AD741=1,(Z741-I$1030)^2,0)</f>
        <v>#N/A</v>
      </c>
      <c r="AI741" s="44" t="e">
        <f aca="false">IF(AE741=1,(AA741-J$1030)^2,0)</f>
        <v>#N/A</v>
      </c>
    </row>
    <row r="742" customFormat="false" ht="12" hidden="false" customHeight="false" outlineLevel="0" collapsed="false">
      <c r="A742" s="29" t="n">
        <v>725</v>
      </c>
      <c r="B742" s="45" t="n">
        <f aca="true">IF(RAND()&lt;$D$8,1,0)</f>
        <v>1</v>
      </c>
      <c r="C742" s="34" t="n">
        <f aca="true">-LN(RAND())/$D$2</f>
        <v>0.986117944403961</v>
      </c>
      <c r="D742" s="46" t="n">
        <f aca="false">D741+C742</f>
        <v>1125.51792910479</v>
      </c>
      <c r="E742" s="47" t="e">
        <f aca="false">MAX($D$3,(1+P741-VLOOKUP(VALUE(D742),$J$18:$Q741,7,TRUE()))*$D$3)</f>
        <v>#N/A</v>
      </c>
      <c r="F742" s="47" t="e">
        <f aca="false">MAX($D$4,(1+Q741-VLOOKUP(VALUE(D742),$M$18:$Q741,5,TRUE()))*$D$4)</f>
        <v>#N/A</v>
      </c>
      <c r="G742" s="48" t="n">
        <v>0.5</v>
      </c>
      <c r="H742" s="46" t="e">
        <f aca="true">IF((B742=1),(IF((F742&lt;E742),1,(IF((F742=E742),(IF(RAND()&lt;G742,1,0)),0)))),(IF((RAND()&lt;G742),1,0)))</f>
        <v>#N/A</v>
      </c>
      <c r="I742" s="46" t="e">
        <f aca="true">IF((H742=1),0,$D$3+$D$5*(RAND()-0.5))</f>
        <v>#N/A</v>
      </c>
      <c r="J742" s="46" t="e">
        <f aca="false">I742+MAX(D742,J741)</f>
        <v>#N/A</v>
      </c>
      <c r="K742" s="46" t="e">
        <f aca="false">IF((H742=0),J742-D742,0)</f>
        <v>#N/A</v>
      </c>
      <c r="L742" s="46" t="e">
        <f aca="true">IF(($H742=0),0,$D$4+$D$5*(RAND()-0.5))</f>
        <v>#N/A</v>
      </c>
      <c r="M742" s="46" t="e">
        <f aca="false">L742+MAX(D742,M741)</f>
        <v>#N/A</v>
      </c>
      <c r="N742" s="46" t="e">
        <f aca="false">IF((H742=1),M742-D742,0)</f>
        <v>#N/A</v>
      </c>
      <c r="O742" s="29" t="n">
        <v>725</v>
      </c>
      <c r="P742" s="49" t="e">
        <f aca="false">IF((Arterial=0),P741+1,P741)</f>
        <v>#N/A</v>
      </c>
      <c r="Q742" s="49" t="e">
        <f aca="false">IF((Arterial=1),Q741+1,Q741)</f>
        <v>#N/A</v>
      </c>
      <c r="R742" s="50" t="n">
        <f aca="false">IF((RESET=1),0,R742+K742)</f>
        <v>0</v>
      </c>
      <c r="S742" s="19" t="n">
        <f aca="false">IF(RESET=1,0,S742+N742)</f>
        <v>0</v>
      </c>
      <c r="T742" s="0" t="n">
        <f aca="false">IF(RESET=1,0,T742+IF(H742=0,1,0))</f>
        <v>0</v>
      </c>
      <c r="U742" s="0" t="n">
        <f aca="false">IF(RESET=1,0,U742+H742)</f>
        <v>0</v>
      </c>
      <c r="V742" s="19" t="n">
        <f aca="false">R742/(T742+0.00001)</f>
        <v>0</v>
      </c>
      <c r="W742" s="19" t="n">
        <f aca="false">S742/(U742+0.0001)</f>
        <v>0</v>
      </c>
      <c r="X742" s="47" t="e">
        <f aca="false">IF(Informed=1,K742,0)</f>
        <v>#N/A</v>
      </c>
      <c r="Y742" s="47" t="n">
        <f aca="false">IF(Informed=0,K742,0)</f>
        <v>0</v>
      </c>
      <c r="Z742" s="47" t="e">
        <f aca="false">IF(Informed=1,N742,0)</f>
        <v>#N/A</v>
      </c>
      <c r="AA742" s="47" t="n">
        <f aca="false">IF(Informed=0,N742,0)</f>
        <v>0</v>
      </c>
      <c r="AB742" s="51" t="e">
        <f aca="false">IF(Arterial=0,IF(Informed=1,1,0),0)</f>
        <v>#N/A</v>
      </c>
      <c r="AC742" s="51" t="e">
        <f aca="false">IF(Arterial=0,IF(Informed=0,1,0),0)</f>
        <v>#N/A</v>
      </c>
      <c r="AD742" s="51" t="e">
        <f aca="false">IF(Arterial=1,IF(Informed=1,1,0),0)</f>
        <v>#N/A</v>
      </c>
      <c r="AE742" s="51" t="e">
        <f aca="false">IF(Arterial=1,IF(Informed=0,1,0),0)</f>
        <v>#N/A</v>
      </c>
      <c r="AF742" s="44" t="e">
        <f aca="false">IF(AB742=1,(X742-G$1030)^2,0)</f>
        <v>#N/A</v>
      </c>
      <c r="AG742" s="44" t="e">
        <f aca="false">IF(AC742=1,(Y742-H$1030)^2,0)</f>
        <v>#N/A</v>
      </c>
      <c r="AH742" s="44" t="e">
        <f aca="false">IF(AD742=1,(Z742-I$1030)^2,0)</f>
        <v>#N/A</v>
      </c>
      <c r="AI742" s="44" t="e">
        <f aca="false">IF(AE742=1,(AA742-J$1030)^2,0)</f>
        <v>#N/A</v>
      </c>
    </row>
    <row r="743" customFormat="false" ht="12" hidden="false" customHeight="false" outlineLevel="0" collapsed="false">
      <c r="A743" s="29" t="n">
        <v>726</v>
      </c>
      <c r="B743" s="45" t="n">
        <f aca="true">IF(RAND()&lt;$D$8,1,0)</f>
        <v>1</v>
      </c>
      <c r="C743" s="34" t="n">
        <f aca="true">-LN(RAND())/$D$2</f>
        <v>1.22904838256569</v>
      </c>
      <c r="D743" s="46" t="n">
        <f aca="false">D742+C743</f>
        <v>1126.74697748735</v>
      </c>
      <c r="E743" s="47" t="e">
        <f aca="false">MAX($D$3,(1+P742-VLOOKUP(VALUE(D743),$J$18:$Q742,7,TRUE()))*$D$3)</f>
        <v>#N/A</v>
      </c>
      <c r="F743" s="47" t="e">
        <f aca="false">MAX($D$4,(1+Q742-VLOOKUP(VALUE(D743),$M$18:$Q742,5,TRUE()))*$D$4)</f>
        <v>#N/A</v>
      </c>
      <c r="G743" s="48" t="n">
        <v>0.5</v>
      </c>
      <c r="H743" s="46" t="e">
        <f aca="true">IF((B743=1),(IF((F743&lt;E743),1,(IF((F743=E743),(IF(RAND()&lt;G743,1,0)),0)))),(IF((RAND()&lt;G743),1,0)))</f>
        <v>#N/A</v>
      </c>
      <c r="I743" s="46" t="e">
        <f aca="true">IF((H743=1),0,$D$3+$D$5*(RAND()-0.5))</f>
        <v>#N/A</v>
      </c>
      <c r="J743" s="46" t="e">
        <f aca="false">I743+MAX(D743,J742)</f>
        <v>#N/A</v>
      </c>
      <c r="K743" s="46" t="e">
        <f aca="false">IF((H743=0),J743-D743,0)</f>
        <v>#N/A</v>
      </c>
      <c r="L743" s="46" t="e">
        <f aca="true">IF(($H743=0),0,$D$4+$D$5*(RAND()-0.5))</f>
        <v>#N/A</v>
      </c>
      <c r="M743" s="46" t="e">
        <f aca="false">L743+MAX(D743,M742)</f>
        <v>#N/A</v>
      </c>
      <c r="N743" s="46" t="e">
        <f aca="false">IF((H743=1),M743-D743,0)</f>
        <v>#N/A</v>
      </c>
      <c r="O743" s="29" t="n">
        <v>726</v>
      </c>
      <c r="P743" s="49" t="e">
        <f aca="false">IF((Arterial=0),P742+1,P742)</f>
        <v>#N/A</v>
      </c>
      <c r="Q743" s="49" t="e">
        <f aca="false">IF((Arterial=1),Q742+1,Q742)</f>
        <v>#N/A</v>
      </c>
      <c r="R743" s="50" t="n">
        <f aca="false">IF((RESET=1),0,R743+K743)</f>
        <v>0</v>
      </c>
      <c r="S743" s="19" t="n">
        <f aca="false">IF(RESET=1,0,S743+N743)</f>
        <v>0</v>
      </c>
      <c r="T743" s="0" t="n">
        <f aca="false">IF(RESET=1,0,T743+IF(H743=0,1,0))</f>
        <v>0</v>
      </c>
      <c r="U743" s="0" t="n">
        <f aca="false">IF(RESET=1,0,U743+H743)</f>
        <v>0</v>
      </c>
      <c r="V743" s="19" t="n">
        <f aca="false">R743/(T743+0.00001)</f>
        <v>0</v>
      </c>
      <c r="W743" s="19" t="n">
        <f aca="false">S743/(U743+0.0001)</f>
        <v>0</v>
      </c>
      <c r="X743" s="47" t="e">
        <f aca="false">IF(Informed=1,K743,0)</f>
        <v>#N/A</v>
      </c>
      <c r="Y743" s="47" t="n">
        <f aca="false">IF(Informed=0,K743,0)</f>
        <v>0</v>
      </c>
      <c r="Z743" s="47" t="e">
        <f aca="false">IF(Informed=1,N743,0)</f>
        <v>#N/A</v>
      </c>
      <c r="AA743" s="47" t="n">
        <f aca="false">IF(Informed=0,N743,0)</f>
        <v>0</v>
      </c>
      <c r="AB743" s="51" t="e">
        <f aca="false">IF(Arterial=0,IF(Informed=1,1,0),0)</f>
        <v>#N/A</v>
      </c>
      <c r="AC743" s="51" t="e">
        <f aca="false">IF(Arterial=0,IF(Informed=0,1,0),0)</f>
        <v>#N/A</v>
      </c>
      <c r="AD743" s="51" t="e">
        <f aca="false">IF(Arterial=1,IF(Informed=1,1,0),0)</f>
        <v>#N/A</v>
      </c>
      <c r="AE743" s="51" t="e">
        <f aca="false">IF(Arterial=1,IF(Informed=0,1,0),0)</f>
        <v>#N/A</v>
      </c>
      <c r="AF743" s="44" t="e">
        <f aca="false">IF(AB743=1,(X743-G$1030)^2,0)</f>
        <v>#N/A</v>
      </c>
      <c r="AG743" s="44" t="e">
        <f aca="false">IF(AC743=1,(Y743-H$1030)^2,0)</f>
        <v>#N/A</v>
      </c>
      <c r="AH743" s="44" t="e">
        <f aca="false">IF(AD743=1,(Z743-I$1030)^2,0)</f>
        <v>#N/A</v>
      </c>
      <c r="AI743" s="44" t="e">
        <f aca="false">IF(AE743=1,(AA743-J$1030)^2,0)</f>
        <v>#N/A</v>
      </c>
    </row>
    <row r="744" customFormat="false" ht="12" hidden="false" customHeight="false" outlineLevel="0" collapsed="false">
      <c r="A744" s="29" t="n">
        <v>727</v>
      </c>
      <c r="B744" s="45" t="n">
        <f aca="true">IF(RAND()&lt;$D$8,1,0)</f>
        <v>1</v>
      </c>
      <c r="C744" s="34" t="n">
        <f aca="true">-LN(RAND())/$D$2</f>
        <v>0.532189951745219</v>
      </c>
      <c r="D744" s="46" t="n">
        <f aca="false">D743+C744</f>
        <v>1127.2791674391</v>
      </c>
      <c r="E744" s="47" t="e">
        <f aca="false">MAX($D$3,(1+P743-VLOOKUP(VALUE(D744),$J$18:$Q743,7,TRUE()))*$D$3)</f>
        <v>#N/A</v>
      </c>
      <c r="F744" s="47" t="e">
        <f aca="false">MAX($D$4,(1+Q743-VLOOKUP(VALUE(D744),$M$18:$Q743,5,TRUE()))*$D$4)</f>
        <v>#N/A</v>
      </c>
      <c r="G744" s="48" t="n">
        <v>0.5</v>
      </c>
      <c r="H744" s="46" t="e">
        <f aca="true">IF((B744=1),(IF((F744&lt;E744),1,(IF((F744=E744),(IF(RAND()&lt;G744,1,0)),0)))),(IF((RAND()&lt;G744),1,0)))</f>
        <v>#N/A</v>
      </c>
      <c r="I744" s="46" t="e">
        <f aca="true">IF((H744=1),0,$D$3+$D$5*(RAND()-0.5))</f>
        <v>#N/A</v>
      </c>
      <c r="J744" s="46" t="e">
        <f aca="false">I744+MAX(D744,J743)</f>
        <v>#N/A</v>
      </c>
      <c r="K744" s="46" t="e">
        <f aca="false">IF((H744=0),J744-D744,0)</f>
        <v>#N/A</v>
      </c>
      <c r="L744" s="46" t="e">
        <f aca="true">IF(($H744=0),0,$D$4+$D$5*(RAND()-0.5))</f>
        <v>#N/A</v>
      </c>
      <c r="M744" s="46" t="e">
        <f aca="false">L744+MAX(D744,M743)</f>
        <v>#N/A</v>
      </c>
      <c r="N744" s="46" t="e">
        <f aca="false">IF((H744=1),M744-D744,0)</f>
        <v>#N/A</v>
      </c>
      <c r="O744" s="29" t="n">
        <v>727</v>
      </c>
      <c r="P744" s="49" t="e">
        <f aca="false">IF((Arterial=0),P743+1,P743)</f>
        <v>#N/A</v>
      </c>
      <c r="Q744" s="49" t="e">
        <f aca="false">IF((Arterial=1),Q743+1,Q743)</f>
        <v>#N/A</v>
      </c>
      <c r="R744" s="50" t="n">
        <f aca="false">IF((RESET=1),0,R744+K744)</f>
        <v>0</v>
      </c>
      <c r="S744" s="19" t="n">
        <f aca="false">IF(RESET=1,0,S744+N744)</f>
        <v>0</v>
      </c>
      <c r="T744" s="0" t="n">
        <f aca="false">IF(RESET=1,0,T744+IF(H744=0,1,0))</f>
        <v>0</v>
      </c>
      <c r="U744" s="0" t="n">
        <f aca="false">IF(RESET=1,0,U744+H744)</f>
        <v>0</v>
      </c>
      <c r="V744" s="19" t="n">
        <f aca="false">R744/(T744+0.00001)</f>
        <v>0</v>
      </c>
      <c r="W744" s="19" t="n">
        <f aca="false">S744/(U744+0.0001)</f>
        <v>0</v>
      </c>
      <c r="X744" s="47" t="e">
        <f aca="false">IF(Informed=1,K744,0)</f>
        <v>#N/A</v>
      </c>
      <c r="Y744" s="47" t="n">
        <f aca="false">IF(Informed=0,K744,0)</f>
        <v>0</v>
      </c>
      <c r="Z744" s="47" t="e">
        <f aca="false">IF(Informed=1,N744,0)</f>
        <v>#N/A</v>
      </c>
      <c r="AA744" s="47" t="n">
        <f aca="false">IF(Informed=0,N744,0)</f>
        <v>0</v>
      </c>
      <c r="AB744" s="51" t="e">
        <f aca="false">IF(Arterial=0,IF(Informed=1,1,0),0)</f>
        <v>#N/A</v>
      </c>
      <c r="AC744" s="51" t="e">
        <f aca="false">IF(Arterial=0,IF(Informed=0,1,0),0)</f>
        <v>#N/A</v>
      </c>
      <c r="AD744" s="51" t="e">
        <f aca="false">IF(Arterial=1,IF(Informed=1,1,0),0)</f>
        <v>#N/A</v>
      </c>
      <c r="AE744" s="51" t="e">
        <f aca="false">IF(Arterial=1,IF(Informed=0,1,0),0)</f>
        <v>#N/A</v>
      </c>
      <c r="AF744" s="44" t="e">
        <f aca="false">IF(AB744=1,(X744-G$1030)^2,0)</f>
        <v>#N/A</v>
      </c>
      <c r="AG744" s="44" t="e">
        <f aca="false">IF(AC744=1,(Y744-H$1030)^2,0)</f>
        <v>#N/A</v>
      </c>
      <c r="AH744" s="44" t="e">
        <f aca="false">IF(AD744=1,(Z744-I$1030)^2,0)</f>
        <v>#N/A</v>
      </c>
      <c r="AI744" s="44" t="e">
        <f aca="false">IF(AE744=1,(AA744-J$1030)^2,0)</f>
        <v>#N/A</v>
      </c>
    </row>
    <row r="745" customFormat="false" ht="12" hidden="false" customHeight="false" outlineLevel="0" collapsed="false">
      <c r="A745" s="29" t="n">
        <v>728</v>
      </c>
      <c r="B745" s="45" t="n">
        <f aca="true">IF(RAND()&lt;$D$8,1,0)</f>
        <v>1</v>
      </c>
      <c r="C745" s="34" t="n">
        <f aca="true">-LN(RAND())/$D$2</f>
        <v>0.721741801057574</v>
      </c>
      <c r="D745" s="46" t="n">
        <f aca="false">D744+C745</f>
        <v>1128.00090924015</v>
      </c>
      <c r="E745" s="47" t="e">
        <f aca="false">MAX($D$3,(1+P744-VLOOKUP(VALUE(D745),$J$18:$Q744,7,TRUE()))*$D$3)</f>
        <v>#N/A</v>
      </c>
      <c r="F745" s="47" t="e">
        <f aca="false">MAX($D$4,(1+Q744-VLOOKUP(VALUE(D745),$M$18:$Q744,5,TRUE()))*$D$4)</f>
        <v>#N/A</v>
      </c>
      <c r="G745" s="48" t="n">
        <v>0.5</v>
      </c>
      <c r="H745" s="46" t="e">
        <f aca="true">IF((B745=1),(IF((F745&lt;E745),1,(IF((F745=E745),(IF(RAND()&lt;G745,1,0)),0)))),(IF((RAND()&lt;G745),1,0)))</f>
        <v>#N/A</v>
      </c>
      <c r="I745" s="46" t="e">
        <f aca="true">IF((H745=1),0,$D$3+$D$5*(RAND()-0.5))</f>
        <v>#N/A</v>
      </c>
      <c r="J745" s="46" t="e">
        <f aca="false">I745+MAX(D745,J744)</f>
        <v>#N/A</v>
      </c>
      <c r="K745" s="46" t="e">
        <f aca="false">IF((H745=0),J745-D745,0)</f>
        <v>#N/A</v>
      </c>
      <c r="L745" s="46" t="e">
        <f aca="true">IF(($H745=0),0,$D$4+$D$5*(RAND()-0.5))</f>
        <v>#N/A</v>
      </c>
      <c r="M745" s="46" t="e">
        <f aca="false">L745+MAX(D745,M744)</f>
        <v>#N/A</v>
      </c>
      <c r="N745" s="46" t="e">
        <f aca="false">IF((H745=1),M745-D745,0)</f>
        <v>#N/A</v>
      </c>
      <c r="O745" s="29" t="n">
        <v>728</v>
      </c>
      <c r="P745" s="49" t="e">
        <f aca="false">IF((Arterial=0),P744+1,P744)</f>
        <v>#N/A</v>
      </c>
      <c r="Q745" s="49" t="e">
        <f aca="false">IF((Arterial=1),Q744+1,Q744)</f>
        <v>#N/A</v>
      </c>
      <c r="R745" s="50" t="n">
        <f aca="false">IF((RESET=1),0,R745+K745)</f>
        <v>0</v>
      </c>
      <c r="S745" s="19" t="n">
        <f aca="false">IF(RESET=1,0,S745+N745)</f>
        <v>0</v>
      </c>
      <c r="T745" s="0" t="n">
        <f aca="false">IF(RESET=1,0,T745+IF(H745=0,1,0))</f>
        <v>0</v>
      </c>
      <c r="U745" s="0" t="n">
        <f aca="false">IF(RESET=1,0,U745+H745)</f>
        <v>0</v>
      </c>
      <c r="V745" s="19" t="n">
        <f aca="false">R745/(T745+0.00001)</f>
        <v>0</v>
      </c>
      <c r="W745" s="19" t="n">
        <f aca="false">S745/(U745+0.0001)</f>
        <v>0</v>
      </c>
      <c r="X745" s="47" t="e">
        <f aca="false">IF(Informed=1,K745,0)</f>
        <v>#N/A</v>
      </c>
      <c r="Y745" s="47" t="n">
        <f aca="false">IF(Informed=0,K745,0)</f>
        <v>0</v>
      </c>
      <c r="Z745" s="47" t="e">
        <f aca="false">IF(Informed=1,N745,0)</f>
        <v>#N/A</v>
      </c>
      <c r="AA745" s="47" t="n">
        <f aca="false">IF(Informed=0,N745,0)</f>
        <v>0</v>
      </c>
      <c r="AB745" s="51" t="e">
        <f aca="false">IF(Arterial=0,IF(Informed=1,1,0),0)</f>
        <v>#N/A</v>
      </c>
      <c r="AC745" s="51" t="e">
        <f aca="false">IF(Arterial=0,IF(Informed=0,1,0),0)</f>
        <v>#N/A</v>
      </c>
      <c r="AD745" s="51" t="e">
        <f aca="false">IF(Arterial=1,IF(Informed=1,1,0),0)</f>
        <v>#N/A</v>
      </c>
      <c r="AE745" s="51" t="e">
        <f aca="false">IF(Arterial=1,IF(Informed=0,1,0),0)</f>
        <v>#N/A</v>
      </c>
      <c r="AF745" s="44" t="e">
        <f aca="false">IF(AB745=1,(X745-G$1030)^2,0)</f>
        <v>#N/A</v>
      </c>
      <c r="AG745" s="44" t="e">
        <f aca="false">IF(AC745=1,(Y745-H$1030)^2,0)</f>
        <v>#N/A</v>
      </c>
      <c r="AH745" s="44" t="e">
        <f aca="false">IF(AD745=1,(Z745-I$1030)^2,0)</f>
        <v>#N/A</v>
      </c>
      <c r="AI745" s="44" t="e">
        <f aca="false">IF(AE745=1,(AA745-J$1030)^2,0)</f>
        <v>#N/A</v>
      </c>
    </row>
    <row r="746" customFormat="false" ht="12" hidden="false" customHeight="false" outlineLevel="0" collapsed="false">
      <c r="A746" s="29" t="n">
        <v>729</v>
      </c>
      <c r="B746" s="45" t="n">
        <f aca="true">IF(RAND()&lt;$D$8,1,0)</f>
        <v>1</v>
      </c>
      <c r="C746" s="34" t="n">
        <f aca="true">-LN(RAND())/$D$2</f>
        <v>4.50783409259529</v>
      </c>
      <c r="D746" s="46" t="n">
        <f aca="false">D745+C746</f>
        <v>1132.50874333275</v>
      </c>
      <c r="E746" s="47" t="e">
        <f aca="false">MAX($D$3,(1+P745-VLOOKUP(VALUE(D746),$J$18:$Q745,7,TRUE()))*$D$3)</f>
        <v>#N/A</v>
      </c>
      <c r="F746" s="47" t="e">
        <f aca="false">MAX($D$4,(1+Q745-VLOOKUP(VALUE(D746),$M$18:$Q745,5,TRUE()))*$D$4)</f>
        <v>#N/A</v>
      </c>
      <c r="G746" s="48" t="n">
        <v>0.5</v>
      </c>
      <c r="H746" s="46" t="e">
        <f aca="true">IF((B746=1),(IF((F746&lt;E746),1,(IF((F746=E746),(IF(RAND()&lt;G746,1,0)),0)))),(IF((RAND()&lt;G746),1,0)))</f>
        <v>#N/A</v>
      </c>
      <c r="I746" s="46" t="e">
        <f aca="true">IF((H746=1),0,$D$3+$D$5*(RAND()-0.5))</f>
        <v>#N/A</v>
      </c>
      <c r="J746" s="46" t="e">
        <f aca="false">I746+MAX(D746,J745)</f>
        <v>#N/A</v>
      </c>
      <c r="K746" s="46" t="e">
        <f aca="false">IF((H746=0),J746-D746,0)</f>
        <v>#N/A</v>
      </c>
      <c r="L746" s="46" t="e">
        <f aca="true">IF(($H746=0),0,$D$4+$D$5*(RAND()-0.5))</f>
        <v>#N/A</v>
      </c>
      <c r="M746" s="46" t="e">
        <f aca="false">L746+MAX(D746,M745)</f>
        <v>#N/A</v>
      </c>
      <c r="N746" s="46" t="e">
        <f aca="false">IF((H746=1),M746-D746,0)</f>
        <v>#N/A</v>
      </c>
      <c r="O746" s="29" t="n">
        <v>729</v>
      </c>
      <c r="P746" s="49" t="e">
        <f aca="false">IF((Arterial=0),P745+1,P745)</f>
        <v>#N/A</v>
      </c>
      <c r="Q746" s="49" t="e">
        <f aca="false">IF((Arterial=1),Q745+1,Q745)</f>
        <v>#N/A</v>
      </c>
      <c r="R746" s="50" t="n">
        <f aca="false">IF((RESET=1),0,R746+K746)</f>
        <v>0</v>
      </c>
      <c r="S746" s="19" t="n">
        <f aca="false">IF(RESET=1,0,S746+N746)</f>
        <v>0</v>
      </c>
      <c r="T746" s="0" t="n">
        <f aca="false">IF(RESET=1,0,T746+IF(H746=0,1,0))</f>
        <v>0</v>
      </c>
      <c r="U746" s="0" t="n">
        <f aca="false">IF(RESET=1,0,U746+H746)</f>
        <v>0</v>
      </c>
      <c r="V746" s="19" t="n">
        <f aca="false">R746/(T746+0.00001)</f>
        <v>0</v>
      </c>
      <c r="W746" s="19" t="n">
        <f aca="false">S746/(U746+0.0001)</f>
        <v>0</v>
      </c>
      <c r="X746" s="47" t="e">
        <f aca="false">IF(Informed=1,K746,0)</f>
        <v>#N/A</v>
      </c>
      <c r="Y746" s="47" t="n">
        <f aca="false">IF(Informed=0,K746,0)</f>
        <v>0</v>
      </c>
      <c r="Z746" s="47" t="e">
        <f aca="false">IF(Informed=1,N746,0)</f>
        <v>#N/A</v>
      </c>
      <c r="AA746" s="47" t="n">
        <f aca="false">IF(Informed=0,N746,0)</f>
        <v>0</v>
      </c>
      <c r="AB746" s="51" t="e">
        <f aca="false">IF(Arterial=0,IF(Informed=1,1,0),0)</f>
        <v>#N/A</v>
      </c>
      <c r="AC746" s="51" t="e">
        <f aca="false">IF(Arterial=0,IF(Informed=0,1,0),0)</f>
        <v>#N/A</v>
      </c>
      <c r="AD746" s="51" t="e">
        <f aca="false">IF(Arterial=1,IF(Informed=1,1,0),0)</f>
        <v>#N/A</v>
      </c>
      <c r="AE746" s="51" t="e">
        <f aca="false">IF(Arterial=1,IF(Informed=0,1,0),0)</f>
        <v>#N/A</v>
      </c>
      <c r="AF746" s="44" t="e">
        <f aca="false">IF(AB746=1,(X746-G$1030)^2,0)</f>
        <v>#N/A</v>
      </c>
      <c r="AG746" s="44" t="e">
        <f aca="false">IF(AC746=1,(Y746-H$1030)^2,0)</f>
        <v>#N/A</v>
      </c>
      <c r="AH746" s="44" t="e">
        <f aca="false">IF(AD746=1,(Z746-I$1030)^2,0)</f>
        <v>#N/A</v>
      </c>
      <c r="AI746" s="44" t="e">
        <f aca="false">IF(AE746=1,(AA746-J$1030)^2,0)</f>
        <v>#N/A</v>
      </c>
    </row>
    <row r="747" customFormat="false" ht="12" hidden="false" customHeight="false" outlineLevel="0" collapsed="false">
      <c r="A747" s="29" t="n">
        <v>730</v>
      </c>
      <c r="B747" s="45" t="n">
        <f aca="true">IF(RAND()&lt;$D$8,1,0)</f>
        <v>1</v>
      </c>
      <c r="C747" s="34" t="n">
        <f aca="true">-LN(RAND())/$D$2</f>
        <v>4.47946919441904</v>
      </c>
      <c r="D747" s="46" t="n">
        <f aca="false">D746+C747</f>
        <v>1136.98821252717</v>
      </c>
      <c r="E747" s="47" t="e">
        <f aca="false">MAX($D$3,(1+P746-VLOOKUP(VALUE(D747),$J$18:$Q746,7,TRUE()))*$D$3)</f>
        <v>#N/A</v>
      </c>
      <c r="F747" s="47" t="e">
        <f aca="false">MAX($D$4,(1+Q746-VLOOKUP(VALUE(D747),$M$18:$Q746,5,TRUE()))*$D$4)</f>
        <v>#N/A</v>
      </c>
      <c r="G747" s="48" t="n">
        <v>0.5</v>
      </c>
      <c r="H747" s="46" t="e">
        <f aca="true">IF((B747=1),(IF((F747&lt;E747),1,(IF((F747=E747),(IF(RAND()&lt;G747,1,0)),0)))),(IF((RAND()&lt;G747),1,0)))</f>
        <v>#N/A</v>
      </c>
      <c r="I747" s="46" t="e">
        <f aca="true">IF((H747=1),0,$D$3+$D$5*(RAND()-0.5))</f>
        <v>#N/A</v>
      </c>
      <c r="J747" s="46" t="e">
        <f aca="false">I747+MAX(D747,J746)</f>
        <v>#N/A</v>
      </c>
      <c r="K747" s="46" t="e">
        <f aca="false">IF((H747=0),J747-D747,0)</f>
        <v>#N/A</v>
      </c>
      <c r="L747" s="46" t="e">
        <f aca="true">IF(($H747=0),0,$D$4+$D$5*(RAND()-0.5))</f>
        <v>#N/A</v>
      </c>
      <c r="M747" s="46" t="e">
        <f aca="false">L747+MAX(D747,M746)</f>
        <v>#N/A</v>
      </c>
      <c r="N747" s="46" t="e">
        <f aca="false">IF((H747=1),M747-D747,0)</f>
        <v>#N/A</v>
      </c>
      <c r="O747" s="29" t="n">
        <v>730</v>
      </c>
      <c r="P747" s="49" t="e">
        <f aca="false">IF((Arterial=0),P746+1,P746)</f>
        <v>#N/A</v>
      </c>
      <c r="Q747" s="49" t="e">
        <f aca="false">IF((Arterial=1),Q746+1,Q746)</f>
        <v>#N/A</v>
      </c>
      <c r="R747" s="50" t="n">
        <f aca="false">IF((RESET=1),0,R747+K747)</f>
        <v>0</v>
      </c>
      <c r="S747" s="19" t="n">
        <f aca="false">IF(RESET=1,0,S747+N747)</f>
        <v>0</v>
      </c>
      <c r="T747" s="0" t="n">
        <f aca="false">IF(RESET=1,0,T747+IF(H747=0,1,0))</f>
        <v>0</v>
      </c>
      <c r="U747" s="0" t="n">
        <f aca="false">IF(RESET=1,0,U747+H747)</f>
        <v>0</v>
      </c>
      <c r="V747" s="19" t="n">
        <f aca="false">R747/(T747+0.00001)</f>
        <v>0</v>
      </c>
      <c r="W747" s="19" t="n">
        <f aca="false">S747/(U747+0.0001)</f>
        <v>0</v>
      </c>
      <c r="X747" s="47" t="e">
        <f aca="false">IF(Informed=1,K747,0)</f>
        <v>#N/A</v>
      </c>
      <c r="Y747" s="47" t="n">
        <f aca="false">IF(Informed=0,K747,0)</f>
        <v>0</v>
      </c>
      <c r="Z747" s="47" t="e">
        <f aca="false">IF(Informed=1,N747,0)</f>
        <v>#N/A</v>
      </c>
      <c r="AA747" s="47" t="n">
        <f aca="false">IF(Informed=0,N747,0)</f>
        <v>0</v>
      </c>
      <c r="AB747" s="51" t="e">
        <f aca="false">IF(Arterial=0,IF(Informed=1,1,0),0)</f>
        <v>#N/A</v>
      </c>
      <c r="AC747" s="51" t="e">
        <f aca="false">IF(Arterial=0,IF(Informed=0,1,0),0)</f>
        <v>#N/A</v>
      </c>
      <c r="AD747" s="51" t="e">
        <f aca="false">IF(Arterial=1,IF(Informed=1,1,0),0)</f>
        <v>#N/A</v>
      </c>
      <c r="AE747" s="51" t="e">
        <f aca="false">IF(Arterial=1,IF(Informed=0,1,0),0)</f>
        <v>#N/A</v>
      </c>
      <c r="AF747" s="44" t="e">
        <f aca="false">IF(AB747=1,(X747-G$1030)^2,0)</f>
        <v>#N/A</v>
      </c>
      <c r="AG747" s="44" t="e">
        <f aca="false">IF(AC747=1,(Y747-H$1030)^2,0)</f>
        <v>#N/A</v>
      </c>
      <c r="AH747" s="44" t="e">
        <f aca="false">IF(AD747=1,(Z747-I$1030)^2,0)</f>
        <v>#N/A</v>
      </c>
      <c r="AI747" s="44" t="e">
        <f aca="false">IF(AE747=1,(AA747-J$1030)^2,0)</f>
        <v>#N/A</v>
      </c>
    </row>
    <row r="748" customFormat="false" ht="12" hidden="false" customHeight="false" outlineLevel="0" collapsed="false">
      <c r="A748" s="29" t="n">
        <v>731</v>
      </c>
      <c r="B748" s="45" t="n">
        <f aca="true">IF(RAND()&lt;$D$8,1,0)</f>
        <v>1</v>
      </c>
      <c r="C748" s="34" t="n">
        <f aca="true">-LN(RAND())/$D$2</f>
        <v>0.198984737826897</v>
      </c>
      <c r="D748" s="46" t="n">
        <f aca="false">D747+C748</f>
        <v>1137.187197265</v>
      </c>
      <c r="E748" s="47" t="e">
        <f aca="false">MAX($D$3,(1+P747-VLOOKUP(VALUE(D748),$J$18:$Q747,7,TRUE()))*$D$3)</f>
        <v>#N/A</v>
      </c>
      <c r="F748" s="47" t="e">
        <f aca="false">MAX($D$4,(1+Q747-VLOOKUP(VALUE(D748),$M$18:$Q747,5,TRUE()))*$D$4)</f>
        <v>#N/A</v>
      </c>
      <c r="G748" s="48" t="n">
        <v>0.5</v>
      </c>
      <c r="H748" s="46" t="e">
        <f aca="true">IF((B748=1),(IF((F748&lt;E748),1,(IF((F748=E748),(IF(RAND()&lt;G748,1,0)),0)))),(IF((RAND()&lt;G748),1,0)))</f>
        <v>#N/A</v>
      </c>
      <c r="I748" s="46" t="e">
        <f aca="true">IF((H748=1),0,$D$3+$D$5*(RAND()-0.5))</f>
        <v>#N/A</v>
      </c>
      <c r="J748" s="46" t="e">
        <f aca="false">I748+MAX(D748,J747)</f>
        <v>#N/A</v>
      </c>
      <c r="K748" s="46" t="e">
        <f aca="false">IF((H748=0),J748-D748,0)</f>
        <v>#N/A</v>
      </c>
      <c r="L748" s="46" t="e">
        <f aca="true">IF(($H748=0),0,$D$4+$D$5*(RAND()-0.5))</f>
        <v>#N/A</v>
      </c>
      <c r="M748" s="46" t="e">
        <f aca="false">L748+MAX(D748,M747)</f>
        <v>#N/A</v>
      </c>
      <c r="N748" s="46" t="e">
        <f aca="false">IF((H748=1),M748-D748,0)</f>
        <v>#N/A</v>
      </c>
      <c r="O748" s="29" t="n">
        <v>731</v>
      </c>
      <c r="P748" s="49" t="e">
        <f aca="false">IF((Arterial=0),P747+1,P747)</f>
        <v>#N/A</v>
      </c>
      <c r="Q748" s="49" t="e">
        <f aca="false">IF((Arterial=1),Q747+1,Q747)</f>
        <v>#N/A</v>
      </c>
      <c r="R748" s="50" t="n">
        <f aca="false">IF((RESET=1),0,R748+K748)</f>
        <v>0</v>
      </c>
      <c r="S748" s="19" t="n">
        <f aca="false">IF(RESET=1,0,S748+N748)</f>
        <v>0</v>
      </c>
      <c r="T748" s="0" t="n">
        <f aca="false">IF(RESET=1,0,T748+IF(H748=0,1,0))</f>
        <v>0</v>
      </c>
      <c r="U748" s="0" t="n">
        <f aca="false">IF(RESET=1,0,U748+H748)</f>
        <v>0</v>
      </c>
      <c r="V748" s="19" t="n">
        <f aca="false">R748/(T748+0.00001)</f>
        <v>0</v>
      </c>
      <c r="W748" s="19" t="n">
        <f aca="false">S748/(U748+0.0001)</f>
        <v>0</v>
      </c>
      <c r="X748" s="47" t="e">
        <f aca="false">IF(Informed=1,K748,0)</f>
        <v>#N/A</v>
      </c>
      <c r="Y748" s="47" t="n">
        <f aca="false">IF(Informed=0,K748,0)</f>
        <v>0</v>
      </c>
      <c r="Z748" s="47" t="e">
        <f aca="false">IF(Informed=1,N748,0)</f>
        <v>#N/A</v>
      </c>
      <c r="AA748" s="47" t="n">
        <f aca="false">IF(Informed=0,N748,0)</f>
        <v>0</v>
      </c>
      <c r="AB748" s="51" t="e">
        <f aca="false">IF(Arterial=0,IF(Informed=1,1,0),0)</f>
        <v>#N/A</v>
      </c>
      <c r="AC748" s="51" t="e">
        <f aca="false">IF(Arterial=0,IF(Informed=0,1,0),0)</f>
        <v>#N/A</v>
      </c>
      <c r="AD748" s="51" t="e">
        <f aca="false">IF(Arterial=1,IF(Informed=1,1,0),0)</f>
        <v>#N/A</v>
      </c>
      <c r="AE748" s="51" t="e">
        <f aca="false">IF(Arterial=1,IF(Informed=0,1,0),0)</f>
        <v>#N/A</v>
      </c>
      <c r="AF748" s="44" t="e">
        <f aca="false">IF(AB748=1,(X748-G$1030)^2,0)</f>
        <v>#N/A</v>
      </c>
      <c r="AG748" s="44" t="e">
        <f aca="false">IF(AC748=1,(Y748-H$1030)^2,0)</f>
        <v>#N/A</v>
      </c>
      <c r="AH748" s="44" t="e">
        <f aca="false">IF(AD748=1,(Z748-I$1030)^2,0)</f>
        <v>#N/A</v>
      </c>
      <c r="AI748" s="44" t="e">
        <f aca="false">IF(AE748=1,(AA748-J$1030)^2,0)</f>
        <v>#N/A</v>
      </c>
    </row>
    <row r="749" customFormat="false" ht="12" hidden="false" customHeight="false" outlineLevel="0" collapsed="false">
      <c r="A749" s="29" t="n">
        <v>732</v>
      </c>
      <c r="B749" s="45" t="n">
        <f aca="true">IF(RAND()&lt;$D$8,1,0)</f>
        <v>1</v>
      </c>
      <c r="C749" s="34" t="n">
        <f aca="true">-LN(RAND())/$D$2</f>
        <v>0.311072559420445</v>
      </c>
      <c r="D749" s="46" t="n">
        <f aca="false">D748+C749</f>
        <v>1137.49826982442</v>
      </c>
      <c r="E749" s="47" t="e">
        <f aca="false">MAX($D$3,(1+P748-VLOOKUP(VALUE(D749),$J$18:$Q748,7,TRUE()))*$D$3)</f>
        <v>#N/A</v>
      </c>
      <c r="F749" s="47" t="e">
        <f aca="false">MAX($D$4,(1+Q748-VLOOKUP(VALUE(D749),$M$18:$Q748,5,TRUE()))*$D$4)</f>
        <v>#N/A</v>
      </c>
      <c r="G749" s="48" t="n">
        <v>0.5</v>
      </c>
      <c r="H749" s="46" t="e">
        <f aca="true">IF((B749=1),(IF((F749&lt;E749),1,(IF((F749=E749),(IF(RAND()&lt;G749,1,0)),0)))),(IF((RAND()&lt;G749),1,0)))</f>
        <v>#N/A</v>
      </c>
      <c r="I749" s="46" t="e">
        <f aca="true">IF((H749=1),0,$D$3+$D$5*(RAND()-0.5))</f>
        <v>#N/A</v>
      </c>
      <c r="J749" s="46" t="e">
        <f aca="false">I749+MAX(D749,J748)</f>
        <v>#N/A</v>
      </c>
      <c r="K749" s="46" t="e">
        <f aca="false">IF((H749=0),J749-D749,0)</f>
        <v>#N/A</v>
      </c>
      <c r="L749" s="46" t="e">
        <f aca="true">IF(($H749=0),0,$D$4+$D$5*(RAND()-0.5))</f>
        <v>#N/A</v>
      </c>
      <c r="M749" s="46" t="e">
        <f aca="false">L749+MAX(D749,M748)</f>
        <v>#N/A</v>
      </c>
      <c r="N749" s="46" t="e">
        <f aca="false">IF((H749=1),M749-D749,0)</f>
        <v>#N/A</v>
      </c>
      <c r="O749" s="29" t="n">
        <v>732</v>
      </c>
      <c r="P749" s="49" t="e">
        <f aca="false">IF((Arterial=0),P748+1,P748)</f>
        <v>#N/A</v>
      </c>
      <c r="Q749" s="49" t="e">
        <f aca="false">IF((Arterial=1),Q748+1,Q748)</f>
        <v>#N/A</v>
      </c>
      <c r="R749" s="50" t="n">
        <f aca="false">IF((RESET=1),0,R749+K749)</f>
        <v>0</v>
      </c>
      <c r="S749" s="19" t="n">
        <f aca="false">IF(RESET=1,0,S749+N749)</f>
        <v>0</v>
      </c>
      <c r="T749" s="0" t="n">
        <f aca="false">IF(RESET=1,0,T749+IF(H749=0,1,0))</f>
        <v>0</v>
      </c>
      <c r="U749" s="0" t="n">
        <f aca="false">IF(RESET=1,0,U749+H749)</f>
        <v>0</v>
      </c>
      <c r="V749" s="19" t="n">
        <f aca="false">R749/(T749+0.00001)</f>
        <v>0</v>
      </c>
      <c r="W749" s="19" t="n">
        <f aca="false">S749/(U749+0.0001)</f>
        <v>0</v>
      </c>
      <c r="X749" s="47" t="e">
        <f aca="false">IF(Informed=1,K749,0)</f>
        <v>#N/A</v>
      </c>
      <c r="Y749" s="47" t="n">
        <f aca="false">IF(Informed=0,K749,0)</f>
        <v>0</v>
      </c>
      <c r="Z749" s="47" t="e">
        <f aca="false">IF(Informed=1,N749,0)</f>
        <v>#N/A</v>
      </c>
      <c r="AA749" s="47" t="n">
        <f aca="false">IF(Informed=0,N749,0)</f>
        <v>0</v>
      </c>
      <c r="AB749" s="51" t="e">
        <f aca="false">IF(Arterial=0,IF(Informed=1,1,0),0)</f>
        <v>#N/A</v>
      </c>
      <c r="AC749" s="51" t="e">
        <f aca="false">IF(Arterial=0,IF(Informed=0,1,0),0)</f>
        <v>#N/A</v>
      </c>
      <c r="AD749" s="51" t="e">
        <f aca="false">IF(Arterial=1,IF(Informed=1,1,0),0)</f>
        <v>#N/A</v>
      </c>
      <c r="AE749" s="51" t="e">
        <f aca="false">IF(Arterial=1,IF(Informed=0,1,0),0)</f>
        <v>#N/A</v>
      </c>
      <c r="AF749" s="44" t="e">
        <f aca="false">IF(AB749=1,(X749-G$1030)^2,0)</f>
        <v>#N/A</v>
      </c>
      <c r="AG749" s="44" t="e">
        <f aca="false">IF(AC749=1,(Y749-H$1030)^2,0)</f>
        <v>#N/A</v>
      </c>
      <c r="AH749" s="44" t="e">
        <f aca="false">IF(AD749=1,(Z749-I$1030)^2,0)</f>
        <v>#N/A</v>
      </c>
      <c r="AI749" s="44" t="e">
        <f aca="false">IF(AE749=1,(AA749-J$1030)^2,0)</f>
        <v>#N/A</v>
      </c>
    </row>
    <row r="750" customFormat="false" ht="12" hidden="false" customHeight="false" outlineLevel="0" collapsed="false">
      <c r="A750" s="29" t="n">
        <v>733</v>
      </c>
      <c r="B750" s="45" t="n">
        <f aca="true">IF(RAND()&lt;$D$8,1,0)</f>
        <v>1</v>
      </c>
      <c r="C750" s="34" t="n">
        <f aca="true">-LN(RAND())/$D$2</f>
        <v>0.300956144112259</v>
      </c>
      <c r="D750" s="46" t="n">
        <f aca="false">D749+C750</f>
        <v>1137.79922596853</v>
      </c>
      <c r="E750" s="47" t="e">
        <f aca="false">MAX($D$3,(1+P749-VLOOKUP(VALUE(D750),$J$18:$Q749,7,TRUE()))*$D$3)</f>
        <v>#N/A</v>
      </c>
      <c r="F750" s="47" t="e">
        <f aca="false">MAX($D$4,(1+Q749-VLOOKUP(VALUE(D750),$M$18:$Q749,5,TRUE()))*$D$4)</f>
        <v>#N/A</v>
      </c>
      <c r="G750" s="48" t="n">
        <v>0.5</v>
      </c>
      <c r="H750" s="46" t="e">
        <f aca="true">IF((B750=1),(IF((F750&lt;E750),1,(IF((F750=E750),(IF(RAND()&lt;G750,1,0)),0)))),(IF((RAND()&lt;G750),1,0)))</f>
        <v>#N/A</v>
      </c>
      <c r="I750" s="46" t="e">
        <f aca="true">IF((H750=1),0,$D$3+$D$5*(RAND()-0.5))</f>
        <v>#N/A</v>
      </c>
      <c r="J750" s="46" t="e">
        <f aca="false">I750+MAX(D750,J749)</f>
        <v>#N/A</v>
      </c>
      <c r="K750" s="46" t="e">
        <f aca="false">IF((H750=0),J750-D750,0)</f>
        <v>#N/A</v>
      </c>
      <c r="L750" s="46" t="e">
        <f aca="true">IF(($H750=0),0,$D$4+$D$5*(RAND()-0.5))</f>
        <v>#N/A</v>
      </c>
      <c r="M750" s="46" t="e">
        <f aca="false">L750+MAX(D750,M749)</f>
        <v>#N/A</v>
      </c>
      <c r="N750" s="46" t="e">
        <f aca="false">IF((H750=1),M750-D750,0)</f>
        <v>#N/A</v>
      </c>
      <c r="O750" s="29" t="n">
        <v>733</v>
      </c>
      <c r="P750" s="49" t="e">
        <f aca="false">IF((Arterial=0),P749+1,P749)</f>
        <v>#N/A</v>
      </c>
      <c r="Q750" s="49" t="e">
        <f aca="false">IF((Arterial=1),Q749+1,Q749)</f>
        <v>#N/A</v>
      </c>
      <c r="R750" s="50" t="n">
        <f aca="false">IF((RESET=1),0,R750+K750)</f>
        <v>0</v>
      </c>
      <c r="S750" s="19" t="n">
        <f aca="false">IF(RESET=1,0,S750+N750)</f>
        <v>0</v>
      </c>
      <c r="T750" s="0" t="n">
        <f aca="false">IF(RESET=1,0,T750+IF(H750=0,1,0))</f>
        <v>0</v>
      </c>
      <c r="U750" s="0" t="n">
        <f aca="false">IF(RESET=1,0,U750+H750)</f>
        <v>0</v>
      </c>
      <c r="V750" s="19" t="n">
        <f aca="false">R750/(T750+0.00001)</f>
        <v>0</v>
      </c>
      <c r="W750" s="19" t="n">
        <f aca="false">S750/(U750+0.0001)</f>
        <v>0</v>
      </c>
      <c r="X750" s="47" t="e">
        <f aca="false">IF(Informed=1,K750,0)</f>
        <v>#N/A</v>
      </c>
      <c r="Y750" s="47" t="n">
        <f aca="false">IF(Informed=0,K750,0)</f>
        <v>0</v>
      </c>
      <c r="Z750" s="47" t="e">
        <f aca="false">IF(Informed=1,N750,0)</f>
        <v>#N/A</v>
      </c>
      <c r="AA750" s="47" t="n">
        <f aca="false">IF(Informed=0,N750,0)</f>
        <v>0</v>
      </c>
      <c r="AB750" s="51" t="e">
        <f aca="false">IF(Arterial=0,IF(Informed=1,1,0),0)</f>
        <v>#N/A</v>
      </c>
      <c r="AC750" s="51" t="e">
        <f aca="false">IF(Arterial=0,IF(Informed=0,1,0),0)</f>
        <v>#N/A</v>
      </c>
      <c r="AD750" s="51" t="e">
        <f aca="false">IF(Arterial=1,IF(Informed=1,1,0),0)</f>
        <v>#N/A</v>
      </c>
      <c r="AE750" s="51" t="e">
        <f aca="false">IF(Arterial=1,IF(Informed=0,1,0),0)</f>
        <v>#N/A</v>
      </c>
      <c r="AF750" s="44" t="e">
        <f aca="false">IF(AB750=1,(X750-G$1030)^2,0)</f>
        <v>#N/A</v>
      </c>
      <c r="AG750" s="44" t="e">
        <f aca="false">IF(AC750=1,(Y750-H$1030)^2,0)</f>
        <v>#N/A</v>
      </c>
      <c r="AH750" s="44" t="e">
        <f aca="false">IF(AD750=1,(Z750-I$1030)^2,0)</f>
        <v>#N/A</v>
      </c>
      <c r="AI750" s="44" t="e">
        <f aca="false">IF(AE750=1,(AA750-J$1030)^2,0)</f>
        <v>#N/A</v>
      </c>
    </row>
    <row r="751" customFormat="false" ht="12" hidden="false" customHeight="false" outlineLevel="0" collapsed="false">
      <c r="A751" s="29" t="n">
        <v>734</v>
      </c>
      <c r="B751" s="45" t="n">
        <f aca="true">IF(RAND()&lt;$D$8,1,0)</f>
        <v>1</v>
      </c>
      <c r="C751" s="34" t="n">
        <f aca="true">-LN(RAND())/$D$2</f>
        <v>1.69609506525828</v>
      </c>
      <c r="D751" s="46" t="n">
        <f aca="false">D750+C751</f>
        <v>1139.49532103379</v>
      </c>
      <c r="E751" s="47" t="e">
        <f aca="false">MAX($D$3,(1+P750-VLOOKUP(VALUE(D751),$J$18:$Q750,7,TRUE()))*$D$3)</f>
        <v>#N/A</v>
      </c>
      <c r="F751" s="47" t="e">
        <f aca="false">MAX($D$4,(1+Q750-VLOOKUP(VALUE(D751),$M$18:$Q750,5,TRUE()))*$D$4)</f>
        <v>#N/A</v>
      </c>
      <c r="G751" s="48" t="n">
        <v>0.5</v>
      </c>
      <c r="H751" s="46" t="e">
        <f aca="true">IF((B751=1),(IF((F751&lt;E751),1,(IF((F751=E751),(IF(RAND()&lt;G751,1,0)),0)))),(IF((RAND()&lt;G751),1,0)))</f>
        <v>#N/A</v>
      </c>
      <c r="I751" s="46" t="e">
        <f aca="true">IF((H751=1),0,$D$3+$D$5*(RAND()-0.5))</f>
        <v>#N/A</v>
      </c>
      <c r="J751" s="46" t="e">
        <f aca="false">I751+MAX(D751,J750)</f>
        <v>#N/A</v>
      </c>
      <c r="K751" s="46" t="e">
        <f aca="false">IF((H751=0),J751-D751,0)</f>
        <v>#N/A</v>
      </c>
      <c r="L751" s="46" t="e">
        <f aca="true">IF(($H751=0),0,$D$4+$D$5*(RAND()-0.5))</f>
        <v>#N/A</v>
      </c>
      <c r="M751" s="46" t="e">
        <f aca="false">L751+MAX(D751,M750)</f>
        <v>#N/A</v>
      </c>
      <c r="N751" s="46" t="e">
        <f aca="false">IF((H751=1),M751-D751,0)</f>
        <v>#N/A</v>
      </c>
      <c r="O751" s="29" t="n">
        <v>734</v>
      </c>
      <c r="P751" s="49" t="e">
        <f aca="false">IF((Arterial=0),P750+1,P750)</f>
        <v>#N/A</v>
      </c>
      <c r="Q751" s="49" t="e">
        <f aca="false">IF((Arterial=1),Q750+1,Q750)</f>
        <v>#N/A</v>
      </c>
      <c r="R751" s="50" t="n">
        <f aca="false">IF((RESET=1),0,R751+K751)</f>
        <v>0</v>
      </c>
      <c r="S751" s="19" t="n">
        <f aca="false">IF(RESET=1,0,S751+N751)</f>
        <v>0</v>
      </c>
      <c r="T751" s="0" t="n">
        <f aca="false">IF(RESET=1,0,T751+IF(H751=0,1,0))</f>
        <v>0</v>
      </c>
      <c r="U751" s="0" t="n">
        <f aca="false">IF(RESET=1,0,U751+H751)</f>
        <v>0</v>
      </c>
      <c r="V751" s="19" t="n">
        <f aca="false">R751/(T751+0.00001)</f>
        <v>0</v>
      </c>
      <c r="W751" s="19" t="n">
        <f aca="false">S751/(U751+0.0001)</f>
        <v>0</v>
      </c>
      <c r="X751" s="47" t="e">
        <f aca="false">IF(Informed=1,K751,0)</f>
        <v>#N/A</v>
      </c>
      <c r="Y751" s="47" t="n">
        <f aca="false">IF(Informed=0,K751,0)</f>
        <v>0</v>
      </c>
      <c r="Z751" s="47" t="e">
        <f aca="false">IF(Informed=1,N751,0)</f>
        <v>#N/A</v>
      </c>
      <c r="AA751" s="47" t="n">
        <f aca="false">IF(Informed=0,N751,0)</f>
        <v>0</v>
      </c>
      <c r="AB751" s="51" t="e">
        <f aca="false">IF(Arterial=0,IF(Informed=1,1,0),0)</f>
        <v>#N/A</v>
      </c>
      <c r="AC751" s="51" t="e">
        <f aca="false">IF(Arterial=0,IF(Informed=0,1,0),0)</f>
        <v>#N/A</v>
      </c>
      <c r="AD751" s="51" t="e">
        <f aca="false">IF(Arterial=1,IF(Informed=1,1,0),0)</f>
        <v>#N/A</v>
      </c>
      <c r="AE751" s="51" t="e">
        <f aca="false">IF(Arterial=1,IF(Informed=0,1,0),0)</f>
        <v>#N/A</v>
      </c>
      <c r="AF751" s="44" t="e">
        <f aca="false">IF(AB751=1,(X751-G$1030)^2,0)</f>
        <v>#N/A</v>
      </c>
      <c r="AG751" s="44" t="e">
        <f aca="false">IF(AC751=1,(Y751-H$1030)^2,0)</f>
        <v>#N/A</v>
      </c>
      <c r="AH751" s="44" t="e">
        <f aca="false">IF(AD751=1,(Z751-I$1030)^2,0)</f>
        <v>#N/A</v>
      </c>
      <c r="AI751" s="44" t="e">
        <f aca="false">IF(AE751=1,(AA751-J$1030)^2,0)</f>
        <v>#N/A</v>
      </c>
    </row>
    <row r="752" customFormat="false" ht="12" hidden="false" customHeight="false" outlineLevel="0" collapsed="false">
      <c r="A752" s="29" t="n">
        <v>735</v>
      </c>
      <c r="B752" s="45" t="n">
        <f aca="true">IF(RAND()&lt;$D$8,1,0)</f>
        <v>1</v>
      </c>
      <c r="C752" s="34" t="n">
        <f aca="true">-LN(RAND())/$D$2</f>
        <v>1.63766880934121</v>
      </c>
      <c r="D752" s="46" t="n">
        <f aca="false">D751+C752</f>
        <v>1141.13298984313</v>
      </c>
      <c r="E752" s="47" t="e">
        <f aca="false">MAX($D$3,(1+P751-VLOOKUP(VALUE(D752),$J$18:$Q751,7,TRUE()))*$D$3)</f>
        <v>#N/A</v>
      </c>
      <c r="F752" s="47" t="e">
        <f aca="false">MAX($D$4,(1+Q751-VLOOKUP(VALUE(D752),$M$18:$Q751,5,TRUE()))*$D$4)</f>
        <v>#N/A</v>
      </c>
      <c r="G752" s="48" t="n">
        <v>0.5</v>
      </c>
      <c r="H752" s="46" t="e">
        <f aca="true">IF((B752=1),(IF((F752&lt;E752),1,(IF((F752=E752),(IF(RAND()&lt;G752,1,0)),0)))),(IF((RAND()&lt;G752),1,0)))</f>
        <v>#N/A</v>
      </c>
      <c r="I752" s="46" t="e">
        <f aca="true">IF((H752=1),0,$D$3+$D$5*(RAND()-0.5))</f>
        <v>#N/A</v>
      </c>
      <c r="J752" s="46" t="e">
        <f aca="false">I752+MAX(D752,J751)</f>
        <v>#N/A</v>
      </c>
      <c r="K752" s="46" t="e">
        <f aca="false">IF((H752=0),J752-D752,0)</f>
        <v>#N/A</v>
      </c>
      <c r="L752" s="46" t="e">
        <f aca="true">IF(($H752=0),0,$D$4+$D$5*(RAND()-0.5))</f>
        <v>#N/A</v>
      </c>
      <c r="M752" s="46" t="e">
        <f aca="false">L752+MAX(D752,M751)</f>
        <v>#N/A</v>
      </c>
      <c r="N752" s="46" t="e">
        <f aca="false">IF((H752=1),M752-D752,0)</f>
        <v>#N/A</v>
      </c>
      <c r="O752" s="29" t="n">
        <v>735</v>
      </c>
      <c r="P752" s="49" t="e">
        <f aca="false">IF((Arterial=0),P751+1,P751)</f>
        <v>#N/A</v>
      </c>
      <c r="Q752" s="49" t="e">
        <f aca="false">IF((Arterial=1),Q751+1,Q751)</f>
        <v>#N/A</v>
      </c>
      <c r="R752" s="50" t="n">
        <f aca="false">IF((RESET=1),0,R752+K752)</f>
        <v>0</v>
      </c>
      <c r="S752" s="19" t="n">
        <f aca="false">IF(RESET=1,0,S752+N752)</f>
        <v>0</v>
      </c>
      <c r="T752" s="0" t="n">
        <f aca="false">IF(RESET=1,0,T752+IF(H752=0,1,0))</f>
        <v>0</v>
      </c>
      <c r="U752" s="0" t="n">
        <f aca="false">IF(RESET=1,0,U752+H752)</f>
        <v>0</v>
      </c>
      <c r="V752" s="19" t="n">
        <f aca="false">R752/(T752+0.00001)</f>
        <v>0</v>
      </c>
      <c r="W752" s="19" t="n">
        <f aca="false">S752/(U752+0.0001)</f>
        <v>0</v>
      </c>
      <c r="X752" s="47" t="e">
        <f aca="false">IF(Informed=1,K752,0)</f>
        <v>#N/A</v>
      </c>
      <c r="Y752" s="47" t="n">
        <f aca="false">IF(Informed=0,K752,0)</f>
        <v>0</v>
      </c>
      <c r="Z752" s="47" t="e">
        <f aca="false">IF(Informed=1,N752,0)</f>
        <v>#N/A</v>
      </c>
      <c r="AA752" s="47" t="n">
        <f aca="false">IF(Informed=0,N752,0)</f>
        <v>0</v>
      </c>
      <c r="AB752" s="51" t="e">
        <f aca="false">IF(Arterial=0,IF(Informed=1,1,0),0)</f>
        <v>#N/A</v>
      </c>
      <c r="AC752" s="51" t="e">
        <f aca="false">IF(Arterial=0,IF(Informed=0,1,0),0)</f>
        <v>#N/A</v>
      </c>
      <c r="AD752" s="51" t="e">
        <f aca="false">IF(Arterial=1,IF(Informed=1,1,0),0)</f>
        <v>#N/A</v>
      </c>
      <c r="AE752" s="51" t="e">
        <f aca="false">IF(Arterial=1,IF(Informed=0,1,0),0)</f>
        <v>#N/A</v>
      </c>
      <c r="AF752" s="44" t="e">
        <f aca="false">IF(AB752=1,(X752-G$1030)^2,0)</f>
        <v>#N/A</v>
      </c>
      <c r="AG752" s="44" t="e">
        <f aca="false">IF(AC752=1,(Y752-H$1030)^2,0)</f>
        <v>#N/A</v>
      </c>
      <c r="AH752" s="44" t="e">
        <f aca="false">IF(AD752=1,(Z752-I$1030)^2,0)</f>
        <v>#N/A</v>
      </c>
      <c r="AI752" s="44" t="e">
        <f aca="false">IF(AE752=1,(AA752-J$1030)^2,0)</f>
        <v>#N/A</v>
      </c>
    </row>
    <row r="753" customFormat="false" ht="12" hidden="false" customHeight="false" outlineLevel="0" collapsed="false">
      <c r="A753" s="29" t="n">
        <v>736</v>
      </c>
      <c r="B753" s="45" t="n">
        <f aca="true">IF(RAND()&lt;$D$8,1,0)</f>
        <v>1</v>
      </c>
      <c r="C753" s="34" t="n">
        <f aca="true">-LN(RAND())/$D$2</f>
        <v>0.486990282517084</v>
      </c>
      <c r="D753" s="46" t="n">
        <f aca="false">D752+C753</f>
        <v>1141.61998012565</v>
      </c>
      <c r="E753" s="47" t="e">
        <f aca="false">MAX($D$3,(1+P752-VLOOKUP(VALUE(D753),$J$18:$Q752,7,TRUE()))*$D$3)</f>
        <v>#N/A</v>
      </c>
      <c r="F753" s="47" t="e">
        <f aca="false">MAX($D$4,(1+Q752-VLOOKUP(VALUE(D753),$M$18:$Q752,5,TRUE()))*$D$4)</f>
        <v>#N/A</v>
      </c>
      <c r="G753" s="48" t="n">
        <v>0.5</v>
      </c>
      <c r="H753" s="46" t="e">
        <f aca="true">IF((B753=1),(IF((F753&lt;E753),1,(IF((F753=E753),(IF(RAND()&lt;G753,1,0)),0)))),(IF((RAND()&lt;G753),1,0)))</f>
        <v>#N/A</v>
      </c>
      <c r="I753" s="46" t="e">
        <f aca="true">IF((H753=1),0,$D$3+$D$5*(RAND()-0.5))</f>
        <v>#N/A</v>
      </c>
      <c r="J753" s="46" t="e">
        <f aca="false">I753+MAX(D753,J752)</f>
        <v>#N/A</v>
      </c>
      <c r="K753" s="46" t="e">
        <f aca="false">IF((H753=0),J753-D753,0)</f>
        <v>#N/A</v>
      </c>
      <c r="L753" s="46" t="e">
        <f aca="true">IF(($H753=0),0,$D$4+$D$5*(RAND()-0.5))</f>
        <v>#N/A</v>
      </c>
      <c r="M753" s="46" t="e">
        <f aca="false">L753+MAX(D753,M752)</f>
        <v>#N/A</v>
      </c>
      <c r="N753" s="46" t="e">
        <f aca="false">IF((H753=1),M753-D753,0)</f>
        <v>#N/A</v>
      </c>
      <c r="O753" s="29" t="n">
        <v>736</v>
      </c>
      <c r="P753" s="49" t="e">
        <f aca="false">IF((Arterial=0),P752+1,P752)</f>
        <v>#N/A</v>
      </c>
      <c r="Q753" s="49" t="e">
        <f aca="false">IF((Arterial=1),Q752+1,Q752)</f>
        <v>#N/A</v>
      </c>
      <c r="R753" s="50" t="n">
        <f aca="false">IF((RESET=1),0,R753+K753)</f>
        <v>0</v>
      </c>
      <c r="S753" s="19" t="n">
        <f aca="false">IF(RESET=1,0,S753+N753)</f>
        <v>0</v>
      </c>
      <c r="T753" s="0" t="n">
        <f aca="false">IF(RESET=1,0,T753+IF(H753=0,1,0))</f>
        <v>0</v>
      </c>
      <c r="U753" s="0" t="n">
        <f aca="false">IF(RESET=1,0,U753+H753)</f>
        <v>0</v>
      </c>
      <c r="V753" s="19" t="n">
        <f aca="false">R753/(T753+0.00001)</f>
        <v>0</v>
      </c>
      <c r="W753" s="19" t="n">
        <f aca="false">S753/(U753+0.0001)</f>
        <v>0</v>
      </c>
      <c r="X753" s="47" t="e">
        <f aca="false">IF(Informed=1,K753,0)</f>
        <v>#N/A</v>
      </c>
      <c r="Y753" s="47" t="n">
        <f aca="false">IF(Informed=0,K753,0)</f>
        <v>0</v>
      </c>
      <c r="Z753" s="47" t="e">
        <f aca="false">IF(Informed=1,N753,0)</f>
        <v>#N/A</v>
      </c>
      <c r="AA753" s="47" t="n">
        <f aca="false">IF(Informed=0,N753,0)</f>
        <v>0</v>
      </c>
      <c r="AB753" s="51" t="e">
        <f aca="false">IF(Arterial=0,IF(Informed=1,1,0),0)</f>
        <v>#N/A</v>
      </c>
      <c r="AC753" s="51" t="e">
        <f aca="false">IF(Arterial=0,IF(Informed=0,1,0),0)</f>
        <v>#N/A</v>
      </c>
      <c r="AD753" s="51" t="e">
        <f aca="false">IF(Arterial=1,IF(Informed=1,1,0),0)</f>
        <v>#N/A</v>
      </c>
      <c r="AE753" s="51" t="e">
        <f aca="false">IF(Arterial=1,IF(Informed=0,1,0),0)</f>
        <v>#N/A</v>
      </c>
      <c r="AF753" s="44" t="e">
        <f aca="false">IF(AB753=1,(X753-G$1030)^2,0)</f>
        <v>#N/A</v>
      </c>
      <c r="AG753" s="44" t="e">
        <f aca="false">IF(AC753=1,(Y753-H$1030)^2,0)</f>
        <v>#N/A</v>
      </c>
      <c r="AH753" s="44" t="e">
        <f aca="false">IF(AD753=1,(Z753-I$1030)^2,0)</f>
        <v>#N/A</v>
      </c>
      <c r="AI753" s="44" t="e">
        <f aca="false">IF(AE753=1,(AA753-J$1030)^2,0)</f>
        <v>#N/A</v>
      </c>
    </row>
    <row r="754" customFormat="false" ht="12" hidden="false" customHeight="false" outlineLevel="0" collapsed="false">
      <c r="A754" s="29" t="n">
        <v>737</v>
      </c>
      <c r="B754" s="45" t="n">
        <f aca="true">IF(RAND()&lt;$D$8,1,0)</f>
        <v>1</v>
      </c>
      <c r="C754" s="34" t="n">
        <f aca="true">-LN(RAND())/$D$2</f>
        <v>0.438918505629369</v>
      </c>
      <c r="D754" s="46" t="n">
        <f aca="false">D753+C754</f>
        <v>1142.05889863127</v>
      </c>
      <c r="E754" s="47" t="e">
        <f aca="false">MAX($D$3,(1+P753-VLOOKUP(VALUE(D754),$J$18:$Q753,7,TRUE()))*$D$3)</f>
        <v>#N/A</v>
      </c>
      <c r="F754" s="47" t="e">
        <f aca="false">MAX($D$4,(1+Q753-VLOOKUP(VALUE(D754),$M$18:$Q753,5,TRUE()))*$D$4)</f>
        <v>#N/A</v>
      </c>
      <c r="G754" s="48" t="n">
        <v>0.5</v>
      </c>
      <c r="H754" s="46" t="e">
        <f aca="true">IF((B754=1),(IF((F754&lt;E754),1,(IF((F754=E754),(IF(RAND()&lt;G754,1,0)),0)))),(IF((RAND()&lt;G754),1,0)))</f>
        <v>#N/A</v>
      </c>
      <c r="I754" s="46" t="e">
        <f aca="true">IF((H754=1),0,$D$3+$D$5*(RAND()-0.5))</f>
        <v>#N/A</v>
      </c>
      <c r="J754" s="46" t="e">
        <f aca="false">I754+MAX(D754,J753)</f>
        <v>#N/A</v>
      </c>
      <c r="K754" s="46" t="e">
        <f aca="false">IF((H754=0),J754-D754,0)</f>
        <v>#N/A</v>
      </c>
      <c r="L754" s="46" t="e">
        <f aca="true">IF(($H754=0),0,$D$4+$D$5*(RAND()-0.5))</f>
        <v>#N/A</v>
      </c>
      <c r="M754" s="46" t="e">
        <f aca="false">L754+MAX(D754,M753)</f>
        <v>#N/A</v>
      </c>
      <c r="N754" s="46" t="e">
        <f aca="false">IF((H754=1),M754-D754,0)</f>
        <v>#N/A</v>
      </c>
      <c r="O754" s="29" t="n">
        <v>737</v>
      </c>
      <c r="P754" s="49" t="e">
        <f aca="false">IF((Arterial=0),P753+1,P753)</f>
        <v>#N/A</v>
      </c>
      <c r="Q754" s="49" t="e">
        <f aca="false">IF((Arterial=1),Q753+1,Q753)</f>
        <v>#N/A</v>
      </c>
      <c r="R754" s="50" t="n">
        <f aca="false">IF((RESET=1),0,R754+K754)</f>
        <v>0</v>
      </c>
      <c r="S754" s="19" t="n">
        <f aca="false">IF(RESET=1,0,S754+N754)</f>
        <v>0</v>
      </c>
      <c r="T754" s="0" t="n">
        <f aca="false">IF(RESET=1,0,T754+IF(H754=0,1,0))</f>
        <v>0</v>
      </c>
      <c r="U754" s="0" t="n">
        <f aca="false">IF(RESET=1,0,U754+H754)</f>
        <v>0</v>
      </c>
      <c r="V754" s="19" t="n">
        <f aca="false">R754/(T754+0.00001)</f>
        <v>0</v>
      </c>
      <c r="W754" s="19" t="n">
        <f aca="false">S754/(U754+0.0001)</f>
        <v>0</v>
      </c>
      <c r="X754" s="47" t="e">
        <f aca="false">IF(Informed=1,K754,0)</f>
        <v>#N/A</v>
      </c>
      <c r="Y754" s="47" t="n">
        <f aca="false">IF(Informed=0,K754,0)</f>
        <v>0</v>
      </c>
      <c r="Z754" s="47" t="e">
        <f aca="false">IF(Informed=1,N754,0)</f>
        <v>#N/A</v>
      </c>
      <c r="AA754" s="47" t="n">
        <f aca="false">IF(Informed=0,N754,0)</f>
        <v>0</v>
      </c>
      <c r="AB754" s="51" t="e">
        <f aca="false">IF(Arterial=0,IF(Informed=1,1,0),0)</f>
        <v>#N/A</v>
      </c>
      <c r="AC754" s="51" t="e">
        <f aca="false">IF(Arterial=0,IF(Informed=0,1,0),0)</f>
        <v>#N/A</v>
      </c>
      <c r="AD754" s="51" t="e">
        <f aca="false">IF(Arterial=1,IF(Informed=1,1,0),0)</f>
        <v>#N/A</v>
      </c>
      <c r="AE754" s="51" t="e">
        <f aca="false">IF(Arterial=1,IF(Informed=0,1,0),0)</f>
        <v>#N/A</v>
      </c>
      <c r="AF754" s="44" t="e">
        <f aca="false">IF(AB754=1,(X754-G$1030)^2,0)</f>
        <v>#N/A</v>
      </c>
      <c r="AG754" s="44" t="e">
        <f aca="false">IF(AC754=1,(Y754-H$1030)^2,0)</f>
        <v>#N/A</v>
      </c>
      <c r="AH754" s="44" t="e">
        <f aca="false">IF(AD754=1,(Z754-I$1030)^2,0)</f>
        <v>#N/A</v>
      </c>
      <c r="AI754" s="44" t="e">
        <f aca="false">IF(AE754=1,(AA754-J$1030)^2,0)</f>
        <v>#N/A</v>
      </c>
    </row>
    <row r="755" customFormat="false" ht="12" hidden="false" customHeight="false" outlineLevel="0" collapsed="false">
      <c r="A755" s="29" t="n">
        <v>738</v>
      </c>
      <c r="B755" s="45" t="n">
        <f aca="true">IF(RAND()&lt;$D$8,1,0)</f>
        <v>1</v>
      </c>
      <c r="C755" s="34" t="n">
        <f aca="true">-LN(RAND())/$D$2</f>
        <v>1.35488255762879</v>
      </c>
      <c r="D755" s="46" t="n">
        <f aca="false">D754+C755</f>
        <v>1143.4137811889</v>
      </c>
      <c r="E755" s="47" t="e">
        <f aca="false">MAX($D$3,(1+P754-VLOOKUP(VALUE(D755),$J$18:$Q754,7,TRUE()))*$D$3)</f>
        <v>#N/A</v>
      </c>
      <c r="F755" s="47" t="e">
        <f aca="false">MAX($D$4,(1+Q754-VLOOKUP(VALUE(D755),$M$18:$Q754,5,TRUE()))*$D$4)</f>
        <v>#N/A</v>
      </c>
      <c r="G755" s="48" t="n">
        <v>0.5</v>
      </c>
      <c r="H755" s="46" t="e">
        <f aca="true">IF((B755=1),(IF((F755&lt;E755),1,(IF((F755=E755),(IF(RAND()&lt;G755,1,0)),0)))),(IF((RAND()&lt;G755),1,0)))</f>
        <v>#N/A</v>
      </c>
      <c r="I755" s="46" t="e">
        <f aca="true">IF((H755=1),0,$D$3+$D$5*(RAND()-0.5))</f>
        <v>#N/A</v>
      </c>
      <c r="J755" s="46" t="e">
        <f aca="false">I755+MAX(D755,J754)</f>
        <v>#N/A</v>
      </c>
      <c r="K755" s="46" t="e">
        <f aca="false">IF((H755=0),J755-D755,0)</f>
        <v>#N/A</v>
      </c>
      <c r="L755" s="46" t="e">
        <f aca="true">IF(($H755=0),0,$D$4+$D$5*(RAND()-0.5))</f>
        <v>#N/A</v>
      </c>
      <c r="M755" s="46" t="e">
        <f aca="false">L755+MAX(D755,M754)</f>
        <v>#N/A</v>
      </c>
      <c r="N755" s="46" t="e">
        <f aca="false">IF((H755=1),M755-D755,0)</f>
        <v>#N/A</v>
      </c>
      <c r="O755" s="29" t="n">
        <v>738</v>
      </c>
      <c r="P755" s="49" t="e">
        <f aca="false">IF((Arterial=0),P754+1,P754)</f>
        <v>#N/A</v>
      </c>
      <c r="Q755" s="49" t="e">
        <f aca="false">IF((Arterial=1),Q754+1,Q754)</f>
        <v>#N/A</v>
      </c>
      <c r="R755" s="50" t="n">
        <f aca="false">IF((RESET=1),0,R755+K755)</f>
        <v>0</v>
      </c>
      <c r="S755" s="19" t="n">
        <f aca="false">IF(RESET=1,0,S755+N755)</f>
        <v>0</v>
      </c>
      <c r="T755" s="0" t="n">
        <f aca="false">IF(RESET=1,0,T755+IF(H755=0,1,0))</f>
        <v>0</v>
      </c>
      <c r="U755" s="0" t="n">
        <f aca="false">IF(RESET=1,0,U755+H755)</f>
        <v>0</v>
      </c>
      <c r="V755" s="19" t="n">
        <f aca="false">R755/(T755+0.00001)</f>
        <v>0</v>
      </c>
      <c r="W755" s="19" t="n">
        <f aca="false">S755/(U755+0.0001)</f>
        <v>0</v>
      </c>
      <c r="X755" s="47" t="e">
        <f aca="false">IF(Informed=1,K755,0)</f>
        <v>#N/A</v>
      </c>
      <c r="Y755" s="47" t="n">
        <f aca="false">IF(Informed=0,K755,0)</f>
        <v>0</v>
      </c>
      <c r="Z755" s="47" t="e">
        <f aca="false">IF(Informed=1,N755,0)</f>
        <v>#N/A</v>
      </c>
      <c r="AA755" s="47" t="n">
        <f aca="false">IF(Informed=0,N755,0)</f>
        <v>0</v>
      </c>
      <c r="AB755" s="51" t="e">
        <f aca="false">IF(Arterial=0,IF(Informed=1,1,0),0)</f>
        <v>#N/A</v>
      </c>
      <c r="AC755" s="51" t="e">
        <f aca="false">IF(Arterial=0,IF(Informed=0,1,0),0)</f>
        <v>#N/A</v>
      </c>
      <c r="AD755" s="51" t="e">
        <f aca="false">IF(Arterial=1,IF(Informed=1,1,0),0)</f>
        <v>#N/A</v>
      </c>
      <c r="AE755" s="51" t="e">
        <f aca="false">IF(Arterial=1,IF(Informed=0,1,0),0)</f>
        <v>#N/A</v>
      </c>
      <c r="AF755" s="44" t="e">
        <f aca="false">IF(AB755=1,(X755-G$1030)^2,0)</f>
        <v>#N/A</v>
      </c>
      <c r="AG755" s="44" t="e">
        <f aca="false">IF(AC755=1,(Y755-H$1030)^2,0)</f>
        <v>#N/A</v>
      </c>
      <c r="AH755" s="44" t="e">
        <f aca="false">IF(AD755=1,(Z755-I$1030)^2,0)</f>
        <v>#N/A</v>
      </c>
      <c r="AI755" s="44" t="e">
        <f aca="false">IF(AE755=1,(AA755-J$1030)^2,0)</f>
        <v>#N/A</v>
      </c>
    </row>
    <row r="756" customFormat="false" ht="12" hidden="false" customHeight="false" outlineLevel="0" collapsed="false">
      <c r="A756" s="29" t="n">
        <v>739</v>
      </c>
      <c r="B756" s="45" t="n">
        <f aca="true">IF(RAND()&lt;$D$8,1,0)</f>
        <v>1</v>
      </c>
      <c r="C756" s="34" t="n">
        <f aca="true">-LN(RAND())/$D$2</f>
        <v>2.62347009916881</v>
      </c>
      <c r="D756" s="46" t="n">
        <f aca="false">D755+C756</f>
        <v>1146.03725128807</v>
      </c>
      <c r="E756" s="47" t="e">
        <f aca="false">MAX($D$3,(1+P755-VLOOKUP(VALUE(D756),$J$18:$Q755,7,TRUE()))*$D$3)</f>
        <v>#N/A</v>
      </c>
      <c r="F756" s="47" t="e">
        <f aca="false">MAX($D$4,(1+Q755-VLOOKUP(VALUE(D756),$M$18:$Q755,5,TRUE()))*$D$4)</f>
        <v>#N/A</v>
      </c>
      <c r="G756" s="48" t="n">
        <v>0.5</v>
      </c>
      <c r="H756" s="46" t="e">
        <f aca="true">IF((B756=1),(IF((F756&lt;E756),1,(IF((F756=E756),(IF(RAND()&lt;G756,1,0)),0)))),(IF((RAND()&lt;G756),1,0)))</f>
        <v>#N/A</v>
      </c>
      <c r="I756" s="46" t="e">
        <f aca="true">IF((H756=1),0,$D$3+$D$5*(RAND()-0.5))</f>
        <v>#N/A</v>
      </c>
      <c r="J756" s="46" t="e">
        <f aca="false">I756+MAX(D756,J755)</f>
        <v>#N/A</v>
      </c>
      <c r="K756" s="46" t="e">
        <f aca="false">IF((H756=0),J756-D756,0)</f>
        <v>#N/A</v>
      </c>
      <c r="L756" s="46" t="e">
        <f aca="true">IF(($H756=0),0,$D$4+$D$5*(RAND()-0.5))</f>
        <v>#N/A</v>
      </c>
      <c r="M756" s="46" t="e">
        <f aca="false">L756+MAX(D756,M755)</f>
        <v>#N/A</v>
      </c>
      <c r="N756" s="46" t="e">
        <f aca="false">IF((H756=1),M756-D756,0)</f>
        <v>#N/A</v>
      </c>
      <c r="O756" s="29" t="n">
        <v>739</v>
      </c>
      <c r="P756" s="49" t="e">
        <f aca="false">IF((Arterial=0),P755+1,P755)</f>
        <v>#N/A</v>
      </c>
      <c r="Q756" s="49" t="e">
        <f aca="false">IF((Arterial=1),Q755+1,Q755)</f>
        <v>#N/A</v>
      </c>
      <c r="R756" s="50" t="n">
        <f aca="false">IF((RESET=1),0,R756+K756)</f>
        <v>0</v>
      </c>
      <c r="S756" s="19" t="n">
        <f aca="false">IF(RESET=1,0,S756+N756)</f>
        <v>0</v>
      </c>
      <c r="T756" s="0" t="n">
        <f aca="false">IF(RESET=1,0,T756+IF(H756=0,1,0))</f>
        <v>0</v>
      </c>
      <c r="U756" s="0" t="n">
        <f aca="false">IF(RESET=1,0,U756+H756)</f>
        <v>0</v>
      </c>
      <c r="V756" s="19" t="n">
        <f aca="false">R756/(T756+0.00001)</f>
        <v>0</v>
      </c>
      <c r="W756" s="19" t="n">
        <f aca="false">S756/(U756+0.0001)</f>
        <v>0</v>
      </c>
      <c r="X756" s="47" t="e">
        <f aca="false">IF(Informed=1,K756,0)</f>
        <v>#N/A</v>
      </c>
      <c r="Y756" s="47" t="n">
        <f aca="false">IF(Informed=0,K756,0)</f>
        <v>0</v>
      </c>
      <c r="Z756" s="47" t="e">
        <f aca="false">IF(Informed=1,N756,0)</f>
        <v>#N/A</v>
      </c>
      <c r="AA756" s="47" t="n">
        <f aca="false">IF(Informed=0,N756,0)</f>
        <v>0</v>
      </c>
      <c r="AB756" s="51" t="e">
        <f aca="false">IF(Arterial=0,IF(Informed=1,1,0),0)</f>
        <v>#N/A</v>
      </c>
      <c r="AC756" s="51" t="e">
        <f aca="false">IF(Arterial=0,IF(Informed=0,1,0),0)</f>
        <v>#N/A</v>
      </c>
      <c r="AD756" s="51" t="e">
        <f aca="false">IF(Arterial=1,IF(Informed=1,1,0),0)</f>
        <v>#N/A</v>
      </c>
      <c r="AE756" s="51" t="e">
        <f aca="false">IF(Arterial=1,IF(Informed=0,1,0),0)</f>
        <v>#N/A</v>
      </c>
      <c r="AF756" s="44" t="e">
        <f aca="false">IF(AB756=1,(X756-G$1030)^2,0)</f>
        <v>#N/A</v>
      </c>
      <c r="AG756" s="44" t="e">
        <f aca="false">IF(AC756=1,(Y756-H$1030)^2,0)</f>
        <v>#N/A</v>
      </c>
      <c r="AH756" s="44" t="e">
        <f aca="false">IF(AD756=1,(Z756-I$1030)^2,0)</f>
        <v>#N/A</v>
      </c>
      <c r="AI756" s="44" t="e">
        <f aca="false">IF(AE756=1,(AA756-J$1030)^2,0)</f>
        <v>#N/A</v>
      </c>
    </row>
    <row r="757" customFormat="false" ht="12" hidden="false" customHeight="false" outlineLevel="0" collapsed="false">
      <c r="A757" s="29" t="n">
        <v>740</v>
      </c>
      <c r="B757" s="45" t="n">
        <f aca="true">IF(RAND()&lt;$D$8,1,0)</f>
        <v>1</v>
      </c>
      <c r="C757" s="34" t="n">
        <f aca="true">-LN(RAND())/$D$2</f>
        <v>0.00816694068357563</v>
      </c>
      <c r="D757" s="46" t="n">
        <f aca="false">D756+C757</f>
        <v>1146.04541822876</v>
      </c>
      <c r="E757" s="47" t="e">
        <f aca="false">MAX($D$3,(1+P756-VLOOKUP(VALUE(D757),$J$18:$Q756,7,TRUE()))*$D$3)</f>
        <v>#N/A</v>
      </c>
      <c r="F757" s="47" t="e">
        <f aca="false">MAX($D$4,(1+Q756-VLOOKUP(VALUE(D757),$M$18:$Q756,5,TRUE()))*$D$4)</f>
        <v>#N/A</v>
      </c>
      <c r="G757" s="48" t="n">
        <v>0.5</v>
      </c>
      <c r="H757" s="46" t="e">
        <f aca="true">IF((B757=1),(IF((F757&lt;E757),1,(IF((F757=E757),(IF(RAND()&lt;G757,1,0)),0)))),(IF((RAND()&lt;G757),1,0)))</f>
        <v>#N/A</v>
      </c>
      <c r="I757" s="46" t="e">
        <f aca="true">IF((H757=1),0,$D$3+$D$5*(RAND()-0.5))</f>
        <v>#N/A</v>
      </c>
      <c r="J757" s="46" t="e">
        <f aca="false">I757+MAX(D757,J756)</f>
        <v>#N/A</v>
      </c>
      <c r="K757" s="46" t="e">
        <f aca="false">IF((H757=0),J757-D757,0)</f>
        <v>#N/A</v>
      </c>
      <c r="L757" s="46" t="e">
        <f aca="true">IF(($H757=0),0,$D$4+$D$5*(RAND()-0.5))</f>
        <v>#N/A</v>
      </c>
      <c r="M757" s="46" t="e">
        <f aca="false">L757+MAX(D757,M756)</f>
        <v>#N/A</v>
      </c>
      <c r="N757" s="46" t="e">
        <f aca="false">IF((H757=1),M757-D757,0)</f>
        <v>#N/A</v>
      </c>
      <c r="O757" s="29" t="n">
        <v>740</v>
      </c>
      <c r="P757" s="49" t="e">
        <f aca="false">IF((Arterial=0),P756+1,P756)</f>
        <v>#N/A</v>
      </c>
      <c r="Q757" s="49" t="e">
        <f aca="false">IF((Arterial=1),Q756+1,Q756)</f>
        <v>#N/A</v>
      </c>
      <c r="R757" s="50" t="n">
        <f aca="false">IF((RESET=1),0,R757+K757)</f>
        <v>0</v>
      </c>
      <c r="S757" s="19" t="n">
        <f aca="false">IF(RESET=1,0,S757+N757)</f>
        <v>0</v>
      </c>
      <c r="T757" s="0" t="n">
        <f aca="false">IF(RESET=1,0,T757+IF(H757=0,1,0))</f>
        <v>0</v>
      </c>
      <c r="U757" s="0" t="n">
        <f aca="false">IF(RESET=1,0,U757+H757)</f>
        <v>0</v>
      </c>
      <c r="V757" s="19" t="n">
        <f aca="false">R757/(T757+0.00001)</f>
        <v>0</v>
      </c>
      <c r="W757" s="19" t="n">
        <f aca="false">S757/(U757+0.0001)</f>
        <v>0</v>
      </c>
      <c r="X757" s="47" t="e">
        <f aca="false">IF(Informed=1,K757,0)</f>
        <v>#N/A</v>
      </c>
      <c r="Y757" s="47" t="n">
        <f aca="false">IF(Informed=0,K757,0)</f>
        <v>0</v>
      </c>
      <c r="Z757" s="47" t="e">
        <f aca="false">IF(Informed=1,N757,0)</f>
        <v>#N/A</v>
      </c>
      <c r="AA757" s="47" t="n">
        <f aca="false">IF(Informed=0,N757,0)</f>
        <v>0</v>
      </c>
      <c r="AB757" s="51" t="e">
        <f aca="false">IF(Arterial=0,IF(Informed=1,1,0),0)</f>
        <v>#N/A</v>
      </c>
      <c r="AC757" s="51" t="e">
        <f aca="false">IF(Arterial=0,IF(Informed=0,1,0),0)</f>
        <v>#N/A</v>
      </c>
      <c r="AD757" s="51" t="e">
        <f aca="false">IF(Arterial=1,IF(Informed=1,1,0),0)</f>
        <v>#N/A</v>
      </c>
      <c r="AE757" s="51" t="e">
        <f aca="false">IF(Arterial=1,IF(Informed=0,1,0),0)</f>
        <v>#N/A</v>
      </c>
      <c r="AF757" s="44" t="e">
        <f aca="false">IF(AB757=1,(X757-G$1030)^2,0)</f>
        <v>#N/A</v>
      </c>
      <c r="AG757" s="44" t="e">
        <f aca="false">IF(AC757=1,(Y757-H$1030)^2,0)</f>
        <v>#N/A</v>
      </c>
      <c r="AH757" s="44" t="e">
        <f aca="false">IF(AD757=1,(Z757-I$1030)^2,0)</f>
        <v>#N/A</v>
      </c>
      <c r="AI757" s="44" t="e">
        <f aca="false">IF(AE757=1,(AA757-J$1030)^2,0)</f>
        <v>#N/A</v>
      </c>
    </row>
    <row r="758" customFormat="false" ht="12" hidden="false" customHeight="false" outlineLevel="0" collapsed="false">
      <c r="A758" s="29" t="n">
        <v>741</v>
      </c>
      <c r="B758" s="45" t="n">
        <f aca="true">IF(RAND()&lt;$D$8,1,0)</f>
        <v>1</v>
      </c>
      <c r="C758" s="34" t="n">
        <f aca="true">-LN(RAND())/$D$2</f>
        <v>1.91500083900056</v>
      </c>
      <c r="D758" s="46" t="n">
        <f aca="false">D757+C758</f>
        <v>1147.96041906776</v>
      </c>
      <c r="E758" s="47" t="e">
        <f aca="false">MAX($D$3,(1+P757-VLOOKUP(VALUE(D758),$J$18:$Q757,7,TRUE()))*$D$3)</f>
        <v>#N/A</v>
      </c>
      <c r="F758" s="47" t="e">
        <f aca="false">MAX($D$4,(1+Q757-VLOOKUP(VALUE(D758),$M$18:$Q757,5,TRUE()))*$D$4)</f>
        <v>#N/A</v>
      </c>
      <c r="G758" s="48" t="n">
        <v>0.5</v>
      </c>
      <c r="H758" s="46" t="e">
        <f aca="true">IF((B758=1),(IF((F758&lt;E758),1,(IF((F758=E758),(IF(RAND()&lt;G758,1,0)),0)))),(IF((RAND()&lt;G758),1,0)))</f>
        <v>#N/A</v>
      </c>
      <c r="I758" s="46" t="e">
        <f aca="true">IF((H758=1),0,$D$3+$D$5*(RAND()-0.5))</f>
        <v>#N/A</v>
      </c>
      <c r="J758" s="46" t="e">
        <f aca="false">I758+MAX(D758,J757)</f>
        <v>#N/A</v>
      </c>
      <c r="K758" s="46" t="e">
        <f aca="false">IF((H758=0),J758-D758,0)</f>
        <v>#N/A</v>
      </c>
      <c r="L758" s="46" t="e">
        <f aca="true">IF(($H758=0),0,$D$4+$D$5*(RAND()-0.5))</f>
        <v>#N/A</v>
      </c>
      <c r="M758" s="46" t="e">
        <f aca="false">L758+MAX(D758,M757)</f>
        <v>#N/A</v>
      </c>
      <c r="N758" s="46" t="e">
        <f aca="false">IF((H758=1),M758-D758,0)</f>
        <v>#N/A</v>
      </c>
      <c r="O758" s="29" t="n">
        <v>741</v>
      </c>
      <c r="P758" s="49" t="e">
        <f aca="false">IF((Arterial=0),P757+1,P757)</f>
        <v>#N/A</v>
      </c>
      <c r="Q758" s="49" t="e">
        <f aca="false">IF((Arterial=1),Q757+1,Q757)</f>
        <v>#N/A</v>
      </c>
      <c r="R758" s="50" t="n">
        <f aca="false">IF((RESET=1),0,R758+K758)</f>
        <v>0</v>
      </c>
      <c r="S758" s="19" t="n">
        <f aca="false">IF(RESET=1,0,S758+N758)</f>
        <v>0</v>
      </c>
      <c r="T758" s="0" t="n">
        <f aca="false">IF(RESET=1,0,T758+IF(H758=0,1,0))</f>
        <v>0</v>
      </c>
      <c r="U758" s="0" t="n">
        <f aca="false">IF(RESET=1,0,U758+H758)</f>
        <v>0</v>
      </c>
      <c r="V758" s="19" t="n">
        <f aca="false">R758/(T758+0.00001)</f>
        <v>0</v>
      </c>
      <c r="W758" s="19" t="n">
        <f aca="false">S758/(U758+0.0001)</f>
        <v>0</v>
      </c>
      <c r="X758" s="47" t="e">
        <f aca="false">IF(Informed=1,K758,0)</f>
        <v>#N/A</v>
      </c>
      <c r="Y758" s="47" t="n">
        <f aca="false">IF(Informed=0,K758,0)</f>
        <v>0</v>
      </c>
      <c r="Z758" s="47" t="e">
        <f aca="false">IF(Informed=1,N758,0)</f>
        <v>#N/A</v>
      </c>
      <c r="AA758" s="47" t="n">
        <f aca="false">IF(Informed=0,N758,0)</f>
        <v>0</v>
      </c>
      <c r="AB758" s="51" t="e">
        <f aca="false">IF(Arterial=0,IF(Informed=1,1,0),0)</f>
        <v>#N/A</v>
      </c>
      <c r="AC758" s="51" t="e">
        <f aca="false">IF(Arterial=0,IF(Informed=0,1,0),0)</f>
        <v>#N/A</v>
      </c>
      <c r="AD758" s="51" t="e">
        <f aca="false">IF(Arterial=1,IF(Informed=1,1,0),0)</f>
        <v>#N/A</v>
      </c>
      <c r="AE758" s="51" t="e">
        <f aca="false">IF(Arterial=1,IF(Informed=0,1,0),0)</f>
        <v>#N/A</v>
      </c>
      <c r="AF758" s="44" t="e">
        <f aca="false">IF(AB758=1,(X758-G$1030)^2,0)</f>
        <v>#N/A</v>
      </c>
      <c r="AG758" s="44" t="e">
        <f aca="false">IF(AC758=1,(Y758-H$1030)^2,0)</f>
        <v>#N/A</v>
      </c>
      <c r="AH758" s="44" t="e">
        <f aca="false">IF(AD758=1,(Z758-I$1030)^2,0)</f>
        <v>#N/A</v>
      </c>
      <c r="AI758" s="44" t="e">
        <f aca="false">IF(AE758=1,(AA758-J$1030)^2,0)</f>
        <v>#N/A</v>
      </c>
    </row>
    <row r="759" customFormat="false" ht="12" hidden="false" customHeight="false" outlineLevel="0" collapsed="false">
      <c r="A759" s="29" t="n">
        <v>742</v>
      </c>
      <c r="B759" s="45" t="n">
        <f aca="true">IF(RAND()&lt;$D$8,1,0)</f>
        <v>1</v>
      </c>
      <c r="C759" s="34" t="n">
        <f aca="true">-LN(RAND())/$D$2</f>
        <v>0.352466560282447</v>
      </c>
      <c r="D759" s="46" t="n">
        <f aca="false">D758+C759</f>
        <v>1148.31288562804</v>
      </c>
      <c r="E759" s="47" t="e">
        <f aca="false">MAX($D$3,(1+P758-VLOOKUP(VALUE(D759),$J$18:$Q758,7,TRUE()))*$D$3)</f>
        <v>#N/A</v>
      </c>
      <c r="F759" s="47" t="e">
        <f aca="false">MAX($D$4,(1+Q758-VLOOKUP(VALUE(D759),$M$18:$Q758,5,TRUE()))*$D$4)</f>
        <v>#N/A</v>
      </c>
      <c r="G759" s="48" t="n">
        <v>0.5</v>
      </c>
      <c r="H759" s="46" t="e">
        <f aca="true">IF((B759=1),(IF((F759&lt;E759),1,(IF((F759=E759),(IF(RAND()&lt;G759,1,0)),0)))),(IF((RAND()&lt;G759),1,0)))</f>
        <v>#N/A</v>
      </c>
      <c r="I759" s="46" t="e">
        <f aca="true">IF((H759=1),0,$D$3+$D$5*(RAND()-0.5))</f>
        <v>#N/A</v>
      </c>
      <c r="J759" s="46" t="e">
        <f aca="false">I759+MAX(D759,J758)</f>
        <v>#N/A</v>
      </c>
      <c r="K759" s="46" t="e">
        <f aca="false">IF((H759=0),J759-D759,0)</f>
        <v>#N/A</v>
      </c>
      <c r="L759" s="46" t="e">
        <f aca="true">IF(($H759=0),0,$D$4+$D$5*(RAND()-0.5))</f>
        <v>#N/A</v>
      </c>
      <c r="M759" s="46" t="e">
        <f aca="false">L759+MAX(D759,M758)</f>
        <v>#N/A</v>
      </c>
      <c r="N759" s="46" t="e">
        <f aca="false">IF((H759=1),M759-D759,0)</f>
        <v>#N/A</v>
      </c>
      <c r="O759" s="29" t="n">
        <v>742</v>
      </c>
      <c r="P759" s="49" t="e">
        <f aca="false">IF((Arterial=0),P758+1,P758)</f>
        <v>#N/A</v>
      </c>
      <c r="Q759" s="49" t="e">
        <f aca="false">IF((Arterial=1),Q758+1,Q758)</f>
        <v>#N/A</v>
      </c>
      <c r="R759" s="50" t="n">
        <f aca="false">IF((RESET=1),0,R759+K759)</f>
        <v>0</v>
      </c>
      <c r="S759" s="19" t="n">
        <f aca="false">IF(RESET=1,0,S759+N759)</f>
        <v>0</v>
      </c>
      <c r="T759" s="0" t="n">
        <f aca="false">IF(RESET=1,0,T759+IF(H759=0,1,0))</f>
        <v>0</v>
      </c>
      <c r="U759" s="0" t="n">
        <f aca="false">IF(RESET=1,0,U759+H759)</f>
        <v>0</v>
      </c>
      <c r="V759" s="19" t="n">
        <f aca="false">R759/(T759+0.00001)</f>
        <v>0</v>
      </c>
      <c r="W759" s="19" t="n">
        <f aca="false">S759/(U759+0.0001)</f>
        <v>0</v>
      </c>
      <c r="X759" s="47" t="e">
        <f aca="false">IF(Informed=1,K759,0)</f>
        <v>#N/A</v>
      </c>
      <c r="Y759" s="47" t="n">
        <f aca="false">IF(Informed=0,K759,0)</f>
        <v>0</v>
      </c>
      <c r="Z759" s="47" t="e">
        <f aca="false">IF(Informed=1,N759,0)</f>
        <v>#N/A</v>
      </c>
      <c r="AA759" s="47" t="n">
        <f aca="false">IF(Informed=0,N759,0)</f>
        <v>0</v>
      </c>
      <c r="AB759" s="51" t="e">
        <f aca="false">IF(Arterial=0,IF(Informed=1,1,0),0)</f>
        <v>#N/A</v>
      </c>
      <c r="AC759" s="51" t="e">
        <f aca="false">IF(Arterial=0,IF(Informed=0,1,0),0)</f>
        <v>#N/A</v>
      </c>
      <c r="AD759" s="51" t="e">
        <f aca="false">IF(Arterial=1,IF(Informed=1,1,0),0)</f>
        <v>#N/A</v>
      </c>
      <c r="AE759" s="51" t="e">
        <f aca="false">IF(Arterial=1,IF(Informed=0,1,0),0)</f>
        <v>#N/A</v>
      </c>
      <c r="AF759" s="44" t="e">
        <f aca="false">IF(AB759=1,(X759-G$1030)^2,0)</f>
        <v>#N/A</v>
      </c>
      <c r="AG759" s="44" t="e">
        <f aca="false">IF(AC759=1,(Y759-H$1030)^2,0)</f>
        <v>#N/A</v>
      </c>
      <c r="AH759" s="44" t="e">
        <f aca="false">IF(AD759=1,(Z759-I$1030)^2,0)</f>
        <v>#N/A</v>
      </c>
      <c r="AI759" s="44" t="e">
        <f aca="false">IF(AE759=1,(AA759-J$1030)^2,0)</f>
        <v>#N/A</v>
      </c>
    </row>
    <row r="760" customFormat="false" ht="12" hidden="false" customHeight="false" outlineLevel="0" collapsed="false">
      <c r="A760" s="29" t="n">
        <v>743</v>
      </c>
      <c r="B760" s="45" t="n">
        <f aca="true">IF(RAND()&lt;$D$8,1,0)</f>
        <v>1</v>
      </c>
      <c r="C760" s="34" t="n">
        <f aca="true">-LN(RAND())/$D$2</f>
        <v>1.17452282867828</v>
      </c>
      <c r="D760" s="46" t="n">
        <f aca="false">D759+C760</f>
        <v>1149.48740845672</v>
      </c>
      <c r="E760" s="47" t="e">
        <f aca="false">MAX($D$3,(1+P759-VLOOKUP(VALUE(D760),$J$18:$Q759,7,TRUE()))*$D$3)</f>
        <v>#N/A</v>
      </c>
      <c r="F760" s="47" t="e">
        <f aca="false">MAX($D$4,(1+Q759-VLOOKUP(VALUE(D760),$M$18:$Q759,5,TRUE()))*$D$4)</f>
        <v>#N/A</v>
      </c>
      <c r="G760" s="48" t="n">
        <v>0.5</v>
      </c>
      <c r="H760" s="46" t="e">
        <f aca="true">IF((B760=1),(IF((F760&lt;E760),1,(IF((F760=E760),(IF(RAND()&lt;G760,1,0)),0)))),(IF((RAND()&lt;G760),1,0)))</f>
        <v>#N/A</v>
      </c>
      <c r="I760" s="46" t="e">
        <f aca="true">IF((H760=1),0,$D$3+$D$5*(RAND()-0.5))</f>
        <v>#N/A</v>
      </c>
      <c r="J760" s="46" t="e">
        <f aca="false">I760+MAX(D760,J759)</f>
        <v>#N/A</v>
      </c>
      <c r="K760" s="46" t="e">
        <f aca="false">IF((H760=0),J760-D760,0)</f>
        <v>#N/A</v>
      </c>
      <c r="L760" s="46" t="e">
        <f aca="true">IF(($H760=0),0,$D$4+$D$5*(RAND()-0.5))</f>
        <v>#N/A</v>
      </c>
      <c r="M760" s="46" t="e">
        <f aca="false">L760+MAX(D760,M759)</f>
        <v>#N/A</v>
      </c>
      <c r="N760" s="46" t="e">
        <f aca="false">IF((H760=1),M760-D760,0)</f>
        <v>#N/A</v>
      </c>
      <c r="O760" s="29" t="n">
        <v>743</v>
      </c>
      <c r="P760" s="49" t="e">
        <f aca="false">IF((Arterial=0),P759+1,P759)</f>
        <v>#N/A</v>
      </c>
      <c r="Q760" s="49" t="e">
        <f aca="false">IF((Arterial=1),Q759+1,Q759)</f>
        <v>#N/A</v>
      </c>
      <c r="R760" s="50" t="n">
        <f aca="false">IF((RESET=1),0,R760+K760)</f>
        <v>0</v>
      </c>
      <c r="S760" s="19" t="n">
        <f aca="false">IF(RESET=1,0,S760+N760)</f>
        <v>0</v>
      </c>
      <c r="T760" s="0" t="n">
        <f aca="false">IF(RESET=1,0,T760+IF(H760=0,1,0))</f>
        <v>0</v>
      </c>
      <c r="U760" s="0" t="n">
        <f aca="false">IF(RESET=1,0,U760+H760)</f>
        <v>0</v>
      </c>
      <c r="V760" s="19" t="n">
        <f aca="false">R760/(T760+0.00001)</f>
        <v>0</v>
      </c>
      <c r="W760" s="19" t="n">
        <f aca="false">S760/(U760+0.0001)</f>
        <v>0</v>
      </c>
      <c r="X760" s="47" t="e">
        <f aca="false">IF(Informed=1,K760,0)</f>
        <v>#N/A</v>
      </c>
      <c r="Y760" s="47" t="n">
        <f aca="false">IF(Informed=0,K760,0)</f>
        <v>0</v>
      </c>
      <c r="Z760" s="47" t="e">
        <f aca="false">IF(Informed=1,N760,0)</f>
        <v>#N/A</v>
      </c>
      <c r="AA760" s="47" t="n">
        <f aca="false">IF(Informed=0,N760,0)</f>
        <v>0</v>
      </c>
      <c r="AB760" s="51" t="e">
        <f aca="false">IF(Arterial=0,IF(Informed=1,1,0),0)</f>
        <v>#N/A</v>
      </c>
      <c r="AC760" s="51" t="e">
        <f aca="false">IF(Arterial=0,IF(Informed=0,1,0),0)</f>
        <v>#N/A</v>
      </c>
      <c r="AD760" s="51" t="e">
        <f aca="false">IF(Arterial=1,IF(Informed=1,1,0),0)</f>
        <v>#N/A</v>
      </c>
      <c r="AE760" s="51" t="e">
        <f aca="false">IF(Arterial=1,IF(Informed=0,1,0),0)</f>
        <v>#N/A</v>
      </c>
      <c r="AF760" s="44" t="e">
        <f aca="false">IF(AB760=1,(X760-G$1030)^2,0)</f>
        <v>#N/A</v>
      </c>
      <c r="AG760" s="44" t="e">
        <f aca="false">IF(AC760=1,(Y760-H$1030)^2,0)</f>
        <v>#N/A</v>
      </c>
      <c r="AH760" s="44" t="e">
        <f aca="false">IF(AD760=1,(Z760-I$1030)^2,0)</f>
        <v>#N/A</v>
      </c>
      <c r="AI760" s="44" t="e">
        <f aca="false">IF(AE760=1,(AA760-J$1030)^2,0)</f>
        <v>#N/A</v>
      </c>
    </row>
    <row r="761" customFormat="false" ht="12" hidden="false" customHeight="false" outlineLevel="0" collapsed="false">
      <c r="A761" s="29" t="n">
        <v>744</v>
      </c>
      <c r="B761" s="45" t="n">
        <f aca="true">IF(RAND()&lt;$D$8,1,0)</f>
        <v>1</v>
      </c>
      <c r="C761" s="34" t="n">
        <f aca="true">-LN(RAND())/$D$2</f>
        <v>1.08082221096828</v>
      </c>
      <c r="D761" s="46" t="n">
        <f aca="false">D760+C761</f>
        <v>1150.56823066769</v>
      </c>
      <c r="E761" s="47" t="e">
        <f aca="false">MAX($D$3,(1+P760-VLOOKUP(VALUE(D761),$J$18:$Q760,7,TRUE()))*$D$3)</f>
        <v>#N/A</v>
      </c>
      <c r="F761" s="47" t="e">
        <f aca="false">MAX($D$4,(1+Q760-VLOOKUP(VALUE(D761),$M$18:$Q760,5,TRUE()))*$D$4)</f>
        <v>#N/A</v>
      </c>
      <c r="G761" s="48" t="n">
        <v>0.5</v>
      </c>
      <c r="H761" s="46" t="e">
        <f aca="true">IF((B761=1),(IF((F761&lt;E761),1,(IF((F761=E761),(IF(RAND()&lt;G761,1,0)),0)))),(IF((RAND()&lt;G761),1,0)))</f>
        <v>#N/A</v>
      </c>
      <c r="I761" s="46" t="e">
        <f aca="true">IF((H761=1),0,$D$3+$D$5*(RAND()-0.5))</f>
        <v>#N/A</v>
      </c>
      <c r="J761" s="46" t="e">
        <f aca="false">I761+MAX(D761,J760)</f>
        <v>#N/A</v>
      </c>
      <c r="K761" s="46" t="e">
        <f aca="false">IF((H761=0),J761-D761,0)</f>
        <v>#N/A</v>
      </c>
      <c r="L761" s="46" t="e">
        <f aca="true">IF(($H761=0),0,$D$4+$D$5*(RAND()-0.5))</f>
        <v>#N/A</v>
      </c>
      <c r="M761" s="46" t="e">
        <f aca="false">L761+MAX(D761,M760)</f>
        <v>#N/A</v>
      </c>
      <c r="N761" s="46" t="e">
        <f aca="false">IF((H761=1),M761-D761,0)</f>
        <v>#N/A</v>
      </c>
      <c r="O761" s="29" t="n">
        <v>744</v>
      </c>
      <c r="P761" s="49" t="e">
        <f aca="false">IF((Arterial=0),P760+1,P760)</f>
        <v>#N/A</v>
      </c>
      <c r="Q761" s="49" t="e">
        <f aca="false">IF((Arterial=1),Q760+1,Q760)</f>
        <v>#N/A</v>
      </c>
      <c r="R761" s="50" t="n">
        <f aca="false">IF((RESET=1),0,R761+K761)</f>
        <v>0</v>
      </c>
      <c r="S761" s="19" t="n">
        <f aca="false">IF(RESET=1,0,S761+N761)</f>
        <v>0</v>
      </c>
      <c r="T761" s="0" t="n">
        <f aca="false">IF(RESET=1,0,T761+IF(H761=0,1,0))</f>
        <v>0</v>
      </c>
      <c r="U761" s="0" t="n">
        <f aca="false">IF(RESET=1,0,U761+H761)</f>
        <v>0</v>
      </c>
      <c r="V761" s="19" t="n">
        <f aca="false">R761/(T761+0.00001)</f>
        <v>0</v>
      </c>
      <c r="W761" s="19" t="n">
        <f aca="false">S761/(U761+0.0001)</f>
        <v>0</v>
      </c>
      <c r="X761" s="47" t="e">
        <f aca="false">IF(Informed=1,K761,0)</f>
        <v>#N/A</v>
      </c>
      <c r="Y761" s="47" t="n">
        <f aca="false">IF(Informed=0,K761,0)</f>
        <v>0</v>
      </c>
      <c r="Z761" s="47" t="e">
        <f aca="false">IF(Informed=1,N761,0)</f>
        <v>#N/A</v>
      </c>
      <c r="AA761" s="47" t="n">
        <f aca="false">IF(Informed=0,N761,0)</f>
        <v>0</v>
      </c>
      <c r="AB761" s="51" t="e">
        <f aca="false">IF(Arterial=0,IF(Informed=1,1,0),0)</f>
        <v>#N/A</v>
      </c>
      <c r="AC761" s="51" t="e">
        <f aca="false">IF(Arterial=0,IF(Informed=0,1,0),0)</f>
        <v>#N/A</v>
      </c>
      <c r="AD761" s="51" t="e">
        <f aca="false">IF(Arterial=1,IF(Informed=1,1,0),0)</f>
        <v>#N/A</v>
      </c>
      <c r="AE761" s="51" t="e">
        <f aca="false">IF(Arterial=1,IF(Informed=0,1,0),0)</f>
        <v>#N/A</v>
      </c>
      <c r="AF761" s="44" t="e">
        <f aca="false">IF(AB761=1,(X761-G$1030)^2,0)</f>
        <v>#N/A</v>
      </c>
      <c r="AG761" s="44" t="e">
        <f aca="false">IF(AC761=1,(Y761-H$1030)^2,0)</f>
        <v>#N/A</v>
      </c>
      <c r="AH761" s="44" t="e">
        <f aca="false">IF(AD761=1,(Z761-I$1030)^2,0)</f>
        <v>#N/A</v>
      </c>
      <c r="AI761" s="44" t="e">
        <f aca="false">IF(AE761=1,(AA761-J$1030)^2,0)</f>
        <v>#N/A</v>
      </c>
    </row>
    <row r="762" customFormat="false" ht="12" hidden="false" customHeight="false" outlineLevel="0" collapsed="false">
      <c r="A762" s="29" t="n">
        <v>745</v>
      </c>
      <c r="B762" s="45" t="n">
        <f aca="true">IF(RAND()&lt;$D$8,1,0)</f>
        <v>1</v>
      </c>
      <c r="C762" s="34" t="n">
        <f aca="true">-LN(RAND())/$D$2</f>
        <v>1.05384457986974</v>
      </c>
      <c r="D762" s="46" t="n">
        <f aca="false">D761+C762</f>
        <v>1151.62207524756</v>
      </c>
      <c r="E762" s="47" t="e">
        <f aca="false">MAX($D$3,(1+P761-VLOOKUP(VALUE(D762),$J$18:$Q761,7,TRUE()))*$D$3)</f>
        <v>#N/A</v>
      </c>
      <c r="F762" s="47" t="e">
        <f aca="false">MAX($D$4,(1+Q761-VLOOKUP(VALUE(D762),$M$18:$Q761,5,TRUE()))*$D$4)</f>
        <v>#N/A</v>
      </c>
      <c r="G762" s="48" t="n">
        <v>0.5</v>
      </c>
      <c r="H762" s="46" t="e">
        <f aca="true">IF((B762=1),(IF((F762&lt;E762),1,(IF((F762=E762),(IF(RAND()&lt;G762,1,0)),0)))),(IF((RAND()&lt;G762),1,0)))</f>
        <v>#N/A</v>
      </c>
      <c r="I762" s="46" t="e">
        <f aca="true">IF((H762=1),0,$D$3+$D$5*(RAND()-0.5))</f>
        <v>#N/A</v>
      </c>
      <c r="J762" s="46" t="e">
        <f aca="false">I762+MAX(D762,J761)</f>
        <v>#N/A</v>
      </c>
      <c r="K762" s="46" t="e">
        <f aca="false">IF((H762=0),J762-D762,0)</f>
        <v>#N/A</v>
      </c>
      <c r="L762" s="46" t="e">
        <f aca="true">IF(($H762=0),0,$D$4+$D$5*(RAND()-0.5))</f>
        <v>#N/A</v>
      </c>
      <c r="M762" s="46" t="e">
        <f aca="false">L762+MAX(D762,M761)</f>
        <v>#N/A</v>
      </c>
      <c r="N762" s="46" t="e">
        <f aca="false">IF((H762=1),M762-D762,0)</f>
        <v>#N/A</v>
      </c>
      <c r="O762" s="29" t="n">
        <v>745</v>
      </c>
      <c r="P762" s="49" t="e">
        <f aca="false">IF((Arterial=0),P761+1,P761)</f>
        <v>#N/A</v>
      </c>
      <c r="Q762" s="49" t="e">
        <f aca="false">IF((Arterial=1),Q761+1,Q761)</f>
        <v>#N/A</v>
      </c>
      <c r="R762" s="50" t="n">
        <f aca="false">IF((RESET=1),0,R762+K762)</f>
        <v>0</v>
      </c>
      <c r="S762" s="19" t="n">
        <f aca="false">IF(RESET=1,0,S762+N762)</f>
        <v>0</v>
      </c>
      <c r="T762" s="0" t="n">
        <f aca="false">IF(RESET=1,0,T762+IF(H762=0,1,0))</f>
        <v>0</v>
      </c>
      <c r="U762" s="0" t="n">
        <f aca="false">IF(RESET=1,0,U762+H762)</f>
        <v>0</v>
      </c>
      <c r="V762" s="19" t="n">
        <f aca="false">R762/(T762+0.00001)</f>
        <v>0</v>
      </c>
      <c r="W762" s="19" t="n">
        <f aca="false">S762/(U762+0.0001)</f>
        <v>0</v>
      </c>
      <c r="X762" s="47" t="e">
        <f aca="false">IF(Informed=1,K762,0)</f>
        <v>#N/A</v>
      </c>
      <c r="Y762" s="47" t="n">
        <f aca="false">IF(Informed=0,K762,0)</f>
        <v>0</v>
      </c>
      <c r="Z762" s="47" t="e">
        <f aca="false">IF(Informed=1,N762,0)</f>
        <v>#N/A</v>
      </c>
      <c r="AA762" s="47" t="n">
        <f aca="false">IF(Informed=0,N762,0)</f>
        <v>0</v>
      </c>
      <c r="AB762" s="51" t="e">
        <f aca="false">IF(Arterial=0,IF(Informed=1,1,0),0)</f>
        <v>#N/A</v>
      </c>
      <c r="AC762" s="51" t="e">
        <f aca="false">IF(Arterial=0,IF(Informed=0,1,0),0)</f>
        <v>#N/A</v>
      </c>
      <c r="AD762" s="51" t="e">
        <f aca="false">IF(Arterial=1,IF(Informed=1,1,0),0)</f>
        <v>#N/A</v>
      </c>
      <c r="AE762" s="51" t="e">
        <f aca="false">IF(Arterial=1,IF(Informed=0,1,0),0)</f>
        <v>#N/A</v>
      </c>
      <c r="AF762" s="44" t="e">
        <f aca="false">IF(AB762=1,(X762-G$1030)^2,0)</f>
        <v>#N/A</v>
      </c>
      <c r="AG762" s="44" t="e">
        <f aca="false">IF(AC762=1,(Y762-H$1030)^2,0)</f>
        <v>#N/A</v>
      </c>
      <c r="AH762" s="44" t="e">
        <f aca="false">IF(AD762=1,(Z762-I$1030)^2,0)</f>
        <v>#N/A</v>
      </c>
      <c r="AI762" s="44" t="e">
        <f aca="false">IF(AE762=1,(AA762-J$1030)^2,0)</f>
        <v>#N/A</v>
      </c>
    </row>
    <row r="763" customFormat="false" ht="12" hidden="false" customHeight="false" outlineLevel="0" collapsed="false">
      <c r="A763" s="29" t="n">
        <v>746</v>
      </c>
      <c r="B763" s="45" t="n">
        <f aca="true">IF(RAND()&lt;$D$8,1,0)</f>
        <v>1</v>
      </c>
      <c r="C763" s="34" t="n">
        <f aca="true">-LN(RAND())/$D$2</f>
        <v>0.535069881713897</v>
      </c>
      <c r="D763" s="46" t="n">
        <f aca="false">D762+C763</f>
        <v>1152.15714512927</v>
      </c>
      <c r="E763" s="47" t="e">
        <f aca="false">MAX($D$3,(1+P762-VLOOKUP(VALUE(D763),$J$18:$Q762,7,TRUE()))*$D$3)</f>
        <v>#N/A</v>
      </c>
      <c r="F763" s="47" t="e">
        <f aca="false">MAX($D$4,(1+Q762-VLOOKUP(VALUE(D763),$M$18:$Q762,5,TRUE()))*$D$4)</f>
        <v>#N/A</v>
      </c>
      <c r="G763" s="48" t="n">
        <v>0.5</v>
      </c>
      <c r="H763" s="46" t="e">
        <f aca="true">IF((B763=1),(IF((F763&lt;E763),1,(IF((F763=E763),(IF(RAND()&lt;G763,1,0)),0)))),(IF((RAND()&lt;G763),1,0)))</f>
        <v>#N/A</v>
      </c>
      <c r="I763" s="46" t="e">
        <f aca="true">IF((H763=1),0,$D$3+$D$5*(RAND()-0.5))</f>
        <v>#N/A</v>
      </c>
      <c r="J763" s="46" t="e">
        <f aca="false">I763+MAX(D763,J762)</f>
        <v>#N/A</v>
      </c>
      <c r="K763" s="46" t="e">
        <f aca="false">IF((H763=0),J763-D763,0)</f>
        <v>#N/A</v>
      </c>
      <c r="L763" s="46" t="e">
        <f aca="true">IF(($H763=0),0,$D$4+$D$5*(RAND()-0.5))</f>
        <v>#N/A</v>
      </c>
      <c r="M763" s="46" t="e">
        <f aca="false">L763+MAX(D763,M762)</f>
        <v>#N/A</v>
      </c>
      <c r="N763" s="46" t="e">
        <f aca="false">IF((H763=1),M763-D763,0)</f>
        <v>#N/A</v>
      </c>
      <c r="O763" s="29" t="n">
        <v>746</v>
      </c>
      <c r="P763" s="49" t="e">
        <f aca="false">IF((Arterial=0),P762+1,P762)</f>
        <v>#N/A</v>
      </c>
      <c r="Q763" s="49" t="e">
        <f aca="false">IF((Arterial=1),Q762+1,Q762)</f>
        <v>#N/A</v>
      </c>
      <c r="R763" s="50" t="n">
        <f aca="false">IF((RESET=1),0,R763+K763)</f>
        <v>0</v>
      </c>
      <c r="S763" s="19" t="n">
        <f aca="false">IF(RESET=1,0,S763+N763)</f>
        <v>0</v>
      </c>
      <c r="T763" s="0" t="n">
        <f aca="false">IF(RESET=1,0,T763+IF(H763=0,1,0))</f>
        <v>0</v>
      </c>
      <c r="U763" s="0" t="n">
        <f aca="false">IF(RESET=1,0,U763+H763)</f>
        <v>0</v>
      </c>
      <c r="V763" s="19" t="n">
        <f aca="false">R763/(T763+0.00001)</f>
        <v>0</v>
      </c>
      <c r="W763" s="19" t="n">
        <f aca="false">S763/(U763+0.0001)</f>
        <v>0</v>
      </c>
      <c r="X763" s="47" t="e">
        <f aca="false">IF(Informed=1,K763,0)</f>
        <v>#N/A</v>
      </c>
      <c r="Y763" s="47" t="n">
        <f aca="false">IF(Informed=0,K763,0)</f>
        <v>0</v>
      </c>
      <c r="Z763" s="47" t="e">
        <f aca="false">IF(Informed=1,N763,0)</f>
        <v>#N/A</v>
      </c>
      <c r="AA763" s="47" t="n">
        <f aca="false">IF(Informed=0,N763,0)</f>
        <v>0</v>
      </c>
      <c r="AB763" s="51" t="e">
        <f aca="false">IF(Arterial=0,IF(Informed=1,1,0),0)</f>
        <v>#N/A</v>
      </c>
      <c r="AC763" s="51" t="e">
        <f aca="false">IF(Arterial=0,IF(Informed=0,1,0),0)</f>
        <v>#N/A</v>
      </c>
      <c r="AD763" s="51" t="e">
        <f aca="false">IF(Arterial=1,IF(Informed=1,1,0),0)</f>
        <v>#N/A</v>
      </c>
      <c r="AE763" s="51" t="e">
        <f aca="false">IF(Arterial=1,IF(Informed=0,1,0),0)</f>
        <v>#N/A</v>
      </c>
      <c r="AF763" s="44" t="e">
        <f aca="false">IF(AB763=1,(X763-G$1030)^2,0)</f>
        <v>#N/A</v>
      </c>
      <c r="AG763" s="44" t="e">
        <f aca="false">IF(AC763=1,(Y763-H$1030)^2,0)</f>
        <v>#N/A</v>
      </c>
      <c r="AH763" s="44" t="e">
        <f aca="false">IF(AD763=1,(Z763-I$1030)^2,0)</f>
        <v>#N/A</v>
      </c>
      <c r="AI763" s="44" t="e">
        <f aca="false">IF(AE763=1,(AA763-J$1030)^2,0)</f>
        <v>#N/A</v>
      </c>
    </row>
    <row r="764" customFormat="false" ht="12" hidden="false" customHeight="false" outlineLevel="0" collapsed="false">
      <c r="A764" s="29" t="n">
        <v>747</v>
      </c>
      <c r="B764" s="45" t="n">
        <f aca="true">IF(RAND()&lt;$D$8,1,0)</f>
        <v>1</v>
      </c>
      <c r="C764" s="34" t="n">
        <f aca="true">-LN(RAND())/$D$2</f>
        <v>0.0799646093245318</v>
      </c>
      <c r="D764" s="46" t="n">
        <f aca="false">D763+C764</f>
        <v>1152.23710973859</v>
      </c>
      <c r="E764" s="47" t="e">
        <f aca="false">MAX($D$3,(1+P763-VLOOKUP(VALUE(D764),$J$18:$Q763,7,TRUE()))*$D$3)</f>
        <v>#N/A</v>
      </c>
      <c r="F764" s="47" t="e">
        <f aca="false">MAX($D$4,(1+Q763-VLOOKUP(VALUE(D764),$M$18:$Q763,5,TRUE()))*$D$4)</f>
        <v>#N/A</v>
      </c>
      <c r="G764" s="48" t="n">
        <v>0.5</v>
      </c>
      <c r="H764" s="46" t="e">
        <f aca="true">IF((B764=1),(IF((F764&lt;E764),1,(IF((F764=E764),(IF(RAND()&lt;G764,1,0)),0)))),(IF((RAND()&lt;G764),1,0)))</f>
        <v>#N/A</v>
      </c>
      <c r="I764" s="46" t="e">
        <f aca="true">IF((H764=1),0,$D$3+$D$5*(RAND()-0.5))</f>
        <v>#N/A</v>
      </c>
      <c r="J764" s="46" t="e">
        <f aca="false">I764+MAX(D764,J763)</f>
        <v>#N/A</v>
      </c>
      <c r="K764" s="46" t="e">
        <f aca="false">IF((H764=0),J764-D764,0)</f>
        <v>#N/A</v>
      </c>
      <c r="L764" s="46" t="e">
        <f aca="true">IF(($H764=0),0,$D$4+$D$5*(RAND()-0.5))</f>
        <v>#N/A</v>
      </c>
      <c r="M764" s="46" t="e">
        <f aca="false">L764+MAX(D764,M763)</f>
        <v>#N/A</v>
      </c>
      <c r="N764" s="46" t="e">
        <f aca="false">IF((H764=1),M764-D764,0)</f>
        <v>#N/A</v>
      </c>
      <c r="O764" s="29" t="n">
        <v>747</v>
      </c>
      <c r="P764" s="49" t="e">
        <f aca="false">IF((Arterial=0),P763+1,P763)</f>
        <v>#N/A</v>
      </c>
      <c r="Q764" s="49" t="e">
        <f aca="false">IF((Arterial=1),Q763+1,Q763)</f>
        <v>#N/A</v>
      </c>
      <c r="R764" s="50" t="n">
        <f aca="false">IF((RESET=1),0,R764+K764)</f>
        <v>0</v>
      </c>
      <c r="S764" s="19" t="n">
        <f aca="false">IF(RESET=1,0,S764+N764)</f>
        <v>0</v>
      </c>
      <c r="T764" s="0" t="n">
        <f aca="false">IF(RESET=1,0,T764+IF(H764=0,1,0))</f>
        <v>0</v>
      </c>
      <c r="U764" s="0" t="n">
        <f aca="false">IF(RESET=1,0,U764+H764)</f>
        <v>0</v>
      </c>
      <c r="V764" s="19" t="n">
        <f aca="false">R764/(T764+0.00001)</f>
        <v>0</v>
      </c>
      <c r="W764" s="19" t="n">
        <f aca="false">S764/(U764+0.0001)</f>
        <v>0</v>
      </c>
      <c r="X764" s="47" t="e">
        <f aca="false">IF(Informed=1,K764,0)</f>
        <v>#N/A</v>
      </c>
      <c r="Y764" s="47" t="n">
        <f aca="false">IF(Informed=0,K764,0)</f>
        <v>0</v>
      </c>
      <c r="Z764" s="47" t="e">
        <f aca="false">IF(Informed=1,N764,0)</f>
        <v>#N/A</v>
      </c>
      <c r="AA764" s="47" t="n">
        <f aca="false">IF(Informed=0,N764,0)</f>
        <v>0</v>
      </c>
      <c r="AB764" s="51" t="e">
        <f aca="false">IF(Arterial=0,IF(Informed=1,1,0),0)</f>
        <v>#N/A</v>
      </c>
      <c r="AC764" s="51" t="e">
        <f aca="false">IF(Arterial=0,IF(Informed=0,1,0),0)</f>
        <v>#N/A</v>
      </c>
      <c r="AD764" s="51" t="e">
        <f aca="false">IF(Arterial=1,IF(Informed=1,1,0),0)</f>
        <v>#N/A</v>
      </c>
      <c r="AE764" s="51" t="e">
        <f aca="false">IF(Arterial=1,IF(Informed=0,1,0),0)</f>
        <v>#N/A</v>
      </c>
      <c r="AF764" s="44" t="e">
        <f aca="false">IF(AB764=1,(X764-G$1030)^2,0)</f>
        <v>#N/A</v>
      </c>
      <c r="AG764" s="44" t="e">
        <f aca="false">IF(AC764=1,(Y764-H$1030)^2,0)</f>
        <v>#N/A</v>
      </c>
      <c r="AH764" s="44" t="e">
        <f aca="false">IF(AD764=1,(Z764-I$1030)^2,0)</f>
        <v>#N/A</v>
      </c>
      <c r="AI764" s="44" t="e">
        <f aca="false">IF(AE764=1,(AA764-J$1030)^2,0)</f>
        <v>#N/A</v>
      </c>
    </row>
    <row r="765" customFormat="false" ht="12" hidden="false" customHeight="false" outlineLevel="0" collapsed="false">
      <c r="A765" s="29" t="n">
        <v>748</v>
      </c>
      <c r="B765" s="45" t="n">
        <f aca="true">IF(RAND()&lt;$D$8,1,0)</f>
        <v>1</v>
      </c>
      <c r="C765" s="34" t="n">
        <f aca="true">-LN(RAND())/$D$2</f>
        <v>2.48806802608704</v>
      </c>
      <c r="D765" s="46" t="n">
        <f aca="false">D764+C765</f>
        <v>1154.72517776468</v>
      </c>
      <c r="E765" s="47" t="e">
        <f aca="false">MAX($D$3,(1+P764-VLOOKUP(VALUE(D765),$J$18:$Q764,7,TRUE()))*$D$3)</f>
        <v>#N/A</v>
      </c>
      <c r="F765" s="47" t="e">
        <f aca="false">MAX($D$4,(1+Q764-VLOOKUP(VALUE(D765),$M$18:$Q764,5,TRUE()))*$D$4)</f>
        <v>#N/A</v>
      </c>
      <c r="G765" s="48" t="n">
        <v>0.5</v>
      </c>
      <c r="H765" s="46" t="e">
        <f aca="true">IF((B765=1),(IF((F765&lt;E765),1,(IF((F765=E765),(IF(RAND()&lt;G765,1,0)),0)))),(IF((RAND()&lt;G765),1,0)))</f>
        <v>#N/A</v>
      </c>
      <c r="I765" s="46" t="e">
        <f aca="true">IF((H765=1),0,$D$3+$D$5*(RAND()-0.5))</f>
        <v>#N/A</v>
      </c>
      <c r="J765" s="46" t="e">
        <f aca="false">I765+MAX(D765,J764)</f>
        <v>#N/A</v>
      </c>
      <c r="K765" s="46" t="e">
        <f aca="false">IF((H765=0),J765-D765,0)</f>
        <v>#N/A</v>
      </c>
      <c r="L765" s="46" t="e">
        <f aca="true">IF(($H765=0),0,$D$4+$D$5*(RAND()-0.5))</f>
        <v>#N/A</v>
      </c>
      <c r="M765" s="46" t="e">
        <f aca="false">L765+MAX(D765,M764)</f>
        <v>#N/A</v>
      </c>
      <c r="N765" s="46" t="e">
        <f aca="false">IF((H765=1),M765-D765,0)</f>
        <v>#N/A</v>
      </c>
      <c r="O765" s="29" t="n">
        <v>748</v>
      </c>
      <c r="P765" s="49" t="e">
        <f aca="false">IF((Arterial=0),P764+1,P764)</f>
        <v>#N/A</v>
      </c>
      <c r="Q765" s="49" t="e">
        <f aca="false">IF((Arterial=1),Q764+1,Q764)</f>
        <v>#N/A</v>
      </c>
      <c r="R765" s="50" t="n">
        <f aca="false">IF((RESET=1),0,R765+K765)</f>
        <v>0</v>
      </c>
      <c r="S765" s="19" t="n">
        <f aca="false">IF(RESET=1,0,S765+N765)</f>
        <v>0</v>
      </c>
      <c r="T765" s="0" t="n">
        <f aca="false">IF(RESET=1,0,T765+IF(H765=0,1,0))</f>
        <v>0</v>
      </c>
      <c r="U765" s="0" t="n">
        <f aca="false">IF(RESET=1,0,U765+H765)</f>
        <v>0</v>
      </c>
      <c r="V765" s="19" t="n">
        <f aca="false">R765/(T765+0.00001)</f>
        <v>0</v>
      </c>
      <c r="W765" s="19" t="n">
        <f aca="false">S765/(U765+0.0001)</f>
        <v>0</v>
      </c>
      <c r="X765" s="47" t="e">
        <f aca="false">IF(Informed=1,K765,0)</f>
        <v>#N/A</v>
      </c>
      <c r="Y765" s="47" t="n">
        <f aca="false">IF(Informed=0,K765,0)</f>
        <v>0</v>
      </c>
      <c r="Z765" s="47" t="e">
        <f aca="false">IF(Informed=1,N765,0)</f>
        <v>#N/A</v>
      </c>
      <c r="AA765" s="47" t="n">
        <f aca="false">IF(Informed=0,N765,0)</f>
        <v>0</v>
      </c>
      <c r="AB765" s="51" t="e">
        <f aca="false">IF(Arterial=0,IF(Informed=1,1,0),0)</f>
        <v>#N/A</v>
      </c>
      <c r="AC765" s="51" t="e">
        <f aca="false">IF(Arterial=0,IF(Informed=0,1,0),0)</f>
        <v>#N/A</v>
      </c>
      <c r="AD765" s="51" t="e">
        <f aca="false">IF(Arterial=1,IF(Informed=1,1,0),0)</f>
        <v>#N/A</v>
      </c>
      <c r="AE765" s="51" t="e">
        <f aca="false">IF(Arterial=1,IF(Informed=0,1,0),0)</f>
        <v>#N/A</v>
      </c>
      <c r="AF765" s="44" t="e">
        <f aca="false">IF(AB765=1,(X765-G$1030)^2,0)</f>
        <v>#N/A</v>
      </c>
      <c r="AG765" s="44" t="e">
        <f aca="false">IF(AC765=1,(Y765-H$1030)^2,0)</f>
        <v>#N/A</v>
      </c>
      <c r="AH765" s="44" t="e">
        <f aca="false">IF(AD765=1,(Z765-I$1030)^2,0)</f>
        <v>#N/A</v>
      </c>
      <c r="AI765" s="44" t="e">
        <f aca="false">IF(AE765=1,(AA765-J$1030)^2,0)</f>
        <v>#N/A</v>
      </c>
    </row>
    <row r="766" customFormat="false" ht="12" hidden="false" customHeight="false" outlineLevel="0" collapsed="false">
      <c r="A766" s="29" t="n">
        <v>749</v>
      </c>
      <c r="B766" s="45" t="n">
        <f aca="true">IF(RAND()&lt;$D$8,1,0)</f>
        <v>1</v>
      </c>
      <c r="C766" s="34" t="n">
        <f aca="true">-LN(RAND())/$D$2</f>
        <v>0.831075595198201</v>
      </c>
      <c r="D766" s="46" t="n">
        <f aca="false">D765+C766</f>
        <v>1155.55625335988</v>
      </c>
      <c r="E766" s="47" t="e">
        <f aca="false">MAX($D$3,(1+P765-VLOOKUP(VALUE(D766),$J$18:$Q765,7,TRUE()))*$D$3)</f>
        <v>#N/A</v>
      </c>
      <c r="F766" s="47" t="e">
        <f aca="false">MAX($D$4,(1+Q765-VLOOKUP(VALUE(D766),$M$18:$Q765,5,TRUE()))*$D$4)</f>
        <v>#N/A</v>
      </c>
      <c r="G766" s="48" t="n">
        <v>0.5</v>
      </c>
      <c r="H766" s="46" t="e">
        <f aca="true">IF((B766=1),(IF((F766&lt;E766),1,(IF((F766=E766),(IF(RAND()&lt;G766,1,0)),0)))),(IF((RAND()&lt;G766),1,0)))</f>
        <v>#N/A</v>
      </c>
      <c r="I766" s="46" t="e">
        <f aca="true">IF((H766=1),0,$D$3+$D$5*(RAND()-0.5))</f>
        <v>#N/A</v>
      </c>
      <c r="J766" s="46" t="e">
        <f aca="false">I766+MAX(D766,J765)</f>
        <v>#N/A</v>
      </c>
      <c r="K766" s="46" t="e">
        <f aca="false">IF((H766=0),J766-D766,0)</f>
        <v>#N/A</v>
      </c>
      <c r="L766" s="46" t="e">
        <f aca="true">IF(($H766=0),0,$D$4+$D$5*(RAND()-0.5))</f>
        <v>#N/A</v>
      </c>
      <c r="M766" s="46" t="e">
        <f aca="false">L766+MAX(D766,M765)</f>
        <v>#N/A</v>
      </c>
      <c r="N766" s="46" t="e">
        <f aca="false">IF((H766=1),M766-D766,0)</f>
        <v>#N/A</v>
      </c>
      <c r="O766" s="29" t="n">
        <v>749</v>
      </c>
      <c r="P766" s="49" t="e">
        <f aca="false">IF((Arterial=0),P765+1,P765)</f>
        <v>#N/A</v>
      </c>
      <c r="Q766" s="49" t="e">
        <f aca="false">IF((Arterial=1),Q765+1,Q765)</f>
        <v>#N/A</v>
      </c>
      <c r="R766" s="50" t="n">
        <f aca="false">IF((RESET=1),0,R766+K766)</f>
        <v>0</v>
      </c>
      <c r="S766" s="19" t="n">
        <f aca="false">IF(RESET=1,0,S766+N766)</f>
        <v>0</v>
      </c>
      <c r="T766" s="0" t="n">
        <f aca="false">IF(RESET=1,0,T766+IF(H766=0,1,0))</f>
        <v>0</v>
      </c>
      <c r="U766" s="0" t="n">
        <f aca="false">IF(RESET=1,0,U766+H766)</f>
        <v>0</v>
      </c>
      <c r="V766" s="19" t="n">
        <f aca="false">R766/(T766+0.00001)</f>
        <v>0</v>
      </c>
      <c r="W766" s="19" t="n">
        <f aca="false">S766/(U766+0.0001)</f>
        <v>0</v>
      </c>
      <c r="X766" s="47" t="e">
        <f aca="false">IF(Informed=1,K766,0)</f>
        <v>#N/A</v>
      </c>
      <c r="Y766" s="47" t="n">
        <f aca="false">IF(Informed=0,K766,0)</f>
        <v>0</v>
      </c>
      <c r="Z766" s="47" t="e">
        <f aca="false">IF(Informed=1,N766,0)</f>
        <v>#N/A</v>
      </c>
      <c r="AA766" s="47" t="n">
        <f aca="false">IF(Informed=0,N766,0)</f>
        <v>0</v>
      </c>
      <c r="AB766" s="51" t="e">
        <f aca="false">IF(Arterial=0,IF(Informed=1,1,0),0)</f>
        <v>#N/A</v>
      </c>
      <c r="AC766" s="51" t="e">
        <f aca="false">IF(Arterial=0,IF(Informed=0,1,0),0)</f>
        <v>#N/A</v>
      </c>
      <c r="AD766" s="51" t="e">
        <f aca="false">IF(Arterial=1,IF(Informed=1,1,0),0)</f>
        <v>#N/A</v>
      </c>
      <c r="AE766" s="51" t="e">
        <f aca="false">IF(Arterial=1,IF(Informed=0,1,0),0)</f>
        <v>#N/A</v>
      </c>
      <c r="AF766" s="44" t="e">
        <f aca="false">IF(AB766=1,(X766-G$1030)^2,0)</f>
        <v>#N/A</v>
      </c>
      <c r="AG766" s="44" t="e">
        <f aca="false">IF(AC766=1,(Y766-H$1030)^2,0)</f>
        <v>#N/A</v>
      </c>
      <c r="AH766" s="44" t="e">
        <f aca="false">IF(AD766=1,(Z766-I$1030)^2,0)</f>
        <v>#N/A</v>
      </c>
      <c r="AI766" s="44" t="e">
        <f aca="false">IF(AE766=1,(AA766-J$1030)^2,0)</f>
        <v>#N/A</v>
      </c>
    </row>
    <row r="767" customFormat="false" ht="12" hidden="false" customHeight="false" outlineLevel="0" collapsed="false">
      <c r="A767" s="29" t="n">
        <v>750</v>
      </c>
      <c r="B767" s="45" t="n">
        <f aca="true">IF(RAND()&lt;$D$8,1,0)</f>
        <v>1</v>
      </c>
      <c r="C767" s="34" t="n">
        <f aca="true">-LN(RAND())/$D$2</f>
        <v>0.0627373750650921</v>
      </c>
      <c r="D767" s="46" t="n">
        <f aca="false">D766+C767</f>
        <v>1155.61899073494</v>
      </c>
      <c r="E767" s="47" t="e">
        <f aca="false">MAX($D$3,(1+P766-VLOOKUP(VALUE(D767),$J$18:$Q766,7,TRUE()))*$D$3)</f>
        <v>#N/A</v>
      </c>
      <c r="F767" s="47" t="e">
        <f aca="false">MAX($D$4,(1+Q766-VLOOKUP(VALUE(D767),$M$18:$Q766,5,TRUE()))*$D$4)</f>
        <v>#N/A</v>
      </c>
      <c r="G767" s="48" t="n">
        <v>0.5</v>
      </c>
      <c r="H767" s="46" t="e">
        <f aca="true">IF((B767=1),(IF((F767&lt;E767),1,(IF((F767=E767),(IF(RAND()&lt;G767,1,0)),0)))),(IF((RAND()&lt;G767),1,0)))</f>
        <v>#N/A</v>
      </c>
      <c r="I767" s="46" t="e">
        <f aca="true">IF((H767=1),0,$D$3+$D$5*(RAND()-0.5))</f>
        <v>#N/A</v>
      </c>
      <c r="J767" s="46" t="e">
        <f aca="false">I767+MAX(D767,J766)</f>
        <v>#N/A</v>
      </c>
      <c r="K767" s="46" t="e">
        <f aca="false">IF((H767=0),J767-D767,0)</f>
        <v>#N/A</v>
      </c>
      <c r="L767" s="46" t="e">
        <f aca="true">IF(($H767=0),0,$D$4+$D$5*(RAND()-0.5))</f>
        <v>#N/A</v>
      </c>
      <c r="M767" s="46" t="e">
        <f aca="false">L767+MAX(D767,M766)</f>
        <v>#N/A</v>
      </c>
      <c r="N767" s="46" t="e">
        <f aca="false">IF((H767=1),M767-D767,0)</f>
        <v>#N/A</v>
      </c>
      <c r="O767" s="29" t="n">
        <v>750</v>
      </c>
      <c r="P767" s="49" t="e">
        <f aca="false">IF((Arterial=0),P766+1,P766)</f>
        <v>#N/A</v>
      </c>
      <c r="Q767" s="49" t="e">
        <f aca="false">IF((Arterial=1),Q766+1,Q766)</f>
        <v>#N/A</v>
      </c>
      <c r="R767" s="50" t="n">
        <f aca="false">IF((RESET=1),0,R767+K767)</f>
        <v>0</v>
      </c>
      <c r="S767" s="19" t="n">
        <f aca="false">IF(RESET=1,0,S767+N767)</f>
        <v>0</v>
      </c>
      <c r="T767" s="0" t="n">
        <f aca="false">IF(RESET=1,0,T767+IF(H767=0,1,0))</f>
        <v>0</v>
      </c>
      <c r="U767" s="0" t="n">
        <f aca="false">IF(RESET=1,0,U767+H767)</f>
        <v>0</v>
      </c>
      <c r="V767" s="19" t="n">
        <f aca="false">R767/(T767+0.00001)</f>
        <v>0</v>
      </c>
      <c r="W767" s="19" t="n">
        <f aca="false">S767/(U767+0.0001)</f>
        <v>0</v>
      </c>
      <c r="X767" s="47" t="e">
        <f aca="false">IF(Informed=1,K767,0)</f>
        <v>#N/A</v>
      </c>
      <c r="Y767" s="47" t="n">
        <f aca="false">IF(Informed=0,K767,0)</f>
        <v>0</v>
      </c>
      <c r="Z767" s="47" t="e">
        <f aca="false">IF(Informed=1,N767,0)</f>
        <v>#N/A</v>
      </c>
      <c r="AA767" s="47" t="n">
        <f aca="false">IF(Informed=0,N767,0)</f>
        <v>0</v>
      </c>
      <c r="AB767" s="51" t="e">
        <f aca="false">IF(Arterial=0,IF(Informed=1,1,0),0)</f>
        <v>#N/A</v>
      </c>
      <c r="AC767" s="51" t="e">
        <f aca="false">IF(Arterial=0,IF(Informed=0,1,0),0)</f>
        <v>#N/A</v>
      </c>
      <c r="AD767" s="51" t="e">
        <f aca="false">IF(Arterial=1,IF(Informed=1,1,0),0)</f>
        <v>#N/A</v>
      </c>
      <c r="AE767" s="51" t="e">
        <f aca="false">IF(Arterial=1,IF(Informed=0,1,0),0)</f>
        <v>#N/A</v>
      </c>
      <c r="AF767" s="44" t="e">
        <f aca="false">IF(AB767=1,(X767-G$1030)^2,0)</f>
        <v>#N/A</v>
      </c>
      <c r="AG767" s="44" t="e">
        <f aca="false">IF(AC767=1,(Y767-H$1030)^2,0)</f>
        <v>#N/A</v>
      </c>
      <c r="AH767" s="44" t="e">
        <f aca="false">IF(AD767=1,(Z767-I$1030)^2,0)</f>
        <v>#N/A</v>
      </c>
      <c r="AI767" s="44" t="e">
        <f aca="false">IF(AE767=1,(AA767-J$1030)^2,0)</f>
        <v>#N/A</v>
      </c>
    </row>
    <row r="768" customFormat="false" ht="12" hidden="false" customHeight="false" outlineLevel="0" collapsed="false">
      <c r="A768" s="29" t="n">
        <v>751</v>
      </c>
      <c r="B768" s="45" t="n">
        <f aca="true">IF(RAND()&lt;$D$8,1,0)</f>
        <v>1</v>
      </c>
      <c r="C768" s="34" t="n">
        <f aca="true">-LN(RAND())/$D$2</f>
        <v>1.309825959395</v>
      </c>
      <c r="D768" s="46" t="n">
        <f aca="false">D767+C768</f>
        <v>1156.92881669434</v>
      </c>
      <c r="E768" s="47" t="e">
        <f aca="false">MAX($D$3,(1+P767-VLOOKUP(VALUE(D768),$J$18:$Q767,7,TRUE()))*$D$3)</f>
        <v>#N/A</v>
      </c>
      <c r="F768" s="47" t="e">
        <f aca="false">MAX($D$4,(1+Q767-VLOOKUP(VALUE(D768),$M$18:$Q767,5,TRUE()))*$D$4)</f>
        <v>#N/A</v>
      </c>
      <c r="G768" s="48" t="n">
        <v>0.5</v>
      </c>
      <c r="H768" s="46" t="e">
        <f aca="true">IF((B768=1),(IF((F768&lt;E768),1,(IF((F768=E768),(IF(RAND()&lt;G768,1,0)),0)))),(IF((RAND()&lt;G768),1,0)))</f>
        <v>#N/A</v>
      </c>
      <c r="I768" s="46" t="e">
        <f aca="true">IF((H768=1),0,$D$3+$D$5*(RAND()-0.5))</f>
        <v>#N/A</v>
      </c>
      <c r="J768" s="46" t="e">
        <f aca="false">I768+MAX(D768,J767)</f>
        <v>#N/A</v>
      </c>
      <c r="K768" s="46" t="e">
        <f aca="false">IF((H768=0),J768-D768,0)</f>
        <v>#N/A</v>
      </c>
      <c r="L768" s="46" t="e">
        <f aca="true">IF(($H768=0),0,$D$4+$D$5*(RAND()-0.5))</f>
        <v>#N/A</v>
      </c>
      <c r="M768" s="46" t="e">
        <f aca="false">L768+MAX(D768,M767)</f>
        <v>#N/A</v>
      </c>
      <c r="N768" s="46" t="e">
        <f aca="false">IF((H768=1),M768-D768,0)</f>
        <v>#N/A</v>
      </c>
      <c r="O768" s="29" t="n">
        <v>751</v>
      </c>
      <c r="P768" s="49" t="e">
        <f aca="false">IF((Arterial=0),P767+1,P767)</f>
        <v>#N/A</v>
      </c>
      <c r="Q768" s="49" t="e">
        <f aca="false">IF((Arterial=1),Q767+1,Q767)</f>
        <v>#N/A</v>
      </c>
      <c r="R768" s="50" t="n">
        <f aca="false">IF((RESET=1),0,R768+K768)</f>
        <v>0</v>
      </c>
      <c r="S768" s="19" t="n">
        <f aca="false">IF(RESET=1,0,S768+N768)</f>
        <v>0</v>
      </c>
      <c r="T768" s="0" t="n">
        <f aca="false">IF(RESET=1,0,T768+IF(H768=0,1,0))</f>
        <v>0</v>
      </c>
      <c r="U768" s="0" t="n">
        <f aca="false">IF(RESET=1,0,U768+H768)</f>
        <v>0</v>
      </c>
      <c r="V768" s="19" t="n">
        <f aca="false">R768/(T768+0.00001)</f>
        <v>0</v>
      </c>
      <c r="W768" s="19" t="n">
        <f aca="false">S768/(U768+0.0001)</f>
        <v>0</v>
      </c>
      <c r="X768" s="47" t="e">
        <f aca="false">IF(Informed=1,K768,0)</f>
        <v>#N/A</v>
      </c>
      <c r="Y768" s="47" t="n">
        <f aca="false">IF(Informed=0,K768,0)</f>
        <v>0</v>
      </c>
      <c r="Z768" s="47" t="e">
        <f aca="false">IF(Informed=1,N768,0)</f>
        <v>#N/A</v>
      </c>
      <c r="AA768" s="47" t="n">
        <f aca="false">IF(Informed=0,N768,0)</f>
        <v>0</v>
      </c>
      <c r="AB768" s="51" t="e">
        <f aca="false">IF(Arterial=0,IF(Informed=1,1,0),0)</f>
        <v>#N/A</v>
      </c>
      <c r="AC768" s="51" t="e">
        <f aca="false">IF(Arterial=0,IF(Informed=0,1,0),0)</f>
        <v>#N/A</v>
      </c>
      <c r="AD768" s="51" t="e">
        <f aca="false">IF(Arterial=1,IF(Informed=1,1,0),0)</f>
        <v>#N/A</v>
      </c>
      <c r="AE768" s="51" t="e">
        <f aca="false">IF(Arterial=1,IF(Informed=0,1,0),0)</f>
        <v>#N/A</v>
      </c>
      <c r="AF768" s="44" t="e">
        <f aca="false">IF(AB768=1,(X768-G$1030)^2,0)</f>
        <v>#N/A</v>
      </c>
      <c r="AG768" s="44" t="e">
        <f aca="false">IF(AC768=1,(Y768-H$1030)^2,0)</f>
        <v>#N/A</v>
      </c>
      <c r="AH768" s="44" t="e">
        <f aca="false">IF(AD768=1,(Z768-I$1030)^2,0)</f>
        <v>#N/A</v>
      </c>
      <c r="AI768" s="44" t="e">
        <f aca="false">IF(AE768=1,(AA768-J$1030)^2,0)</f>
        <v>#N/A</v>
      </c>
    </row>
    <row r="769" customFormat="false" ht="12" hidden="false" customHeight="false" outlineLevel="0" collapsed="false">
      <c r="A769" s="29" t="n">
        <v>752</v>
      </c>
      <c r="B769" s="45" t="n">
        <f aca="true">IF(RAND()&lt;$D$8,1,0)</f>
        <v>1</v>
      </c>
      <c r="C769" s="34" t="n">
        <f aca="true">-LN(RAND())/$D$2</f>
        <v>0.0104954688072194</v>
      </c>
      <c r="D769" s="46" t="n">
        <f aca="false">D768+C769</f>
        <v>1156.93931216315</v>
      </c>
      <c r="E769" s="47" t="e">
        <f aca="false">MAX($D$3,(1+P768-VLOOKUP(VALUE(D769),$J$18:$Q768,7,TRUE()))*$D$3)</f>
        <v>#N/A</v>
      </c>
      <c r="F769" s="47" t="e">
        <f aca="false">MAX($D$4,(1+Q768-VLOOKUP(VALUE(D769),$M$18:$Q768,5,TRUE()))*$D$4)</f>
        <v>#N/A</v>
      </c>
      <c r="G769" s="48" t="n">
        <v>0.5</v>
      </c>
      <c r="H769" s="46" t="e">
        <f aca="true">IF((B769=1),(IF((F769&lt;E769),1,(IF((F769=E769),(IF(RAND()&lt;G769,1,0)),0)))),(IF((RAND()&lt;G769),1,0)))</f>
        <v>#N/A</v>
      </c>
      <c r="I769" s="46" t="e">
        <f aca="true">IF((H769=1),0,$D$3+$D$5*(RAND()-0.5))</f>
        <v>#N/A</v>
      </c>
      <c r="J769" s="46" t="e">
        <f aca="false">I769+MAX(D769,J768)</f>
        <v>#N/A</v>
      </c>
      <c r="K769" s="46" t="e">
        <f aca="false">IF((H769=0),J769-D769,0)</f>
        <v>#N/A</v>
      </c>
      <c r="L769" s="46" t="e">
        <f aca="true">IF(($H769=0),0,$D$4+$D$5*(RAND()-0.5))</f>
        <v>#N/A</v>
      </c>
      <c r="M769" s="46" t="e">
        <f aca="false">L769+MAX(D769,M768)</f>
        <v>#N/A</v>
      </c>
      <c r="N769" s="46" t="e">
        <f aca="false">IF((H769=1),M769-D769,0)</f>
        <v>#N/A</v>
      </c>
      <c r="O769" s="29" t="n">
        <v>752</v>
      </c>
      <c r="P769" s="49" t="e">
        <f aca="false">IF((Arterial=0),P768+1,P768)</f>
        <v>#N/A</v>
      </c>
      <c r="Q769" s="49" t="e">
        <f aca="false">IF((Arterial=1),Q768+1,Q768)</f>
        <v>#N/A</v>
      </c>
      <c r="R769" s="50" t="n">
        <f aca="false">IF((RESET=1),0,R769+K769)</f>
        <v>0</v>
      </c>
      <c r="S769" s="19" t="n">
        <f aca="false">IF(RESET=1,0,S769+N769)</f>
        <v>0</v>
      </c>
      <c r="T769" s="0" t="n">
        <f aca="false">IF(RESET=1,0,T769+IF(H769=0,1,0))</f>
        <v>0</v>
      </c>
      <c r="U769" s="0" t="n">
        <f aca="false">IF(RESET=1,0,U769+H769)</f>
        <v>0</v>
      </c>
      <c r="V769" s="19" t="n">
        <f aca="false">R769/(T769+0.00001)</f>
        <v>0</v>
      </c>
      <c r="W769" s="19" t="n">
        <f aca="false">S769/(U769+0.0001)</f>
        <v>0</v>
      </c>
      <c r="X769" s="47" t="e">
        <f aca="false">IF(Informed=1,K769,0)</f>
        <v>#N/A</v>
      </c>
      <c r="Y769" s="47" t="n">
        <f aca="false">IF(Informed=0,K769,0)</f>
        <v>0</v>
      </c>
      <c r="Z769" s="47" t="e">
        <f aca="false">IF(Informed=1,N769,0)</f>
        <v>#N/A</v>
      </c>
      <c r="AA769" s="47" t="n">
        <f aca="false">IF(Informed=0,N769,0)</f>
        <v>0</v>
      </c>
      <c r="AB769" s="51" t="e">
        <f aca="false">IF(Arterial=0,IF(Informed=1,1,0),0)</f>
        <v>#N/A</v>
      </c>
      <c r="AC769" s="51" t="e">
        <f aca="false">IF(Arterial=0,IF(Informed=0,1,0),0)</f>
        <v>#N/A</v>
      </c>
      <c r="AD769" s="51" t="e">
        <f aca="false">IF(Arterial=1,IF(Informed=1,1,0),0)</f>
        <v>#N/A</v>
      </c>
      <c r="AE769" s="51" t="e">
        <f aca="false">IF(Arterial=1,IF(Informed=0,1,0),0)</f>
        <v>#N/A</v>
      </c>
      <c r="AF769" s="44" t="e">
        <f aca="false">IF(AB769=1,(X769-G$1030)^2,0)</f>
        <v>#N/A</v>
      </c>
      <c r="AG769" s="44" t="e">
        <f aca="false">IF(AC769=1,(Y769-H$1030)^2,0)</f>
        <v>#N/A</v>
      </c>
      <c r="AH769" s="44" t="e">
        <f aca="false">IF(AD769=1,(Z769-I$1030)^2,0)</f>
        <v>#N/A</v>
      </c>
      <c r="AI769" s="44" t="e">
        <f aca="false">IF(AE769=1,(AA769-J$1030)^2,0)</f>
        <v>#N/A</v>
      </c>
    </row>
    <row r="770" customFormat="false" ht="12" hidden="false" customHeight="false" outlineLevel="0" collapsed="false">
      <c r="A770" s="29" t="n">
        <v>753</v>
      </c>
      <c r="B770" s="45" t="n">
        <f aca="true">IF(RAND()&lt;$D$8,1,0)</f>
        <v>1</v>
      </c>
      <c r="C770" s="34" t="n">
        <f aca="true">-LN(RAND())/$D$2</f>
        <v>0.187964237474965</v>
      </c>
      <c r="D770" s="46" t="n">
        <f aca="false">D769+C770</f>
        <v>1157.12727640062</v>
      </c>
      <c r="E770" s="47" t="e">
        <f aca="false">MAX($D$3,(1+P769-VLOOKUP(VALUE(D770),$J$18:$Q769,7,TRUE()))*$D$3)</f>
        <v>#N/A</v>
      </c>
      <c r="F770" s="47" t="e">
        <f aca="false">MAX($D$4,(1+Q769-VLOOKUP(VALUE(D770),$M$18:$Q769,5,TRUE()))*$D$4)</f>
        <v>#N/A</v>
      </c>
      <c r="G770" s="48" t="n">
        <v>0.5</v>
      </c>
      <c r="H770" s="46" t="e">
        <f aca="true">IF((B770=1),(IF((F770&lt;E770),1,(IF((F770=E770),(IF(RAND()&lt;G770,1,0)),0)))),(IF((RAND()&lt;G770),1,0)))</f>
        <v>#N/A</v>
      </c>
      <c r="I770" s="46" t="e">
        <f aca="true">IF((H770=1),0,$D$3+$D$5*(RAND()-0.5))</f>
        <v>#N/A</v>
      </c>
      <c r="J770" s="46" t="e">
        <f aca="false">I770+MAX(D770,J769)</f>
        <v>#N/A</v>
      </c>
      <c r="K770" s="46" t="e">
        <f aca="false">IF((H770=0),J770-D770,0)</f>
        <v>#N/A</v>
      </c>
      <c r="L770" s="46" t="e">
        <f aca="true">IF(($H770=0),0,$D$4+$D$5*(RAND()-0.5))</f>
        <v>#N/A</v>
      </c>
      <c r="M770" s="46" t="e">
        <f aca="false">L770+MAX(D770,M769)</f>
        <v>#N/A</v>
      </c>
      <c r="N770" s="46" t="e">
        <f aca="false">IF((H770=1),M770-D770,0)</f>
        <v>#N/A</v>
      </c>
      <c r="O770" s="29" t="n">
        <v>753</v>
      </c>
      <c r="P770" s="49" t="e">
        <f aca="false">IF((Arterial=0),P769+1,P769)</f>
        <v>#N/A</v>
      </c>
      <c r="Q770" s="49" t="e">
        <f aca="false">IF((Arterial=1),Q769+1,Q769)</f>
        <v>#N/A</v>
      </c>
      <c r="R770" s="50" t="n">
        <f aca="false">IF((RESET=1),0,R770+K770)</f>
        <v>0</v>
      </c>
      <c r="S770" s="19" t="n">
        <f aca="false">IF(RESET=1,0,S770+N770)</f>
        <v>0</v>
      </c>
      <c r="T770" s="0" t="n">
        <f aca="false">IF(RESET=1,0,T770+IF(H770=0,1,0))</f>
        <v>0</v>
      </c>
      <c r="U770" s="0" t="n">
        <f aca="false">IF(RESET=1,0,U770+H770)</f>
        <v>0</v>
      </c>
      <c r="V770" s="19" t="n">
        <f aca="false">R770/(T770+0.00001)</f>
        <v>0</v>
      </c>
      <c r="W770" s="19" t="n">
        <f aca="false">S770/(U770+0.0001)</f>
        <v>0</v>
      </c>
      <c r="X770" s="47" t="e">
        <f aca="false">IF(Informed=1,K770,0)</f>
        <v>#N/A</v>
      </c>
      <c r="Y770" s="47" t="n">
        <f aca="false">IF(Informed=0,K770,0)</f>
        <v>0</v>
      </c>
      <c r="Z770" s="47" t="e">
        <f aca="false">IF(Informed=1,N770,0)</f>
        <v>#N/A</v>
      </c>
      <c r="AA770" s="47" t="n">
        <f aca="false">IF(Informed=0,N770,0)</f>
        <v>0</v>
      </c>
      <c r="AB770" s="51" t="e">
        <f aca="false">IF(Arterial=0,IF(Informed=1,1,0),0)</f>
        <v>#N/A</v>
      </c>
      <c r="AC770" s="51" t="e">
        <f aca="false">IF(Arterial=0,IF(Informed=0,1,0),0)</f>
        <v>#N/A</v>
      </c>
      <c r="AD770" s="51" t="e">
        <f aca="false">IF(Arterial=1,IF(Informed=1,1,0),0)</f>
        <v>#N/A</v>
      </c>
      <c r="AE770" s="51" t="e">
        <f aca="false">IF(Arterial=1,IF(Informed=0,1,0),0)</f>
        <v>#N/A</v>
      </c>
      <c r="AF770" s="44" t="e">
        <f aca="false">IF(AB770=1,(X770-G$1030)^2,0)</f>
        <v>#N/A</v>
      </c>
      <c r="AG770" s="44" t="e">
        <f aca="false">IF(AC770=1,(Y770-H$1030)^2,0)</f>
        <v>#N/A</v>
      </c>
      <c r="AH770" s="44" t="e">
        <f aca="false">IF(AD770=1,(Z770-I$1030)^2,0)</f>
        <v>#N/A</v>
      </c>
      <c r="AI770" s="44" t="e">
        <f aca="false">IF(AE770=1,(AA770-J$1030)^2,0)</f>
        <v>#N/A</v>
      </c>
    </row>
    <row r="771" customFormat="false" ht="12" hidden="false" customHeight="false" outlineLevel="0" collapsed="false">
      <c r="A771" s="29" t="n">
        <v>754</v>
      </c>
      <c r="B771" s="45" t="n">
        <f aca="true">IF(RAND()&lt;$D$8,1,0)</f>
        <v>1</v>
      </c>
      <c r="C771" s="34" t="n">
        <f aca="true">-LN(RAND())/$D$2</f>
        <v>0.586499322206727</v>
      </c>
      <c r="D771" s="46" t="n">
        <f aca="false">D770+C771</f>
        <v>1157.71377572283</v>
      </c>
      <c r="E771" s="47" t="e">
        <f aca="false">MAX($D$3,(1+P770-VLOOKUP(VALUE(D771),$J$18:$Q770,7,TRUE()))*$D$3)</f>
        <v>#N/A</v>
      </c>
      <c r="F771" s="47" t="e">
        <f aca="false">MAX($D$4,(1+Q770-VLOOKUP(VALUE(D771),$M$18:$Q770,5,TRUE()))*$D$4)</f>
        <v>#N/A</v>
      </c>
      <c r="G771" s="48" t="n">
        <v>0.5</v>
      </c>
      <c r="H771" s="46" t="e">
        <f aca="true">IF((B771=1),(IF((F771&lt;E771),1,(IF((F771=E771),(IF(RAND()&lt;G771,1,0)),0)))),(IF((RAND()&lt;G771),1,0)))</f>
        <v>#N/A</v>
      </c>
      <c r="I771" s="46" t="e">
        <f aca="true">IF((H771=1),0,$D$3+$D$5*(RAND()-0.5))</f>
        <v>#N/A</v>
      </c>
      <c r="J771" s="46" t="e">
        <f aca="false">I771+MAX(D771,J770)</f>
        <v>#N/A</v>
      </c>
      <c r="K771" s="46" t="e">
        <f aca="false">IF((H771=0),J771-D771,0)</f>
        <v>#N/A</v>
      </c>
      <c r="L771" s="46" t="e">
        <f aca="true">IF(($H771=0),0,$D$4+$D$5*(RAND()-0.5))</f>
        <v>#N/A</v>
      </c>
      <c r="M771" s="46" t="e">
        <f aca="false">L771+MAX(D771,M770)</f>
        <v>#N/A</v>
      </c>
      <c r="N771" s="46" t="e">
        <f aca="false">IF((H771=1),M771-D771,0)</f>
        <v>#N/A</v>
      </c>
      <c r="O771" s="29" t="n">
        <v>754</v>
      </c>
      <c r="P771" s="49" t="e">
        <f aca="false">IF((Arterial=0),P770+1,P770)</f>
        <v>#N/A</v>
      </c>
      <c r="Q771" s="49" t="e">
        <f aca="false">IF((Arterial=1),Q770+1,Q770)</f>
        <v>#N/A</v>
      </c>
      <c r="R771" s="50" t="n">
        <f aca="false">IF((RESET=1),0,R771+K771)</f>
        <v>0</v>
      </c>
      <c r="S771" s="19" t="n">
        <f aca="false">IF(RESET=1,0,S771+N771)</f>
        <v>0</v>
      </c>
      <c r="T771" s="0" t="n">
        <f aca="false">IF(RESET=1,0,T771+IF(H771=0,1,0))</f>
        <v>0</v>
      </c>
      <c r="U771" s="0" t="n">
        <f aca="false">IF(RESET=1,0,U771+H771)</f>
        <v>0</v>
      </c>
      <c r="V771" s="19" t="n">
        <f aca="false">R771/(T771+0.00001)</f>
        <v>0</v>
      </c>
      <c r="W771" s="19" t="n">
        <f aca="false">S771/(U771+0.0001)</f>
        <v>0</v>
      </c>
      <c r="X771" s="47" t="e">
        <f aca="false">IF(Informed=1,K771,0)</f>
        <v>#N/A</v>
      </c>
      <c r="Y771" s="47" t="n">
        <f aca="false">IF(Informed=0,K771,0)</f>
        <v>0</v>
      </c>
      <c r="Z771" s="47" t="e">
        <f aca="false">IF(Informed=1,N771,0)</f>
        <v>#N/A</v>
      </c>
      <c r="AA771" s="47" t="n">
        <f aca="false">IF(Informed=0,N771,0)</f>
        <v>0</v>
      </c>
      <c r="AB771" s="51" t="e">
        <f aca="false">IF(Arterial=0,IF(Informed=1,1,0),0)</f>
        <v>#N/A</v>
      </c>
      <c r="AC771" s="51" t="e">
        <f aca="false">IF(Arterial=0,IF(Informed=0,1,0),0)</f>
        <v>#N/A</v>
      </c>
      <c r="AD771" s="51" t="e">
        <f aca="false">IF(Arterial=1,IF(Informed=1,1,0),0)</f>
        <v>#N/A</v>
      </c>
      <c r="AE771" s="51" t="e">
        <f aca="false">IF(Arterial=1,IF(Informed=0,1,0),0)</f>
        <v>#N/A</v>
      </c>
      <c r="AF771" s="44" t="e">
        <f aca="false">IF(AB771=1,(X771-G$1030)^2,0)</f>
        <v>#N/A</v>
      </c>
      <c r="AG771" s="44" t="e">
        <f aca="false">IF(AC771=1,(Y771-H$1030)^2,0)</f>
        <v>#N/A</v>
      </c>
      <c r="AH771" s="44" t="e">
        <f aca="false">IF(AD771=1,(Z771-I$1030)^2,0)</f>
        <v>#N/A</v>
      </c>
      <c r="AI771" s="44" t="e">
        <f aca="false">IF(AE771=1,(AA771-J$1030)^2,0)</f>
        <v>#N/A</v>
      </c>
    </row>
    <row r="772" customFormat="false" ht="12" hidden="false" customHeight="false" outlineLevel="0" collapsed="false">
      <c r="A772" s="29" t="n">
        <v>755</v>
      </c>
      <c r="B772" s="45" t="n">
        <f aca="true">IF(RAND()&lt;$D$8,1,0)</f>
        <v>1</v>
      </c>
      <c r="C772" s="34" t="n">
        <f aca="true">-LN(RAND())/$D$2</f>
        <v>0.0359770395347139</v>
      </c>
      <c r="D772" s="46" t="n">
        <f aca="false">D771+C772</f>
        <v>1157.74975276236</v>
      </c>
      <c r="E772" s="47" t="e">
        <f aca="false">MAX($D$3,(1+P771-VLOOKUP(VALUE(D772),$J$18:$Q771,7,TRUE()))*$D$3)</f>
        <v>#N/A</v>
      </c>
      <c r="F772" s="47" t="e">
        <f aca="false">MAX($D$4,(1+Q771-VLOOKUP(VALUE(D772),$M$18:$Q771,5,TRUE()))*$D$4)</f>
        <v>#N/A</v>
      </c>
      <c r="G772" s="48" t="n">
        <v>0.5</v>
      </c>
      <c r="H772" s="46" t="e">
        <f aca="true">IF((B772=1),(IF((F772&lt;E772),1,(IF((F772=E772),(IF(RAND()&lt;G772,1,0)),0)))),(IF((RAND()&lt;G772),1,0)))</f>
        <v>#N/A</v>
      </c>
      <c r="I772" s="46" t="e">
        <f aca="true">IF((H772=1),0,$D$3+$D$5*(RAND()-0.5))</f>
        <v>#N/A</v>
      </c>
      <c r="J772" s="46" t="e">
        <f aca="false">I772+MAX(D772,J771)</f>
        <v>#N/A</v>
      </c>
      <c r="K772" s="46" t="e">
        <f aca="false">IF((H772=0),J772-D772,0)</f>
        <v>#N/A</v>
      </c>
      <c r="L772" s="46" t="e">
        <f aca="true">IF(($H772=0),0,$D$4+$D$5*(RAND()-0.5))</f>
        <v>#N/A</v>
      </c>
      <c r="M772" s="46" t="e">
        <f aca="false">L772+MAX(D772,M771)</f>
        <v>#N/A</v>
      </c>
      <c r="N772" s="46" t="e">
        <f aca="false">IF((H772=1),M772-D772,0)</f>
        <v>#N/A</v>
      </c>
      <c r="O772" s="29" t="n">
        <v>755</v>
      </c>
      <c r="P772" s="49" t="e">
        <f aca="false">IF((Arterial=0),P771+1,P771)</f>
        <v>#N/A</v>
      </c>
      <c r="Q772" s="49" t="e">
        <f aca="false">IF((Arterial=1),Q771+1,Q771)</f>
        <v>#N/A</v>
      </c>
      <c r="R772" s="50" t="n">
        <f aca="false">IF((RESET=1),0,R772+K772)</f>
        <v>0</v>
      </c>
      <c r="S772" s="19" t="n">
        <f aca="false">IF(RESET=1,0,S772+N772)</f>
        <v>0</v>
      </c>
      <c r="T772" s="0" t="n">
        <f aca="false">IF(RESET=1,0,T772+IF(H772=0,1,0))</f>
        <v>0</v>
      </c>
      <c r="U772" s="0" t="n">
        <f aca="false">IF(RESET=1,0,U772+H772)</f>
        <v>0</v>
      </c>
      <c r="V772" s="19" t="n">
        <f aca="false">R772/(T772+0.00001)</f>
        <v>0</v>
      </c>
      <c r="W772" s="19" t="n">
        <f aca="false">S772/(U772+0.0001)</f>
        <v>0</v>
      </c>
      <c r="X772" s="47" t="e">
        <f aca="false">IF(Informed=1,K772,0)</f>
        <v>#N/A</v>
      </c>
      <c r="Y772" s="47" t="n">
        <f aca="false">IF(Informed=0,K772,0)</f>
        <v>0</v>
      </c>
      <c r="Z772" s="47" t="e">
        <f aca="false">IF(Informed=1,N772,0)</f>
        <v>#N/A</v>
      </c>
      <c r="AA772" s="47" t="n">
        <f aca="false">IF(Informed=0,N772,0)</f>
        <v>0</v>
      </c>
      <c r="AB772" s="51" t="e">
        <f aca="false">IF(Arterial=0,IF(Informed=1,1,0),0)</f>
        <v>#N/A</v>
      </c>
      <c r="AC772" s="51" t="e">
        <f aca="false">IF(Arterial=0,IF(Informed=0,1,0),0)</f>
        <v>#N/A</v>
      </c>
      <c r="AD772" s="51" t="e">
        <f aca="false">IF(Arterial=1,IF(Informed=1,1,0),0)</f>
        <v>#N/A</v>
      </c>
      <c r="AE772" s="51" t="e">
        <f aca="false">IF(Arterial=1,IF(Informed=0,1,0),0)</f>
        <v>#N/A</v>
      </c>
      <c r="AF772" s="44" t="e">
        <f aca="false">IF(AB772=1,(X772-G$1030)^2,0)</f>
        <v>#N/A</v>
      </c>
      <c r="AG772" s="44" t="e">
        <f aca="false">IF(AC772=1,(Y772-H$1030)^2,0)</f>
        <v>#N/A</v>
      </c>
      <c r="AH772" s="44" t="e">
        <f aca="false">IF(AD772=1,(Z772-I$1030)^2,0)</f>
        <v>#N/A</v>
      </c>
      <c r="AI772" s="44" t="e">
        <f aca="false">IF(AE772=1,(AA772-J$1030)^2,0)</f>
        <v>#N/A</v>
      </c>
    </row>
    <row r="773" customFormat="false" ht="12" hidden="false" customHeight="false" outlineLevel="0" collapsed="false">
      <c r="A773" s="29" t="n">
        <v>756</v>
      </c>
      <c r="B773" s="45" t="n">
        <f aca="true">IF(RAND()&lt;$D$8,1,0)</f>
        <v>1</v>
      </c>
      <c r="C773" s="34" t="n">
        <f aca="true">-LN(RAND())/$D$2</f>
        <v>1.39889403734379</v>
      </c>
      <c r="D773" s="46" t="n">
        <f aca="false">D772+C773</f>
        <v>1159.14864679971</v>
      </c>
      <c r="E773" s="47" t="e">
        <f aca="false">MAX($D$3,(1+P772-VLOOKUP(VALUE(D773),$J$18:$Q772,7,TRUE()))*$D$3)</f>
        <v>#N/A</v>
      </c>
      <c r="F773" s="47" t="e">
        <f aca="false">MAX($D$4,(1+Q772-VLOOKUP(VALUE(D773),$M$18:$Q772,5,TRUE()))*$D$4)</f>
        <v>#N/A</v>
      </c>
      <c r="G773" s="48" t="n">
        <v>0.5</v>
      </c>
      <c r="H773" s="46" t="e">
        <f aca="true">IF((B773=1),(IF((F773&lt;E773),1,(IF((F773=E773),(IF(RAND()&lt;G773,1,0)),0)))),(IF((RAND()&lt;G773),1,0)))</f>
        <v>#N/A</v>
      </c>
      <c r="I773" s="46" t="e">
        <f aca="true">IF((H773=1),0,$D$3+$D$5*(RAND()-0.5))</f>
        <v>#N/A</v>
      </c>
      <c r="J773" s="46" t="e">
        <f aca="false">I773+MAX(D773,J772)</f>
        <v>#N/A</v>
      </c>
      <c r="K773" s="46" t="e">
        <f aca="false">IF((H773=0),J773-D773,0)</f>
        <v>#N/A</v>
      </c>
      <c r="L773" s="46" t="e">
        <f aca="true">IF(($H773=0),0,$D$4+$D$5*(RAND()-0.5))</f>
        <v>#N/A</v>
      </c>
      <c r="M773" s="46" t="e">
        <f aca="false">L773+MAX(D773,M772)</f>
        <v>#N/A</v>
      </c>
      <c r="N773" s="46" t="e">
        <f aca="false">IF((H773=1),M773-D773,0)</f>
        <v>#N/A</v>
      </c>
      <c r="O773" s="29" t="n">
        <v>756</v>
      </c>
      <c r="P773" s="49" t="e">
        <f aca="false">IF((Arterial=0),P772+1,P772)</f>
        <v>#N/A</v>
      </c>
      <c r="Q773" s="49" t="e">
        <f aca="false">IF((Arterial=1),Q772+1,Q772)</f>
        <v>#N/A</v>
      </c>
      <c r="R773" s="50" t="n">
        <f aca="false">IF((RESET=1),0,R773+K773)</f>
        <v>0</v>
      </c>
      <c r="S773" s="19" t="n">
        <f aca="false">IF(RESET=1,0,S773+N773)</f>
        <v>0</v>
      </c>
      <c r="T773" s="0" t="n">
        <f aca="false">IF(RESET=1,0,T773+IF(H773=0,1,0))</f>
        <v>0</v>
      </c>
      <c r="U773" s="0" t="n">
        <f aca="false">IF(RESET=1,0,U773+H773)</f>
        <v>0</v>
      </c>
      <c r="V773" s="19" t="n">
        <f aca="false">R773/(T773+0.00001)</f>
        <v>0</v>
      </c>
      <c r="W773" s="19" t="n">
        <f aca="false">S773/(U773+0.0001)</f>
        <v>0</v>
      </c>
      <c r="X773" s="47" t="e">
        <f aca="false">IF(Informed=1,K773,0)</f>
        <v>#N/A</v>
      </c>
      <c r="Y773" s="47" t="n">
        <f aca="false">IF(Informed=0,K773,0)</f>
        <v>0</v>
      </c>
      <c r="Z773" s="47" t="e">
        <f aca="false">IF(Informed=1,N773,0)</f>
        <v>#N/A</v>
      </c>
      <c r="AA773" s="47" t="n">
        <f aca="false">IF(Informed=0,N773,0)</f>
        <v>0</v>
      </c>
      <c r="AB773" s="51" t="e">
        <f aca="false">IF(Arterial=0,IF(Informed=1,1,0),0)</f>
        <v>#N/A</v>
      </c>
      <c r="AC773" s="51" t="e">
        <f aca="false">IF(Arterial=0,IF(Informed=0,1,0),0)</f>
        <v>#N/A</v>
      </c>
      <c r="AD773" s="51" t="e">
        <f aca="false">IF(Arterial=1,IF(Informed=1,1,0),0)</f>
        <v>#N/A</v>
      </c>
      <c r="AE773" s="51" t="e">
        <f aca="false">IF(Arterial=1,IF(Informed=0,1,0),0)</f>
        <v>#N/A</v>
      </c>
      <c r="AF773" s="44" t="e">
        <f aca="false">IF(AB773=1,(X773-G$1030)^2,0)</f>
        <v>#N/A</v>
      </c>
      <c r="AG773" s="44" t="e">
        <f aca="false">IF(AC773=1,(Y773-H$1030)^2,0)</f>
        <v>#N/A</v>
      </c>
      <c r="AH773" s="44" t="e">
        <f aca="false">IF(AD773=1,(Z773-I$1030)^2,0)</f>
        <v>#N/A</v>
      </c>
      <c r="AI773" s="44" t="e">
        <f aca="false">IF(AE773=1,(AA773-J$1030)^2,0)</f>
        <v>#N/A</v>
      </c>
    </row>
    <row r="774" customFormat="false" ht="12" hidden="false" customHeight="false" outlineLevel="0" collapsed="false">
      <c r="A774" s="29" t="n">
        <v>757</v>
      </c>
      <c r="B774" s="45" t="n">
        <f aca="true">IF(RAND()&lt;$D$8,1,0)</f>
        <v>1</v>
      </c>
      <c r="C774" s="34" t="n">
        <f aca="true">-LN(RAND())/$D$2</f>
        <v>0.557035289342615</v>
      </c>
      <c r="D774" s="46" t="n">
        <f aca="false">D773+C774</f>
        <v>1159.70568208905</v>
      </c>
      <c r="E774" s="47" t="e">
        <f aca="false">MAX($D$3,(1+P773-VLOOKUP(VALUE(D774),$J$18:$Q773,7,TRUE()))*$D$3)</f>
        <v>#N/A</v>
      </c>
      <c r="F774" s="47" t="e">
        <f aca="false">MAX($D$4,(1+Q773-VLOOKUP(VALUE(D774),$M$18:$Q773,5,TRUE()))*$D$4)</f>
        <v>#N/A</v>
      </c>
      <c r="G774" s="48" t="n">
        <v>0.5</v>
      </c>
      <c r="H774" s="46" t="e">
        <f aca="true">IF((B774=1),(IF((F774&lt;E774),1,(IF((F774=E774),(IF(RAND()&lt;G774,1,0)),0)))),(IF((RAND()&lt;G774),1,0)))</f>
        <v>#N/A</v>
      </c>
      <c r="I774" s="46" t="e">
        <f aca="true">IF((H774=1),0,$D$3+$D$5*(RAND()-0.5))</f>
        <v>#N/A</v>
      </c>
      <c r="J774" s="46" t="e">
        <f aca="false">I774+MAX(D774,J773)</f>
        <v>#N/A</v>
      </c>
      <c r="K774" s="46" t="e">
        <f aca="false">IF((H774=0),J774-D774,0)</f>
        <v>#N/A</v>
      </c>
      <c r="L774" s="46" t="e">
        <f aca="true">IF(($H774=0),0,$D$4+$D$5*(RAND()-0.5))</f>
        <v>#N/A</v>
      </c>
      <c r="M774" s="46" t="e">
        <f aca="false">L774+MAX(D774,M773)</f>
        <v>#N/A</v>
      </c>
      <c r="N774" s="46" t="e">
        <f aca="false">IF((H774=1),M774-D774,0)</f>
        <v>#N/A</v>
      </c>
      <c r="O774" s="29" t="n">
        <v>757</v>
      </c>
      <c r="P774" s="49" t="e">
        <f aca="false">IF((Arterial=0),P773+1,P773)</f>
        <v>#N/A</v>
      </c>
      <c r="Q774" s="49" t="e">
        <f aca="false">IF((Arterial=1),Q773+1,Q773)</f>
        <v>#N/A</v>
      </c>
      <c r="R774" s="50" t="n">
        <f aca="false">IF((RESET=1),0,R774+K774)</f>
        <v>0</v>
      </c>
      <c r="S774" s="19" t="n">
        <f aca="false">IF(RESET=1,0,S774+N774)</f>
        <v>0</v>
      </c>
      <c r="T774" s="0" t="n">
        <f aca="false">IF(RESET=1,0,T774+IF(H774=0,1,0))</f>
        <v>0</v>
      </c>
      <c r="U774" s="0" t="n">
        <f aca="false">IF(RESET=1,0,U774+H774)</f>
        <v>0</v>
      </c>
      <c r="V774" s="19" t="n">
        <f aca="false">R774/(T774+0.00001)</f>
        <v>0</v>
      </c>
      <c r="W774" s="19" t="n">
        <f aca="false">S774/(U774+0.0001)</f>
        <v>0</v>
      </c>
      <c r="X774" s="47" t="e">
        <f aca="false">IF(Informed=1,K774,0)</f>
        <v>#N/A</v>
      </c>
      <c r="Y774" s="47" t="n">
        <f aca="false">IF(Informed=0,K774,0)</f>
        <v>0</v>
      </c>
      <c r="Z774" s="47" t="e">
        <f aca="false">IF(Informed=1,N774,0)</f>
        <v>#N/A</v>
      </c>
      <c r="AA774" s="47" t="n">
        <f aca="false">IF(Informed=0,N774,0)</f>
        <v>0</v>
      </c>
      <c r="AB774" s="51" t="e">
        <f aca="false">IF(Arterial=0,IF(Informed=1,1,0),0)</f>
        <v>#N/A</v>
      </c>
      <c r="AC774" s="51" t="e">
        <f aca="false">IF(Arterial=0,IF(Informed=0,1,0),0)</f>
        <v>#N/A</v>
      </c>
      <c r="AD774" s="51" t="e">
        <f aca="false">IF(Arterial=1,IF(Informed=1,1,0),0)</f>
        <v>#N/A</v>
      </c>
      <c r="AE774" s="51" t="e">
        <f aca="false">IF(Arterial=1,IF(Informed=0,1,0),0)</f>
        <v>#N/A</v>
      </c>
      <c r="AF774" s="44" t="e">
        <f aca="false">IF(AB774=1,(X774-G$1030)^2,0)</f>
        <v>#N/A</v>
      </c>
      <c r="AG774" s="44" t="e">
        <f aca="false">IF(AC774=1,(Y774-H$1030)^2,0)</f>
        <v>#N/A</v>
      </c>
      <c r="AH774" s="44" t="e">
        <f aca="false">IF(AD774=1,(Z774-I$1030)^2,0)</f>
        <v>#N/A</v>
      </c>
      <c r="AI774" s="44" t="e">
        <f aca="false">IF(AE774=1,(AA774-J$1030)^2,0)</f>
        <v>#N/A</v>
      </c>
    </row>
    <row r="775" customFormat="false" ht="12" hidden="false" customHeight="false" outlineLevel="0" collapsed="false">
      <c r="A775" s="29" t="n">
        <v>758</v>
      </c>
      <c r="B775" s="45" t="n">
        <f aca="true">IF(RAND()&lt;$D$8,1,0)</f>
        <v>1</v>
      </c>
      <c r="C775" s="34" t="n">
        <f aca="true">-LN(RAND())/$D$2</f>
        <v>2.59708804694911</v>
      </c>
      <c r="D775" s="46" t="n">
        <f aca="false">D774+C775</f>
        <v>1162.302770136</v>
      </c>
      <c r="E775" s="47" t="e">
        <f aca="false">MAX($D$3,(1+P774-VLOOKUP(VALUE(D775),$J$18:$Q774,7,TRUE()))*$D$3)</f>
        <v>#N/A</v>
      </c>
      <c r="F775" s="47" t="e">
        <f aca="false">MAX($D$4,(1+Q774-VLOOKUP(VALUE(D775),$M$18:$Q774,5,TRUE()))*$D$4)</f>
        <v>#N/A</v>
      </c>
      <c r="G775" s="48" t="n">
        <v>0.5</v>
      </c>
      <c r="H775" s="46" t="e">
        <f aca="true">IF((B775=1),(IF((F775&lt;E775),1,(IF((F775=E775),(IF(RAND()&lt;G775,1,0)),0)))),(IF((RAND()&lt;G775),1,0)))</f>
        <v>#N/A</v>
      </c>
      <c r="I775" s="46" t="e">
        <f aca="true">IF((H775=1),0,$D$3+$D$5*(RAND()-0.5))</f>
        <v>#N/A</v>
      </c>
      <c r="J775" s="46" t="e">
        <f aca="false">I775+MAX(D775,J774)</f>
        <v>#N/A</v>
      </c>
      <c r="K775" s="46" t="e">
        <f aca="false">IF((H775=0),J775-D775,0)</f>
        <v>#N/A</v>
      </c>
      <c r="L775" s="46" t="e">
        <f aca="true">IF(($H775=0),0,$D$4+$D$5*(RAND()-0.5))</f>
        <v>#N/A</v>
      </c>
      <c r="M775" s="46" t="e">
        <f aca="false">L775+MAX(D775,M774)</f>
        <v>#N/A</v>
      </c>
      <c r="N775" s="46" t="e">
        <f aca="false">IF((H775=1),M775-D775,0)</f>
        <v>#N/A</v>
      </c>
      <c r="O775" s="29" t="n">
        <v>758</v>
      </c>
      <c r="P775" s="49" t="e">
        <f aca="false">IF((Arterial=0),P774+1,P774)</f>
        <v>#N/A</v>
      </c>
      <c r="Q775" s="49" t="e">
        <f aca="false">IF((Arterial=1),Q774+1,Q774)</f>
        <v>#N/A</v>
      </c>
      <c r="R775" s="50" t="n">
        <f aca="false">IF((RESET=1),0,R775+K775)</f>
        <v>0</v>
      </c>
      <c r="S775" s="19" t="n">
        <f aca="false">IF(RESET=1,0,S775+N775)</f>
        <v>0</v>
      </c>
      <c r="T775" s="0" t="n">
        <f aca="false">IF(RESET=1,0,T775+IF(H775=0,1,0))</f>
        <v>0</v>
      </c>
      <c r="U775" s="0" t="n">
        <f aca="false">IF(RESET=1,0,U775+H775)</f>
        <v>0</v>
      </c>
      <c r="V775" s="19" t="n">
        <f aca="false">R775/(T775+0.00001)</f>
        <v>0</v>
      </c>
      <c r="W775" s="19" t="n">
        <f aca="false">S775/(U775+0.0001)</f>
        <v>0</v>
      </c>
      <c r="X775" s="47" t="e">
        <f aca="false">IF(Informed=1,K775,0)</f>
        <v>#N/A</v>
      </c>
      <c r="Y775" s="47" t="n">
        <f aca="false">IF(Informed=0,K775,0)</f>
        <v>0</v>
      </c>
      <c r="Z775" s="47" t="e">
        <f aca="false">IF(Informed=1,N775,0)</f>
        <v>#N/A</v>
      </c>
      <c r="AA775" s="47" t="n">
        <f aca="false">IF(Informed=0,N775,0)</f>
        <v>0</v>
      </c>
      <c r="AB775" s="51" t="e">
        <f aca="false">IF(Arterial=0,IF(Informed=1,1,0),0)</f>
        <v>#N/A</v>
      </c>
      <c r="AC775" s="51" t="e">
        <f aca="false">IF(Arterial=0,IF(Informed=0,1,0),0)</f>
        <v>#N/A</v>
      </c>
      <c r="AD775" s="51" t="e">
        <f aca="false">IF(Arterial=1,IF(Informed=1,1,0),0)</f>
        <v>#N/A</v>
      </c>
      <c r="AE775" s="51" t="e">
        <f aca="false">IF(Arterial=1,IF(Informed=0,1,0),0)</f>
        <v>#N/A</v>
      </c>
      <c r="AF775" s="44" t="e">
        <f aca="false">IF(AB775=1,(X775-G$1030)^2,0)</f>
        <v>#N/A</v>
      </c>
      <c r="AG775" s="44" t="e">
        <f aca="false">IF(AC775=1,(Y775-H$1030)^2,0)</f>
        <v>#N/A</v>
      </c>
      <c r="AH775" s="44" t="e">
        <f aca="false">IF(AD775=1,(Z775-I$1030)^2,0)</f>
        <v>#N/A</v>
      </c>
      <c r="AI775" s="44" t="e">
        <f aca="false">IF(AE775=1,(AA775-J$1030)^2,0)</f>
        <v>#N/A</v>
      </c>
    </row>
    <row r="776" customFormat="false" ht="12" hidden="false" customHeight="false" outlineLevel="0" collapsed="false">
      <c r="A776" s="29" t="n">
        <v>759</v>
      </c>
      <c r="B776" s="45" t="n">
        <f aca="true">IF(RAND()&lt;$D$8,1,0)</f>
        <v>1</v>
      </c>
      <c r="C776" s="34" t="n">
        <f aca="true">-LN(RAND())/$D$2</f>
        <v>2.83017991748517</v>
      </c>
      <c r="D776" s="46" t="n">
        <f aca="false">D775+C776</f>
        <v>1165.13295005348</v>
      </c>
      <c r="E776" s="47" t="e">
        <f aca="false">MAX($D$3,(1+P775-VLOOKUP(VALUE(D776),$J$18:$Q775,7,TRUE()))*$D$3)</f>
        <v>#N/A</v>
      </c>
      <c r="F776" s="47" t="e">
        <f aca="false">MAX($D$4,(1+Q775-VLOOKUP(VALUE(D776),$M$18:$Q775,5,TRUE()))*$D$4)</f>
        <v>#N/A</v>
      </c>
      <c r="G776" s="48" t="n">
        <v>0.5</v>
      </c>
      <c r="H776" s="46" t="e">
        <f aca="true">IF((B776=1),(IF((F776&lt;E776),1,(IF((F776=E776),(IF(RAND()&lt;G776,1,0)),0)))),(IF((RAND()&lt;G776),1,0)))</f>
        <v>#N/A</v>
      </c>
      <c r="I776" s="46" t="e">
        <f aca="true">IF((H776=1),0,$D$3+$D$5*(RAND()-0.5))</f>
        <v>#N/A</v>
      </c>
      <c r="J776" s="46" t="e">
        <f aca="false">I776+MAX(D776,J775)</f>
        <v>#N/A</v>
      </c>
      <c r="K776" s="46" t="e">
        <f aca="false">IF((H776=0),J776-D776,0)</f>
        <v>#N/A</v>
      </c>
      <c r="L776" s="46" t="e">
        <f aca="true">IF(($H776=0),0,$D$4+$D$5*(RAND()-0.5))</f>
        <v>#N/A</v>
      </c>
      <c r="M776" s="46" t="e">
        <f aca="false">L776+MAX(D776,M775)</f>
        <v>#N/A</v>
      </c>
      <c r="N776" s="46" t="e">
        <f aca="false">IF((H776=1),M776-D776,0)</f>
        <v>#N/A</v>
      </c>
      <c r="O776" s="29" t="n">
        <v>759</v>
      </c>
      <c r="P776" s="49" t="e">
        <f aca="false">IF((Arterial=0),P775+1,P775)</f>
        <v>#N/A</v>
      </c>
      <c r="Q776" s="49" t="e">
        <f aca="false">IF((Arterial=1),Q775+1,Q775)</f>
        <v>#N/A</v>
      </c>
      <c r="R776" s="50" t="n">
        <f aca="false">IF((RESET=1),0,R776+K776)</f>
        <v>0</v>
      </c>
      <c r="S776" s="19" t="n">
        <f aca="false">IF(RESET=1,0,S776+N776)</f>
        <v>0</v>
      </c>
      <c r="T776" s="0" t="n">
        <f aca="false">IF(RESET=1,0,T776+IF(H776=0,1,0))</f>
        <v>0</v>
      </c>
      <c r="U776" s="0" t="n">
        <f aca="false">IF(RESET=1,0,U776+H776)</f>
        <v>0</v>
      </c>
      <c r="V776" s="19" t="n">
        <f aca="false">R776/(T776+0.00001)</f>
        <v>0</v>
      </c>
      <c r="W776" s="19" t="n">
        <f aca="false">S776/(U776+0.0001)</f>
        <v>0</v>
      </c>
      <c r="X776" s="47" t="e">
        <f aca="false">IF(Informed=1,K776,0)</f>
        <v>#N/A</v>
      </c>
      <c r="Y776" s="47" t="n">
        <f aca="false">IF(Informed=0,K776,0)</f>
        <v>0</v>
      </c>
      <c r="Z776" s="47" t="e">
        <f aca="false">IF(Informed=1,N776,0)</f>
        <v>#N/A</v>
      </c>
      <c r="AA776" s="47" t="n">
        <f aca="false">IF(Informed=0,N776,0)</f>
        <v>0</v>
      </c>
      <c r="AB776" s="51" t="e">
        <f aca="false">IF(Arterial=0,IF(Informed=1,1,0),0)</f>
        <v>#N/A</v>
      </c>
      <c r="AC776" s="51" t="e">
        <f aca="false">IF(Arterial=0,IF(Informed=0,1,0),0)</f>
        <v>#N/A</v>
      </c>
      <c r="AD776" s="51" t="e">
        <f aca="false">IF(Arterial=1,IF(Informed=1,1,0),0)</f>
        <v>#N/A</v>
      </c>
      <c r="AE776" s="51" t="e">
        <f aca="false">IF(Arterial=1,IF(Informed=0,1,0),0)</f>
        <v>#N/A</v>
      </c>
      <c r="AF776" s="44" t="e">
        <f aca="false">IF(AB776=1,(X776-G$1030)^2,0)</f>
        <v>#N/A</v>
      </c>
      <c r="AG776" s="44" t="e">
        <f aca="false">IF(AC776=1,(Y776-H$1030)^2,0)</f>
        <v>#N/A</v>
      </c>
      <c r="AH776" s="44" t="e">
        <f aca="false">IF(AD776=1,(Z776-I$1030)^2,0)</f>
        <v>#N/A</v>
      </c>
      <c r="AI776" s="44" t="e">
        <f aca="false">IF(AE776=1,(AA776-J$1030)^2,0)</f>
        <v>#N/A</v>
      </c>
    </row>
    <row r="777" customFormat="false" ht="12" hidden="false" customHeight="false" outlineLevel="0" collapsed="false">
      <c r="A777" s="29" t="n">
        <v>760</v>
      </c>
      <c r="B777" s="45" t="n">
        <f aca="true">IF(RAND()&lt;$D$8,1,0)</f>
        <v>1</v>
      </c>
      <c r="C777" s="34" t="n">
        <f aca="true">-LN(RAND())/$D$2</f>
        <v>0.0106204705905351</v>
      </c>
      <c r="D777" s="46" t="n">
        <f aca="false">D776+C777</f>
        <v>1165.14357052407</v>
      </c>
      <c r="E777" s="47" t="e">
        <f aca="false">MAX($D$3,(1+P776-VLOOKUP(VALUE(D777),$J$18:$Q776,7,TRUE()))*$D$3)</f>
        <v>#N/A</v>
      </c>
      <c r="F777" s="47" t="e">
        <f aca="false">MAX($D$4,(1+Q776-VLOOKUP(VALUE(D777),$M$18:$Q776,5,TRUE()))*$D$4)</f>
        <v>#N/A</v>
      </c>
      <c r="G777" s="48" t="n">
        <v>0.5</v>
      </c>
      <c r="H777" s="46" t="e">
        <f aca="true">IF((B777=1),(IF((F777&lt;E777),1,(IF((F777=E777),(IF(RAND()&lt;G777,1,0)),0)))),(IF((RAND()&lt;G777),1,0)))</f>
        <v>#N/A</v>
      </c>
      <c r="I777" s="46" t="e">
        <f aca="true">IF((H777=1),0,$D$3+$D$5*(RAND()-0.5))</f>
        <v>#N/A</v>
      </c>
      <c r="J777" s="46" t="e">
        <f aca="false">I777+MAX(D777,J776)</f>
        <v>#N/A</v>
      </c>
      <c r="K777" s="46" t="e">
        <f aca="false">IF((H777=0),J777-D777,0)</f>
        <v>#N/A</v>
      </c>
      <c r="L777" s="46" t="e">
        <f aca="true">IF(($H777=0),0,$D$4+$D$5*(RAND()-0.5))</f>
        <v>#N/A</v>
      </c>
      <c r="M777" s="46" t="e">
        <f aca="false">L777+MAX(D777,M776)</f>
        <v>#N/A</v>
      </c>
      <c r="N777" s="46" t="e">
        <f aca="false">IF((H777=1),M777-D777,0)</f>
        <v>#N/A</v>
      </c>
      <c r="O777" s="29" t="n">
        <v>760</v>
      </c>
      <c r="P777" s="49" t="e">
        <f aca="false">IF((Arterial=0),P776+1,P776)</f>
        <v>#N/A</v>
      </c>
      <c r="Q777" s="49" t="e">
        <f aca="false">IF((Arterial=1),Q776+1,Q776)</f>
        <v>#N/A</v>
      </c>
      <c r="R777" s="50" t="n">
        <f aca="false">IF((RESET=1),0,R777+K777)</f>
        <v>0</v>
      </c>
      <c r="S777" s="19" t="n">
        <f aca="false">IF(RESET=1,0,S777+N777)</f>
        <v>0</v>
      </c>
      <c r="T777" s="0" t="n">
        <f aca="false">IF(RESET=1,0,T777+IF(H777=0,1,0))</f>
        <v>0</v>
      </c>
      <c r="U777" s="0" t="n">
        <f aca="false">IF(RESET=1,0,U777+H777)</f>
        <v>0</v>
      </c>
      <c r="V777" s="19" t="n">
        <f aca="false">R777/(T777+0.00001)</f>
        <v>0</v>
      </c>
      <c r="W777" s="19" t="n">
        <f aca="false">S777/(U777+0.0001)</f>
        <v>0</v>
      </c>
      <c r="X777" s="47" t="e">
        <f aca="false">IF(Informed=1,K777,0)</f>
        <v>#N/A</v>
      </c>
      <c r="Y777" s="47" t="n">
        <f aca="false">IF(Informed=0,K777,0)</f>
        <v>0</v>
      </c>
      <c r="Z777" s="47" t="e">
        <f aca="false">IF(Informed=1,N777,0)</f>
        <v>#N/A</v>
      </c>
      <c r="AA777" s="47" t="n">
        <f aca="false">IF(Informed=0,N777,0)</f>
        <v>0</v>
      </c>
      <c r="AB777" s="51" t="e">
        <f aca="false">IF(Arterial=0,IF(Informed=1,1,0),0)</f>
        <v>#N/A</v>
      </c>
      <c r="AC777" s="51" t="e">
        <f aca="false">IF(Arterial=0,IF(Informed=0,1,0),0)</f>
        <v>#N/A</v>
      </c>
      <c r="AD777" s="51" t="e">
        <f aca="false">IF(Arterial=1,IF(Informed=1,1,0),0)</f>
        <v>#N/A</v>
      </c>
      <c r="AE777" s="51" t="e">
        <f aca="false">IF(Arterial=1,IF(Informed=0,1,0),0)</f>
        <v>#N/A</v>
      </c>
      <c r="AF777" s="44" t="e">
        <f aca="false">IF(AB777=1,(X777-G$1030)^2,0)</f>
        <v>#N/A</v>
      </c>
      <c r="AG777" s="44" t="e">
        <f aca="false">IF(AC777=1,(Y777-H$1030)^2,0)</f>
        <v>#N/A</v>
      </c>
      <c r="AH777" s="44" t="e">
        <f aca="false">IF(AD777=1,(Z777-I$1030)^2,0)</f>
        <v>#N/A</v>
      </c>
      <c r="AI777" s="44" t="e">
        <f aca="false">IF(AE777=1,(AA777-J$1030)^2,0)</f>
        <v>#N/A</v>
      </c>
    </row>
    <row r="778" customFormat="false" ht="12" hidden="false" customHeight="false" outlineLevel="0" collapsed="false">
      <c r="A778" s="29" t="n">
        <v>761</v>
      </c>
      <c r="B778" s="45" t="n">
        <f aca="true">IF(RAND()&lt;$D$8,1,0)</f>
        <v>1</v>
      </c>
      <c r="C778" s="34" t="n">
        <f aca="true">-LN(RAND())/$D$2</f>
        <v>0.114711640761778</v>
      </c>
      <c r="D778" s="46" t="n">
        <f aca="false">D777+C778</f>
        <v>1165.25828216484</v>
      </c>
      <c r="E778" s="47" t="e">
        <f aca="false">MAX($D$3,(1+P777-VLOOKUP(VALUE(D778),$J$18:$Q777,7,TRUE()))*$D$3)</f>
        <v>#N/A</v>
      </c>
      <c r="F778" s="47" t="e">
        <f aca="false">MAX($D$4,(1+Q777-VLOOKUP(VALUE(D778),$M$18:$Q777,5,TRUE()))*$D$4)</f>
        <v>#N/A</v>
      </c>
      <c r="G778" s="48" t="n">
        <v>0.5</v>
      </c>
      <c r="H778" s="46" t="e">
        <f aca="true">IF((B778=1),(IF((F778&lt;E778),1,(IF((F778=E778),(IF(RAND()&lt;G778,1,0)),0)))),(IF((RAND()&lt;G778),1,0)))</f>
        <v>#N/A</v>
      </c>
      <c r="I778" s="46" t="e">
        <f aca="true">IF((H778=1),0,$D$3+$D$5*(RAND()-0.5))</f>
        <v>#N/A</v>
      </c>
      <c r="J778" s="46" t="e">
        <f aca="false">I778+MAX(D778,J777)</f>
        <v>#N/A</v>
      </c>
      <c r="K778" s="46" t="e">
        <f aca="false">IF((H778=0),J778-D778,0)</f>
        <v>#N/A</v>
      </c>
      <c r="L778" s="46" t="e">
        <f aca="true">IF(($H778=0),0,$D$4+$D$5*(RAND()-0.5))</f>
        <v>#N/A</v>
      </c>
      <c r="M778" s="46" t="e">
        <f aca="false">L778+MAX(D778,M777)</f>
        <v>#N/A</v>
      </c>
      <c r="N778" s="46" t="e">
        <f aca="false">IF((H778=1),M778-D778,0)</f>
        <v>#N/A</v>
      </c>
      <c r="O778" s="29" t="n">
        <v>761</v>
      </c>
      <c r="P778" s="49" t="e">
        <f aca="false">IF((Arterial=0),P777+1,P777)</f>
        <v>#N/A</v>
      </c>
      <c r="Q778" s="49" t="e">
        <f aca="false">IF((Arterial=1),Q777+1,Q777)</f>
        <v>#N/A</v>
      </c>
      <c r="R778" s="50" t="n">
        <f aca="false">IF((RESET=1),0,R778+K778)</f>
        <v>0</v>
      </c>
      <c r="S778" s="19" t="n">
        <f aca="false">IF(RESET=1,0,S778+N778)</f>
        <v>0</v>
      </c>
      <c r="T778" s="0" t="n">
        <f aca="false">IF(RESET=1,0,T778+IF(H778=0,1,0))</f>
        <v>0</v>
      </c>
      <c r="U778" s="0" t="n">
        <f aca="false">IF(RESET=1,0,U778+H778)</f>
        <v>0</v>
      </c>
      <c r="V778" s="19" t="n">
        <f aca="false">R778/(T778+0.00001)</f>
        <v>0</v>
      </c>
      <c r="W778" s="19" t="n">
        <f aca="false">S778/(U778+0.0001)</f>
        <v>0</v>
      </c>
      <c r="X778" s="47" t="e">
        <f aca="false">IF(Informed=1,K778,0)</f>
        <v>#N/A</v>
      </c>
      <c r="Y778" s="47" t="n">
        <f aca="false">IF(Informed=0,K778,0)</f>
        <v>0</v>
      </c>
      <c r="Z778" s="47" t="e">
        <f aca="false">IF(Informed=1,N778,0)</f>
        <v>#N/A</v>
      </c>
      <c r="AA778" s="47" t="n">
        <f aca="false">IF(Informed=0,N778,0)</f>
        <v>0</v>
      </c>
      <c r="AB778" s="51" t="e">
        <f aca="false">IF(Arterial=0,IF(Informed=1,1,0),0)</f>
        <v>#N/A</v>
      </c>
      <c r="AC778" s="51" t="e">
        <f aca="false">IF(Arterial=0,IF(Informed=0,1,0),0)</f>
        <v>#N/A</v>
      </c>
      <c r="AD778" s="51" t="e">
        <f aca="false">IF(Arterial=1,IF(Informed=1,1,0),0)</f>
        <v>#N/A</v>
      </c>
      <c r="AE778" s="51" t="e">
        <f aca="false">IF(Arterial=1,IF(Informed=0,1,0),0)</f>
        <v>#N/A</v>
      </c>
      <c r="AF778" s="44" t="e">
        <f aca="false">IF(AB778=1,(X778-G$1030)^2,0)</f>
        <v>#N/A</v>
      </c>
      <c r="AG778" s="44" t="e">
        <f aca="false">IF(AC778=1,(Y778-H$1030)^2,0)</f>
        <v>#N/A</v>
      </c>
      <c r="AH778" s="44" t="e">
        <f aca="false">IF(AD778=1,(Z778-I$1030)^2,0)</f>
        <v>#N/A</v>
      </c>
      <c r="AI778" s="44" t="e">
        <f aca="false">IF(AE778=1,(AA778-J$1030)^2,0)</f>
        <v>#N/A</v>
      </c>
    </row>
    <row r="779" customFormat="false" ht="12" hidden="false" customHeight="false" outlineLevel="0" collapsed="false">
      <c r="A779" s="29" t="n">
        <v>762</v>
      </c>
      <c r="B779" s="45" t="n">
        <f aca="true">IF(RAND()&lt;$D$8,1,0)</f>
        <v>1</v>
      </c>
      <c r="C779" s="34" t="n">
        <f aca="true">-LN(RAND())/$D$2</f>
        <v>1.61585371956962</v>
      </c>
      <c r="D779" s="46" t="n">
        <f aca="false">D778+C779</f>
        <v>1166.87413588441</v>
      </c>
      <c r="E779" s="47" t="e">
        <f aca="false">MAX($D$3,(1+P778-VLOOKUP(VALUE(D779),$J$18:$Q778,7,TRUE()))*$D$3)</f>
        <v>#N/A</v>
      </c>
      <c r="F779" s="47" t="e">
        <f aca="false">MAX($D$4,(1+Q778-VLOOKUP(VALUE(D779),$M$18:$Q778,5,TRUE()))*$D$4)</f>
        <v>#N/A</v>
      </c>
      <c r="G779" s="48" t="n">
        <v>0.5</v>
      </c>
      <c r="H779" s="46" t="e">
        <f aca="true">IF((B779=1),(IF((F779&lt;E779),1,(IF((F779=E779),(IF(RAND()&lt;G779,1,0)),0)))),(IF((RAND()&lt;G779),1,0)))</f>
        <v>#N/A</v>
      </c>
      <c r="I779" s="46" t="e">
        <f aca="true">IF((H779=1),0,$D$3+$D$5*(RAND()-0.5))</f>
        <v>#N/A</v>
      </c>
      <c r="J779" s="46" t="e">
        <f aca="false">I779+MAX(D779,J778)</f>
        <v>#N/A</v>
      </c>
      <c r="K779" s="46" t="e">
        <f aca="false">IF((H779=0),J779-D779,0)</f>
        <v>#N/A</v>
      </c>
      <c r="L779" s="46" t="e">
        <f aca="true">IF(($H779=0),0,$D$4+$D$5*(RAND()-0.5))</f>
        <v>#N/A</v>
      </c>
      <c r="M779" s="46" t="e">
        <f aca="false">L779+MAX(D779,M778)</f>
        <v>#N/A</v>
      </c>
      <c r="N779" s="46" t="e">
        <f aca="false">IF((H779=1),M779-D779,0)</f>
        <v>#N/A</v>
      </c>
      <c r="O779" s="29" t="n">
        <v>762</v>
      </c>
      <c r="P779" s="49" t="e">
        <f aca="false">IF((Arterial=0),P778+1,P778)</f>
        <v>#N/A</v>
      </c>
      <c r="Q779" s="49" t="e">
        <f aca="false">IF((Arterial=1),Q778+1,Q778)</f>
        <v>#N/A</v>
      </c>
      <c r="R779" s="50" t="n">
        <f aca="false">IF((RESET=1),0,R779+K779)</f>
        <v>0</v>
      </c>
      <c r="S779" s="19" t="n">
        <f aca="false">IF(RESET=1,0,S779+N779)</f>
        <v>0</v>
      </c>
      <c r="T779" s="0" t="n">
        <f aca="false">IF(RESET=1,0,T779+IF(H779=0,1,0))</f>
        <v>0</v>
      </c>
      <c r="U779" s="0" t="n">
        <f aca="false">IF(RESET=1,0,U779+H779)</f>
        <v>0</v>
      </c>
      <c r="V779" s="19" t="n">
        <f aca="false">R779/(T779+0.00001)</f>
        <v>0</v>
      </c>
      <c r="W779" s="19" t="n">
        <f aca="false">S779/(U779+0.0001)</f>
        <v>0</v>
      </c>
      <c r="X779" s="47" t="e">
        <f aca="false">IF(Informed=1,K779,0)</f>
        <v>#N/A</v>
      </c>
      <c r="Y779" s="47" t="n">
        <f aca="false">IF(Informed=0,K779,0)</f>
        <v>0</v>
      </c>
      <c r="Z779" s="47" t="e">
        <f aca="false">IF(Informed=1,N779,0)</f>
        <v>#N/A</v>
      </c>
      <c r="AA779" s="47" t="n">
        <f aca="false">IF(Informed=0,N779,0)</f>
        <v>0</v>
      </c>
      <c r="AB779" s="51" t="e">
        <f aca="false">IF(Arterial=0,IF(Informed=1,1,0),0)</f>
        <v>#N/A</v>
      </c>
      <c r="AC779" s="51" t="e">
        <f aca="false">IF(Arterial=0,IF(Informed=0,1,0),0)</f>
        <v>#N/A</v>
      </c>
      <c r="AD779" s="51" t="e">
        <f aca="false">IF(Arterial=1,IF(Informed=1,1,0),0)</f>
        <v>#N/A</v>
      </c>
      <c r="AE779" s="51" t="e">
        <f aca="false">IF(Arterial=1,IF(Informed=0,1,0),0)</f>
        <v>#N/A</v>
      </c>
      <c r="AF779" s="44" t="e">
        <f aca="false">IF(AB779=1,(X779-G$1030)^2,0)</f>
        <v>#N/A</v>
      </c>
      <c r="AG779" s="44" t="e">
        <f aca="false">IF(AC779=1,(Y779-H$1030)^2,0)</f>
        <v>#N/A</v>
      </c>
      <c r="AH779" s="44" t="e">
        <f aca="false">IF(AD779=1,(Z779-I$1030)^2,0)</f>
        <v>#N/A</v>
      </c>
      <c r="AI779" s="44" t="e">
        <f aca="false">IF(AE779=1,(AA779-J$1030)^2,0)</f>
        <v>#N/A</v>
      </c>
    </row>
    <row r="780" customFormat="false" ht="12" hidden="false" customHeight="false" outlineLevel="0" collapsed="false">
      <c r="A780" s="29" t="n">
        <v>763</v>
      </c>
      <c r="B780" s="45" t="n">
        <f aca="true">IF(RAND()&lt;$D$8,1,0)</f>
        <v>1</v>
      </c>
      <c r="C780" s="34" t="n">
        <f aca="true">-LN(RAND())/$D$2</f>
        <v>2.59509096126559</v>
      </c>
      <c r="D780" s="46" t="n">
        <f aca="false">D779+C780</f>
        <v>1169.46922684567</v>
      </c>
      <c r="E780" s="47" t="e">
        <f aca="false">MAX($D$3,(1+P779-VLOOKUP(VALUE(D780),$J$18:$Q779,7,TRUE()))*$D$3)</f>
        <v>#N/A</v>
      </c>
      <c r="F780" s="47" t="e">
        <f aca="false">MAX($D$4,(1+Q779-VLOOKUP(VALUE(D780),$M$18:$Q779,5,TRUE()))*$D$4)</f>
        <v>#N/A</v>
      </c>
      <c r="G780" s="48" t="n">
        <v>0.5</v>
      </c>
      <c r="H780" s="46" t="e">
        <f aca="true">IF((B780=1),(IF((F780&lt;E780),1,(IF((F780=E780),(IF(RAND()&lt;G780,1,0)),0)))),(IF((RAND()&lt;G780),1,0)))</f>
        <v>#N/A</v>
      </c>
      <c r="I780" s="46" t="e">
        <f aca="true">IF((H780=1),0,$D$3+$D$5*(RAND()-0.5))</f>
        <v>#N/A</v>
      </c>
      <c r="J780" s="46" t="e">
        <f aca="false">I780+MAX(D780,J779)</f>
        <v>#N/A</v>
      </c>
      <c r="K780" s="46" t="e">
        <f aca="false">IF((H780=0),J780-D780,0)</f>
        <v>#N/A</v>
      </c>
      <c r="L780" s="46" t="e">
        <f aca="true">IF(($H780=0),0,$D$4+$D$5*(RAND()-0.5))</f>
        <v>#N/A</v>
      </c>
      <c r="M780" s="46" t="e">
        <f aca="false">L780+MAX(D780,M779)</f>
        <v>#N/A</v>
      </c>
      <c r="N780" s="46" t="e">
        <f aca="false">IF((H780=1),M780-D780,0)</f>
        <v>#N/A</v>
      </c>
      <c r="O780" s="29" t="n">
        <v>763</v>
      </c>
      <c r="P780" s="49" t="e">
        <f aca="false">IF((Arterial=0),P779+1,P779)</f>
        <v>#N/A</v>
      </c>
      <c r="Q780" s="49" t="e">
        <f aca="false">IF((Arterial=1),Q779+1,Q779)</f>
        <v>#N/A</v>
      </c>
      <c r="R780" s="50" t="n">
        <f aca="false">IF((RESET=1),0,R780+K780)</f>
        <v>0</v>
      </c>
      <c r="S780" s="19" t="n">
        <f aca="false">IF(RESET=1,0,S780+N780)</f>
        <v>0</v>
      </c>
      <c r="T780" s="0" t="n">
        <f aca="false">IF(RESET=1,0,T780+IF(H780=0,1,0))</f>
        <v>0</v>
      </c>
      <c r="U780" s="0" t="n">
        <f aca="false">IF(RESET=1,0,U780+H780)</f>
        <v>0</v>
      </c>
      <c r="V780" s="19" t="n">
        <f aca="false">R780/(T780+0.00001)</f>
        <v>0</v>
      </c>
      <c r="W780" s="19" t="n">
        <f aca="false">S780/(U780+0.0001)</f>
        <v>0</v>
      </c>
      <c r="X780" s="47" t="e">
        <f aca="false">IF(Informed=1,K780,0)</f>
        <v>#N/A</v>
      </c>
      <c r="Y780" s="47" t="n">
        <f aca="false">IF(Informed=0,K780,0)</f>
        <v>0</v>
      </c>
      <c r="Z780" s="47" t="e">
        <f aca="false">IF(Informed=1,N780,0)</f>
        <v>#N/A</v>
      </c>
      <c r="AA780" s="47" t="n">
        <f aca="false">IF(Informed=0,N780,0)</f>
        <v>0</v>
      </c>
      <c r="AB780" s="51" t="e">
        <f aca="false">IF(Arterial=0,IF(Informed=1,1,0),0)</f>
        <v>#N/A</v>
      </c>
      <c r="AC780" s="51" t="e">
        <f aca="false">IF(Arterial=0,IF(Informed=0,1,0),0)</f>
        <v>#N/A</v>
      </c>
      <c r="AD780" s="51" t="e">
        <f aca="false">IF(Arterial=1,IF(Informed=1,1,0),0)</f>
        <v>#N/A</v>
      </c>
      <c r="AE780" s="51" t="e">
        <f aca="false">IF(Arterial=1,IF(Informed=0,1,0),0)</f>
        <v>#N/A</v>
      </c>
      <c r="AF780" s="44" t="e">
        <f aca="false">IF(AB780=1,(X780-G$1030)^2,0)</f>
        <v>#N/A</v>
      </c>
      <c r="AG780" s="44" t="e">
        <f aca="false">IF(AC780=1,(Y780-H$1030)^2,0)</f>
        <v>#N/A</v>
      </c>
      <c r="AH780" s="44" t="e">
        <f aca="false">IF(AD780=1,(Z780-I$1030)^2,0)</f>
        <v>#N/A</v>
      </c>
      <c r="AI780" s="44" t="e">
        <f aca="false">IF(AE780=1,(AA780-J$1030)^2,0)</f>
        <v>#N/A</v>
      </c>
    </row>
    <row r="781" customFormat="false" ht="12" hidden="false" customHeight="false" outlineLevel="0" collapsed="false">
      <c r="A781" s="29" t="n">
        <v>764</v>
      </c>
      <c r="B781" s="45" t="n">
        <f aca="true">IF(RAND()&lt;$D$8,1,0)</f>
        <v>1</v>
      </c>
      <c r="C781" s="34" t="n">
        <f aca="true">-LN(RAND())/$D$2</f>
        <v>4.7665285035392</v>
      </c>
      <c r="D781" s="46" t="n">
        <f aca="false">D780+C781</f>
        <v>1174.23575534921</v>
      </c>
      <c r="E781" s="47" t="e">
        <f aca="false">MAX($D$3,(1+P780-VLOOKUP(VALUE(D781),$J$18:$Q780,7,TRUE()))*$D$3)</f>
        <v>#N/A</v>
      </c>
      <c r="F781" s="47" t="e">
        <f aca="false">MAX($D$4,(1+Q780-VLOOKUP(VALUE(D781),$M$18:$Q780,5,TRUE()))*$D$4)</f>
        <v>#N/A</v>
      </c>
      <c r="G781" s="48" t="n">
        <v>0.5</v>
      </c>
      <c r="H781" s="46" t="e">
        <f aca="true">IF((B781=1),(IF((F781&lt;E781),1,(IF((F781=E781),(IF(RAND()&lt;G781,1,0)),0)))),(IF((RAND()&lt;G781),1,0)))</f>
        <v>#N/A</v>
      </c>
      <c r="I781" s="46" t="e">
        <f aca="true">IF((H781=1),0,$D$3+$D$5*(RAND()-0.5))</f>
        <v>#N/A</v>
      </c>
      <c r="J781" s="46" t="e">
        <f aca="false">I781+MAX(D781,J780)</f>
        <v>#N/A</v>
      </c>
      <c r="K781" s="46" t="e">
        <f aca="false">IF((H781=0),J781-D781,0)</f>
        <v>#N/A</v>
      </c>
      <c r="L781" s="46" t="e">
        <f aca="true">IF(($H781=0),0,$D$4+$D$5*(RAND()-0.5))</f>
        <v>#N/A</v>
      </c>
      <c r="M781" s="46" t="e">
        <f aca="false">L781+MAX(D781,M780)</f>
        <v>#N/A</v>
      </c>
      <c r="N781" s="46" t="e">
        <f aca="false">IF((H781=1),M781-D781,0)</f>
        <v>#N/A</v>
      </c>
      <c r="O781" s="29" t="n">
        <v>764</v>
      </c>
      <c r="P781" s="49" t="e">
        <f aca="false">IF((Arterial=0),P780+1,P780)</f>
        <v>#N/A</v>
      </c>
      <c r="Q781" s="49" t="e">
        <f aca="false">IF((Arterial=1),Q780+1,Q780)</f>
        <v>#N/A</v>
      </c>
      <c r="R781" s="50" t="n">
        <f aca="false">IF((RESET=1),0,R781+K781)</f>
        <v>0</v>
      </c>
      <c r="S781" s="19" t="n">
        <f aca="false">IF(RESET=1,0,S781+N781)</f>
        <v>0</v>
      </c>
      <c r="T781" s="0" t="n">
        <f aca="false">IF(RESET=1,0,T781+IF(H781=0,1,0))</f>
        <v>0</v>
      </c>
      <c r="U781" s="0" t="n">
        <f aca="false">IF(RESET=1,0,U781+H781)</f>
        <v>0</v>
      </c>
      <c r="V781" s="19" t="n">
        <f aca="false">R781/(T781+0.00001)</f>
        <v>0</v>
      </c>
      <c r="W781" s="19" t="n">
        <f aca="false">S781/(U781+0.0001)</f>
        <v>0</v>
      </c>
      <c r="X781" s="47" t="e">
        <f aca="false">IF(Informed=1,K781,0)</f>
        <v>#N/A</v>
      </c>
      <c r="Y781" s="47" t="n">
        <f aca="false">IF(Informed=0,K781,0)</f>
        <v>0</v>
      </c>
      <c r="Z781" s="47" t="e">
        <f aca="false">IF(Informed=1,N781,0)</f>
        <v>#N/A</v>
      </c>
      <c r="AA781" s="47" t="n">
        <f aca="false">IF(Informed=0,N781,0)</f>
        <v>0</v>
      </c>
      <c r="AB781" s="51" t="e">
        <f aca="false">IF(Arterial=0,IF(Informed=1,1,0),0)</f>
        <v>#N/A</v>
      </c>
      <c r="AC781" s="51" t="e">
        <f aca="false">IF(Arterial=0,IF(Informed=0,1,0),0)</f>
        <v>#N/A</v>
      </c>
      <c r="AD781" s="51" t="e">
        <f aca="false">IF(Arterial=1,IF(Informed=1,1,0),0)</f>
        <v>#N/A</v>
      </c>
      <c r="AE781" s="51" t="e">
        <f aca="false">IF(Arterial=1,IF(Informed=0,1,0),0)</f>
        <v>#N/A</v>
      </c>
      <c r="AF781" s="44" t="e">
        <f aca="false">IF(AB781=1,(X781-G$1030)^2,0)</f>
        <v>#N/A</v>
      </c>
      <c r="AG781" s="44" t="e">
        <f aca="false">IF(AC781=1,(Y781-H$1030)^2,0)</f>
        <v>#N/A</v>
      </c>
      <c r="AH781" s="44" t="e">
        <f aca="false">IF(AD781=1,(Z781-I$1030)^2,0)</f>
        <v>#N/A</v>
      </c>
      <c r="AI781" s="44" t="e">
        <f aca="false">IF(AE781=1,(AA781-J$1030)^2,0)</f>
        <v>#N/A</v>
      </c>
    </row>
    <row r="782" customFormat="false" ht="12" hidden="false" customHeight="false" outlineLevel="0" collapsed="false">
      <c r="A782" s="29" t="n">
        <v>765</v>
      </c>
      <c r="B782" s="45" t="n">
        <f aca="true">IF(RAND()&lt;$D$8,1,0)</f>
        <v>1</v>
      </c>
      <c r="C782" s="34" t="n">
        <f aca="true">-LN(RAND())/$D$2</f>
        <v>0.489593671599532</v>
      </c>
      <c r="D782" s="46" t="n">
        <f aca="false">D781+C782</f>
        <v>1174.72534902081</v>
      </c>
      <c r="E782" s="47" t="e">
        <f aca="false">MAX($D$3,(1+P781-VLOOKUP(VALUE(D782),$J$18:$Q781,7,TRUE()))*$D$3)</f>
        <v>#N/A</v>
      </c>
      <c r="F782" s="47" t="e">
        <f aca="false">MAX($D$4,(1+Q781-VLOOKUP(VALUE(D782),$M$18:$Q781,5,TRUE()))*$D$4)</f>
        <v>#N/A</v>
      </c>
      <c r="G782" s="48" t="n">
        <v>0.5</v>
      </c>
      <c r="H782" s="46" t="e">
        <f aca="true">IF((B782=1),(IF((F782&lt;E782),1,(IF((F782=E782),(IF(RAND()&lt;G782,1,0)),0)))),(IF((RAND()&lt;G782),1,0)))</f>
        <v>#N/A</v>
      </c>
      <c r="I782" s="46" t="e">
        <f aca="true">IF((H782=1),0,$D$3+$D$5*(RAND()-0.5))</f>
        <v>#N/A</v>
      </c>
      <c r="J782" s="46" t="e">
        <f aca="false">I782+MAX(D782,J781)</f>
        <v>#N/A</v>
      </c>
      <c r="K782" s="46" t="e">
        <f aca="false">IF((H782=0),J782-D782,0)</f>
        <v>#N/A</v>
      </c>
      <c r="L782" s="46" t="e">
        <f aca="true">IF(($H782=0),0,$D$4+$D$5*(RAND()-0.5))</f>
        <v>#N/A</v>
      </c>
      <c r="M782" s="46" t="e">
        <f aca="false">L782+MAX(D782,M781)</f>
        <v>#N/A</v>
      </c>
      <c r="N782" s="46" t="e">
        <f aca="false">IF((H782=1),M782-D782,0)</f>
        <v>#N/A</v>
      </c>
      <c r="O782" s="29" t="n">
        <v>765</v>
      </c>
      <c r="P782" s="49" t="e">
        <f aca="false">IF((Arterial=0),P781+1,P781)</f>
        <v>#N/A</v>
      </c>
      <c r="Q782" s="49" t="e">
        <f aca="false">IF((Arterial=1),Q781+1,Q781)</f>
        <v>#N/A</v>
      </c>
      <c r="R782" s="50" t="n">
        <f aca="false">IF((RESET=1),0,R782+K782)</f>
        <v>0</v>
      </c>
      <c r="S782" s="19" t="n">
        <f aca="false">IF(RESET=1,0,S782+N782)</f>
        <v>0</v>
      </c>
      <c r="T782" s="0" t="n">
        <f aca="false">IF(RESET=1,0,T782+IF(H782=0,1,0))</f>
        <v>0</v>
      </c>
      <c r="U782" s="0" t="n">
        <f aca="false">IF(RESET=1,0,U782+H782)</f>
        <v>0</v>
      </c>
      <c r="V782" s="19" t="n">
        <f aca="false">R782/(T782+0.00001)</f>
        <v>0</v>
      </c>
      <c r="W782" s="19" t="n">
        <f aca="false">S782/(U782+0.0001)</f>
        <v>0</v>
      </c>
      <c r="X782" s="47" t="e">
        <f aca="false">IF(Informed=1,K782,0)</f>
        <v>#N/A</v>
      </c>
      <c r="Y782" s="47" t="n">
        <f aca="false">IF(Informed=0,K782,0)</f>
        <v>0</v>
      </c>
      <c r="Z782" s="47" t="e">
        <f aca="false">IF(Informed=1,N782,0)</f>
        <v>#N/A</v>
      </c>
      <c r="AA782" s="47" t="n">
        <f aca="false">IF(Informed=0,N782,0)</f>
        <v>0</v>
      </c>
      <c r="AB782" s="51" t="e">
        <f aca="false">IF(Arterial=0,IF(Informed=1,1,0),0)</f>
        <v>#N/A</v>
      </c>
      <c r="AC782" s="51" t="e">
        <f aca="false">IF(Arterial=0,IF(Informed=0,1,0),0)</f>
        <v>#N/A</v>
      </c>
      <c r="AD782" s="51" t="e">
        <f aca="false">IF(Arterial=1,IF(Informed=1,1,0),0)</f>
        <v>#N/A</v>
      </c>
      <c r="AE782" s="51" t="e">
        <f aca="false">IF(Arterial=1,IF(Informed=0,1,0),0)</f>
        <v>#N/A</v>
      </c>
      <c r="AF782" s="44" t="e">
        <f aca="false">IF(AB782=1,(X782-G$1030)^2,0)</f>
        <v>#N/A</v>
      </c>
      <c r="AG782" s="44" t="e">
        <f aca="false">IF(AC782=1,(Y782-H$1030)^2,0)</f>
        <v>#N/A</v>
      </c>
      <c r="AH782" s="44" t="e">
        <f aca="false">IF(AD782=1,(Z782-I$1030)^2,0)</f>
        <v>#N/A</v>
      </c>
      <c r="AI782" s="44" t="e">
        <f aca="false">IF(AE782=1,(AA782-J$1030)^2,0)</f>
        <v>#N/A</v>
      </c>
    </row>
    <row r="783" customFormat="false" ht="12" hidden="false" customHeight="false" outlineLevel="0" collapsed="false">
      <c r="A783" s="29" t="n">
        <v>766</v>
      </c>
      <c r="B783" s="45" t="n">
        <f aca="true">IF(RAND()&lt;$D$8,1,0)</f>
        <v>1</v>
      </c>
      <c r="C783" s="34" t="n">
        <f aca="true">-LN(RAND())/$D$2</f>
        <v>1.46682068904755</v>
      </c>
      <c r="D783" s="46" t="n">
        <f aca="false">D782+C783</f>
        <v>1176.19216970986</v>
      </c>
      <c r="E783" s="47" t="e">
        <f aca="false">MAX($D$3,(1+P782-VLOOKUP(VALUE(D783),$J$18:$Q782,7,TRUE()))*$D$3)</f>
        <v>#N/A</v>
      </c>
      <c r="F783" s="47" t="e">
        <f aca="false">MAX($D$4,(1+Q782-VLOOKUP(VALUE(D783),$M$18:$Q782,5,TRUE()))*$D$4)</f>
        <v>#N/A</v>
      </c>
      <c r="G783" s="48" t="n">
        <v>0.5</v>
      </c>
      <c r="H783" s="46" t="e">
        <f aca="true">IF((B783=1),(IF((F783&lt;E783),1,(IF((F783=E783),(IF(RAND()&lt;G783,1,0)),0)))),(IF((RAND()&lt;G783),1,0)))</f>
        <v>#N/A</v>
      </c>
      <c r="I783" s="46" t="e">
        <f aca="true">IF((H783=1),0,$D$3+$D$5*(RAND()-0.5))</f>
        <v>#N/A</v>
      </c>
      <c r="J783" s="46" t="e">
        <f aca="false">I783+MAX(D783,J782)</f>
        <v>#N/A</v>
      </c>
      <c r="K783" s="46" t="e">
        <f aca="false">IF((H783=0),J783-D783,0)</f>
        <v>#N/A</v>
      </c>
      <c r="L783" s="46" t="e">
        <f aca="true">IF(($H783=0),0,$D$4+$D$5*(RAND()-0.5))</f>
        <v>#N/A</v>
      </c>
      <c r="M783" s="46" t="e">
        <f aca="false">L783+MAX(D783,M782)</f>
        <v>#N/A</v>
      </c>
      <c r="N783" s="46" t="e">
        <f aca="false">IF((H783=1),M783-D783,0)</f>
        <v>#N/A</v>
      </c>
      <c r="O783" s="29" t="n">
        <v>766</v>
      </c>
      <c r="P783" s="49" t="e">
        <f aca="false">IF((Arterial=0),P782+1,P782)</f>
        <v>#N/A</v>
      </c>
      <c r="Q783" s="49" t="e">
        <f aca="false">IF((Arterial=1),Q782+1,Q782)</f>
        <v>#N/A</v>
      </c>
      <c r="R783" s="50" t="n">
        <f aca="false">IF((RESET=1),0,R783+K783)</f>
        <v>0</v>
      </c>
      <c r="S783" s="19" t="n">
        <f aca="false">IF(RESET=1,0,S783+N783)</f>
        <v>0</v>
      </c>
      <c r="T783" s="0" t="n">
        <f aca="false">IF(RESET=1,0,T783+IF(H783=0,1,0))</f>
        <v>0</v>
      </c>
      <c r="U783" s="0" t="n">
        <f aca="false">IF(RESET=1,0,U783+H783)</f>
        <v>0</v>
      </c>
      <c r="V783" s="19" t="n">
        <f aca="false">R783/(T783+0.00001)</f>
        <v>0</v>
      </c>
      <c r="W783" s="19" t="n">
        <f aca="false">S783/(U783+0.0001)</f>
        <v>0</v>
      </c>
      <c r="X783" s="47" t="e">
        <f aca="false">IF(Informed=1,K783,0)</f>
        <v>#N/A</v>
      </c>
      <c r="Y783" s="47" t="n">
        <f aca="false">IF(Informed=0,K783,0)</f>
        <v>0</v>
      </c>
      <c r="Z783" s="47" t="e">
        <f aca="false">IF(Informed=1,N783,0)</f>
        <v>#N/A</v>
      </c>
      <c r="AA783" s="47" t="n">
        <f aca="false">IF(Informed=0,N783,0)</f>
        <v>0</v>
      </c>
      <c r="AB783" s="51" t="e">
        <f aca="false">IF(Arterial=0,IF(Informed=1,1,0),0)</f>
        <v>#N/A</v>
      </c>
      <c r="AC783" s="51" t="e">
        <f aca="false">IF(Arterial=0,IF(Informed=0,1,0),0)</f>
        <v>#N/A</v>
      </c>
      <c r="AD783" s="51" t="e">
        <f aca="false">IF(Arterial=1,IF(Informed=1,1,0),0)</f>
        <v>#N/A</v>
      </c>
      <c r="AE783" s="51" t="e">
        <f aca="false">IF(Arterial=1,IF(Informed=0,1,0),0)</f>
        <v>#N/A</v>
      </c>
      <c r="AF783" s="44" t="e">
        <f aca="false">IF(AB783=1,(X783-G$1030)^2,0)</f>
        <v>#N/A</v>
      </c>
      <c r="AG783" s="44" t="e">
        <f aca="false">IF(AC783=1,(Y783-H$1030)^2,0)</f>
        <v>#N/A</v>
      </c>
      <c r="AH783" s="44" t="e">
        <f aca="false">IF(AD783=1,(Z783-I$1030)^2,0)</f>
        <v>#N/A</v>
      </c>
      <c r="AI783" s="44" t="e">
        <f aca="false">IF(AE783=1,(AA783-J$1030)^2,0)</f>
        <v>#N/A</v>
      </c>
    </row>
    <row r="784" customFormat="false" ht="12" hidden="false" customHeight="false" outlineLevel="0" collapsed="false">
      <c r="A784" s="29" t="n">
        <v>767</v>
      </c>
      <c r="B784" s="45" t="n">
        <f aca="true">IF(RAND()&lt;$D$8,1,0)</f>
        <v>1</v>
      </c>
      <c r="C784" s="34" t="n">
        <f aca="true">-LN(RAND())/$D$2</f>
        <v>2.28503481637047</v>
      </c>
      <c r="D784" s="46" t="n">
        <f aca="false">D783+C784</f>
        <v>1178.47720452623</v>
      </c>
      <c r="E784" s="47" t="e">
        <f aca="false">MAX($D$3,(1+P783-VLOOKUP(VALUE(D784),$J$18:$Q783,7,TRUE()))*$D$3)</f>
        <v>#N/A</v>
      </c>
      <c r="F784" s="47" t="e">
        <f aca="false">MAX($D$4,(1+Q783-VLOOKUP(VALUE(D784),$M$18:$Q783,5,TRUE()))*$D$4)</f>
        <v>#N/A</v>
      </c>
      <c r="G784" s="48" t="n">
        <v>0.5</v>
      </c>
      <c r="H784" s="46" t="e">
        <f aca="true">IF((B784=1),(IF((F784&lt;E784),1,(IF((F784=E784),(IF(RAND()&lt;G784,1,0)),0)))),(IF((RAND()&lt;G784),1,0)))</f>
        <v>#N/A</v>
      </c>
      <c r="I784" s="46" t="e">
        <f aca="true">IF((H784=1),0,$D$3+$D$5*(RAND()-0.5))</f>
        <v>#N/A</v>
      </c>
      <c r="J784" s="46" t="e">
        <f aca="false">I784+MAX(D784,J783)</f>
        <v>#N/A</v>
      </c>
      <c r="K784" s="46" t="e">
        <f aca="false">IF((H784=0),J784-D784,0)</f>
        <v>#N/A</v>
      </c>
      <c r="L784" s="46" t="e">
        <f aca="true">IF(($H784=0),0,$D$4+$D$5*(RAND()-0.5))</f>
        <v>#N/A</v>
      </c>
      <c r="M784" s="46" t="e">
        <f aca="false">L784+MAX(D784,M783)</f>
        <v>#N/A</v>
      </c>
      <c r="N784" s="46" t="e">
        <f aca="false">IF((H784=1),M784-D784,0)</f>
        <v>#N/A</v>
      </c>
      <c r="O784" s="29" t="n">
        <v>767</v>
      </c>
      <c r="P784" s="49" t="e">
        <f aca="false">IF((Arterial=0),P783+1,P783)</f>
        <v>#N/A</v>
      </c>
      <c r="Q784" s="49" t="e">
        <f aca="false">IF((Arterial=1),Q783+1,Q783)</f>
        <v>#N/A</v>
      </c>
      <c r="R784" s="50" t="n">
        <f aca="false">IF((RESET=1),0,R784+K784)</f>
        <v>0</v>
      </c>
      <c r="S784" s="19" t="n">
        <f aca="false">IF(RESET=1,0,S784+N784)</f>
        <v>0</v>
      </c>
      <c r="T784" s="0" t="n">
        <f aca="false">IF(RESET=1,0,T784+IF(H784=0,1,0))</f>
        <v>0</v>
      </c>
      <c r="U784" s="0" t="n">
        <f aca="false">IF(RESET=1,0,U784+H784)</f>
        <v>0</v>
      </c>
      <c r="V784" s="19" t="n">
        <f aca="false">R784/(T784+0.00001)</f>
        <v>0</v>
      </c>
      <c r="W784" s="19" t="n">
        <f aca="false">S784/(U784+0.0001)</f>
        <v>0</v>
      </c>
      <c r="X784" s="47" t="e">
        <f aca="false">IF(Informed=1,K784,0)</f>
        <v>#N/A</v>
      </c>
      <c r="Y784" s="47" t="n">
        <f aca="false">IF(Informed=0,K784,0)</f>
        <v>0</v>
      </c>
      <c r="Z784" s="47" t="e">
        <f aca="false">IF(Informed=1,N784,0)</f>
        <v>#N/A</v>
      </c>
      <c r="AA784" s="47" t="n">
        <f aca="false">IF(Informed=0,N784,0)</f>
        <v>0</v>
      </c>
      <c r="AB784" s="51" t="e">
        <f aca="false">IF(Arterial=0,IF(Informed=1,1,0),0)</f>
        <v>#N/A</v>
      </c>
      <c r="AC784" s="51" t="e">
        <f aca="false">IF(Arterial=0,IF(Informed=0,1,0),0)</f>
        <v>#N/A</v>
      </c>
      <c r="AD784" s="51" t="e">
        <f aca="false">IF(Arterial=1,IF(Informed=1,1,0),0)</f>
        <v>#N/A</v>
      </c>
      <c r="AE784" s="51" t="e">
        <f aca="false">IF(Arterial=1,IF(Informed=0,1,0),0)</f>
        <v>#N/A</v>
      </c>
      <c r="AF784" s="44" t="e">
        <f aca="false">IF(AB784=1,(X784-G$1030)^2,0)</f>
        <v>#N/A</v>
      </c>
      <c r="AG784" s="44" t="e">
        <f aca="false">IF(AC784=1,(Y784-H$1030)^2,0)</f>
        <v>#N/A</v>
      </c>
      <c r="AH784" s="44" t="e">
        <f aca="false">IF(AD784=1,(Z784-I$1030)^2,0)</f>
        <v>#N/A</v>
      </c>
      <c r="AI784" s="44" t="e">
        <f aca="false">IF(AE784=1,(AA784-J$1030)^2,0)</f>
        <v>#N/A</v>
      </c>
    </row>
    <row r="785" customFormat="false" ht="12" hidden="false" customHeight="false" outlineLevel="0" collapsed="false">
      <c r="A785" s="29" t="n">
        <v>768</v>
      </c>
      <c r="B785" s="45" t="n">
        <f aca="true">IF(RAND()&lt;$D$8,1,0)</f>
        <v>1</v>
      </c>
      <c r="C785" s="34" t="n">
        <f aca="true">-LN(RAND())/$D$2</f>
        <v>0.305358321368119</v>
      </c>
      <c r="D785" s="46" t="n">
        <f aca="false">D784+C785</f>
        <v>1178.7825628476</v>
      </c>
      <c r="E785" s="47" t="e">
        <f aca="false">MAX($D$3,(1+P784-VLOOKUP(VALUE(D785),$J$18:$Q784,7,TRUE()))*$D$3)</f>
        <v>#N/A</v>
      </c>
      <c r="F785" s="47" t="e">
        <f aca="false">MAX($D$4,(1+Q784-VLOOKUP(VALUE(D785),$M$18:$Q784,5,TRUE()))*$D$4)</f>
        <v>#N/A</v>
      </c>
      <c r="G785" s="48" t="n">
        <v>0.5</v>
      </c>
      <c r="H785" s="46" t="e">
        <f aca="true">IF((B785=1),(IF((F785&lt;E785),1,(IF((F785=E785),(IF(RAND()&lt;G785,1,0)),0)))),(IF((RAND()&lt;G785),1,0)))</f>
        <v>#N/A</v>
      </c>
      <c r="I785" s="46" t="e">
        <f aca="true">IF((H785=1),0,$D$3+$D$5*(RAND()-0.5))</f>
        <v>#N/A</v>
      </c>
      <c r="J785" s="46" t="e">
        <f aca="false">I785+MAX(D785,J784)</f>
        <v>#N/A</v>
      </c>
      <c r="K785" s="46" t="e">
        <f aca="false">IF((H785=0),J785-D785,0)</f>
        <v>#N/A</v>
      </c>
      <c r="L785" s="46" t="e">
        <f aca="true">IF(($H785=0),0,$D$4+$D$5*(RAND()-0.5))</f>
        <v>#N/A</v>
      </c>
      <c r="M785" s="46" t="e">
        <f aca="false">L785+MAX(D785,M784)</f>
        <v>#N/A</v>
      </c>
      <c r="N785" s="46" t="e">
        <f aca="false">IF((H785=1),M785-D785,0)</f>
        <v>#N/A</v>
      </c>
      <c r="O785" s="29" t="n">
        <v>768</v>
      </c>
      <c r="P785" s="49" t="e">
        <f aca="false">IF((Arterial=0),P784+1,P784)</f>
        <v>#N/A</v>
      </c>
      <c r="Q785" s="49" t="e">
        <f aca="false">IF((Arterial=1),Q784+1,Q784)</f>
        <v>#N/A</v>
      </c>
      <c r="R785" s="50" t="n">
        <f aca="false">IF((RESET=1),0,R785+K785)</f>
        <v>0</v>
      </c>
      <c r="S785" s="19" t="n">
        <f aca="false">IF(RESET=1,0,S785+N785)</f>
        <v>0</v>
      </c>
      <c r="T785" s="0" t="n">
        <f aca="false">IF(RESET=1,0,T785+IF(H785=0,1,0))</f>
        <v>0</v>
      </c>
      <c r="U785" s="0" t="n">
        <f aca="false">IF(RESET=1,0,U785+H785)</f>
        <v>0</v>
      </c>
      <c r="V785" s="19" t="n">
        <f aca="false">R785/(T785+0.00001)</f>
        <v>0</v>
      </c>
      <c r="W785" s="19" t="n">
        <f aca="false">S785/(U785+0.0001)</f>
        <v>0</v>
      </c>
      <c r="X785" s="47" t="e">
        <f aca="false">IF(Informed=1,K785,0)</f>
        <v>#N/A</v>
      </c>
      <c r="Y785" s="47" t="n">
        <f aca="false">IF(Informed=0,K785,0)</f>
        <v>0</v>
      </c>
      <c r="Z785" s="47" t="e">
        <f aca="false">IF(Informed=1,N785,0)</f>
        <v>#N/A</v>
      </c>
      <c r="AA785" s="47" t="n">
        <f aca="false">IF(Informed=0,N785,0)</f>
        <v>0</v>
      </c>
      <c r="AB785" s="51" t="e">
        <f aca="false">IF(Arterial=0,IF(Informed=1,1,0),0)</f>
        <v>#N/A</v>
      </c>
      <c r="AC785" s="51" t="e">
        <f aca="false">IF(Arterial=0,IF(Informed=0,1,0),0)</f>
        <v>#N/A</v>
      </c>
      <c r="AD785" s="51" t="e">
        <f aca="false">IF(Arterial=1,IF(Informed=1,1,0),0)</f>
        <v>#N/A</v>
      </c>
      <c r="AE785" s="51" t="e">
        <f aca="false">IF(Arterial=1,IF(Informed=0,1,0),0)</f>
        <v>#N/A</v>
      </c>
      <c r="AF785" s="44" t="e">
        <f aca="false">IF(AB785=1,(X785-G$1030)^2,0)</f>
        <v>#N/A</v>
      </c>
      <c r="AG785" s="44" t="e">
        <f aca="false">IF(AC785=1,(Y785-H$1030)^2,0)</f>
        <v>#N/A</v>
      </c>
      <c r="AH785" s="44" t="e">
        <f aca="false">IF(AD785=1,(Z785-I$1030)^2,0)</f>
        <v>#N/A</v>
      </c>
      <c r="AI785" s="44" t="e">
        <f aca="false">IF(AE785=1,(AA785-J$1030)^2,0)</f>
        <v>#N/A</v>
      </c>
    </row>
    <row r="786" customFormat="false" ht="12" hidden="false" customHeight="false" outlineLevel="0" collapsed="false">
      <c r="A786" s="29" t="n">
        <v>769</v>
      </c>
      <c r="B786" s="45" t="n">
        <f aca="true">IF(RAND()&lt;$D$8,1,0)</f>
        <v>1</v>
      </c>
      <c r="C786" s="34" t="n">
        <f aca="true">-LN(RAND())/$D$2</f>
        <v>0.263843548749354</v>
      </c>
      <c r="D786" s="46" t="n">
        <f aca="false">D785+C786</f>
        <v>1179.04640639635</v>
      </c>
      <c r="E786" s="47" t="e">
        <f aca="false">MAX($D$3,(1+P785-VLOOKUP(VALUE(D786),$J$18:$Q785,7,TRUE()))*$D$3)</f>
        <v>#N/A</v>
      </c>
      <c r="F786" s="47" t="e">
        <f aca="false">MAX($D$4,(1+Q785-VLOOKUP(VALUE(D786),$M$18:$Q785,5,TRUE()))*$D$4)</f>
        <v>#N/A</v>
      </c>
      <c r="G786" s="48" t="n">
        <v>0.5</v>
      </c>
      <c r="H786" s="46" t="e">
        <f aca="true">IF((B786=1),(IF((F786&lt;E786),1,(IF((F786=E786),(IF(RAND()&lt;G786,1,0)),0)))),(IF((RAND()&lt;G786),1,0)))</f>
        <v>#N/A</v>
      </c>
      <c r="I786" s="46" t="e">
        <f aca="true">IF((H786=1),0,$D$3+$D$5*(RAND()-0.5))</f>
        <v>#N/A</v>
      </c>
      <c r="J786" s="46" t="e">
        <f aca="false">I786+MAX(D786,J785)</f>
        <v>#N/A</v>
      </c>
      <c r="K786" s="46" t="e">
        <f aca="false">IF((H786=0),J786-D786,0)</f>
        <v>#N/A</v>
      </c>
      <c r="L786" s="46" t="e">
        <f aca="true">IF(($H786=0),0,$D$4+$D$5*(RAND()-0.5))</f>
        <v>#N/A</v>
      </c>
      <c r="M786" s="46" t="e">
        <f aca="false">L786+MAX(D786,M785)</f>
        <v>#N/A</v>
      </c>
      <c r="N786" s="46" t="e">
        <f aca="false">IF((H786=1),M786-D786,0)</f>
        <v>#N/A</v>
      </c>
      <c r="O786" s="29" t="n">
        <v>769</v>
      </c>
      <c r="P786" s="49" t="e">
        <f aca="false">IF((Arterial=0),P785+1,P785)</f>
        <v>#N/A</v>
      </c>
      <c r="Q786" s="49" t="e">
        <f aca="false">IF((Arterial=1),Q785+1,Q785)</f>
        <v>#N/A</v>
      </c>
      <c r="R786" s="50" t="n">
        <f aca="false">IF((RESET=1),0,R786+K786)</f>
        <v>0</v>
      </c>
      <c r="S786" s="19" t="n">
        <f aca="false">IF(RESET=1,0,S786+N786)</f>
        <v>0</v>
      </c>
      <c r="T786" s="0" t="n">
        <f aca="false">IF(RESET=1,0,T786+IF(H786=0,1,0))</f>
        <v>0</v>
      </c>
      <c r="U786" s="0" t="n">
        <f aca="false">IF(RESET=1,0,U786+H786)</f>
        <v>0</v>
      </c>
      <c r="V786" s="19" t="n">
        <f aca="false">R786/(T786+0.00001)</f>
        <v>0</v>
      </c>
      <c r="W786" s="19" t="n">
        <f aca="false">S786/(U786+0.0001)</f>
        <v>0</v>
      </c>
      <c r="X786" s="47" t="e">
        <f aca="false">IF(Informed=1,K786,0)</f>
        <v>#N/A</v>
      </c>
      <c r="Y786" s="47" t="n">
        <f aca="false">IF(Informed=0,K786,0)</f>
        <v>0</v>
      </c>
      <c r="Z786" s="47" t="e">
        <f aca="false">IF(Informed=1,N786,0)</f>
        <v>#N/A</v>
      </c>
      <c r="AA786" s="47" t="n">
        <f aca="false">IF(Informed=0,N786,0)</f>
        <v>0</v>
      </c>
      <c r="AB786" s="51" t="e">
        <f aca="false">IF(Arterial=0,IF(Informed=1,1,0),0)</f>
        <v>#N/A</v>
      </c>
      <c r="AC786" s="51" t="e">
        <f aca="false">IF(Arterial=0,IF(Informed=0,1,0),0)</f>
        <v>#N/A</v>
      </c>
      <c r="AD786" s="51" t="e">
        <f aca="false">IF(Arterial=1,IF(Informed=1,1,0),0)</f>
        <v>#N/A</v>
      </c>
      <c r="AE786" s="51" t="e">
        <f aca="false">IF(Arterial=1,IF(Informed=0,1,0),0)</f>
        <v>#N/A</v>
      </c>
      <c r="AF786" s="44" t="e">
        <f aca="false">IF(AB786=1,(X786-G$1030)^2,0)</f>
        <v>#N/A</v>
      </c>
      <c r="AG786" s="44" t="e">
        <f aca="false">IF(AC786=1,(Y786-H$1030)^2,0)</f>
        <v>#N/A</v>
      </c>
      <c r="AH786" s="44" t="e">
        <f aca="false">IF(AD786=1,(Z786-I$1030)^2,0)</f>
        <v>#N/A</v>
      </c>
      <c r="AI786" s="44" t="e">
        <f aca="false">IF(AE786=1,(AA786-J$1030)^2,0)</f>
        <v>#N/A</v>
      </c>
    </row>
    <row r="787" customFormat="false" ht="12" hidden="false" customHeight="false" outlineLevel="0" collapsed="false">
      <c r="A787" s="29" t="n">
        <v>770</v>
      </c>
      <c r="B787" s="45" t="n">
        <f aca="true">IF(RAND()&lt;$D$8,1,0)</f>
        <v>1</v>
      </c>
      <c r="C787" s="34" t="n">
        <f aca="true">-LN(RAND())/$D$2</f>
        <v>0.750959588395388</v>
      </c>
      <c r="D787" s="46" t="n">
        <f aca="false">D786+C787</f>
        <v>1179.79736598474</v>
      </c>
      <c r="E787" s="47" t="e">
        <f aca="false">MAX($D$3,(1+P786-VLOOKUP(VALUE(D787),$J$18:$Q786,7,TRUE()))*$D$3)</f>
        <v>#N/A</v>
      </c>
      <c r="F787" s="47" t="e">
        <f aca="false">MAX($D$4,(1+Q786-VLOOKUP(VALUE(D787),$M$18:$Q786,5,TRUE()))*$D$4)</f>
        <v>#N/A</v>
      </c>
      <c r="G787" s="48" t="n">
        <v>0.5</v>
      </c>
      <c r="H787" s="46" t="e">
        <f aca="true">IF((B787=1),(IF((F787&lt;E787),1,(IF((F787=E787),(IF(RAND()&lt;G787,1,0)),0)))),(IF((RAND()&lt;G787),1,0)))</f>
        <v>#N/A</v>
      </c>
      <c r="I787" s="46" t="e">
        <f aca="true">IF((H787=1),0,$D$3+$D$5*(RAND()-0.5))</f>
        <v>#N/A</v>
      </c>
      <c r="J787" s="46" t="e">
        <f aca="false">I787+MAX(D787,J786)</f>
        <v>#N/A</v>
      </c>
      <c r="K787" s="46" t="e">
        <f aca="false">IF((H787=0),J787-D787,0)</f>
        <v>#N/A</v>
      </c>
      <c r="L787" s="46" t="e">
        <f aca="true">IF(($H787=0),0,$D$4+$D$5*(RAND()-0.5))</f>
        <v>#N/A</v>
      </c>
      <c r="M787" s="46" t="e">
        <f aca="false">L787+MAX(D787,M786)</f>
        <v>#N/A</v>
      </c>
      <c r="N787" s="46" t="e">
        <f aca="false">IF((H787=1),M787-D787,0)</f>
        <v>#N/A</v>
      </c>
      <c r="O787" s="29" t="n">
        <v>770</v>
      </c>
      <c r="P787" s="49" t="e">
        <f aca="false">IF((Arterial=0),P786+1,P786)</f>
        <v>#N/A</v>
      </c>
      <c r="Q787" s="49" t="e">
        <f aca="false">IF((Arterial=1),Q786+1,Q786)</f>
        <v>#N/A</v>
      </c>
      <c r="R787" s="50" t="n">
        <f aca="false">IF((RESET=1),0,R787+K787)</f>
        <v>0</v>
      </c>
      <c r="S787" s="19" t="n">
        <f aca="false">IF(RESET=1,0,S787+N787)</f>
        <v>0</v>
      </c>
      <c r="T787" s="0" t="n">
        <f aca="false">IF(RESET=1,0,T787+IF(H787=0,1,0))</f>
        <v>0</v>
      </c>
      <c r="U787" s="0" t="n">
        <f aca="false">IF(RESET=1,0,U787+H787)</f>
        <v>0</v>
      </c>
      <c r="V787" s="19" t="n">
        <f aca="false">R787/(T787+0.00001)</f>
        <v>0</v>
      </c>
      <c r="W787" s="19" t="n">
        <f aca="false">S787/(U787+0.0001)</f>
        <v>0</v>
      </c>
      <c r="X787" s="47" t="e">
        <f aca="false">IF(Informed=1,K787,0)</f>
        <v>#N/A</v>
      </c>
      <c r="Y787" s="47" t="n">
        <f aca="false">IF(Informed=0,K787,0)</f>
        <v>0</v>
      </c>
      <c r="Z787" s="47" t="e">
        <f aca="false">IF(Informed=1,N787,0)</f>
        <v>#N/A</v>
      </c>
      <c r="AA787" s="47" t="n">
        <f aca="false">IF(Informed=0,N787,0)</f>
        <v>0</v>
      </c>
      <c r="AB787" s="51" t="e">
        <f aca="false">IF(Arterial=0,IF(Informed=1,1,0),0)</f>
        <v>#N/A</v>
      </c>
      <c r="AC787" s="51" t="e">
        <f aca="false">IF(Arterial=0,IF(Informed=0,1,0),0)</f>
        <v>#N/A</v>
      </c>
      <c r="AD787" s="51" t="e">
        <f aca="false">IF(Arterial=1,IF(Informed=1,1,0),0)</f>
        <v>#N/A</v>
      </c>
      <c r="AE787" s="51" t="e">
        <f aca="false">IF(Arterial=1,IF(Informed=0,1,0),0)</f>
        <v>#N/A</v>
      </c>
      <c r="AF787" s="44" t="e">
        <f aca="false">IF(AB787=1,(X787-G$1030)^2,0)</f>
        <v>#N/A</v>
      </c>
      <c r="AG787" s="44" t="e">
        <f aca="false">IF(AC787=1,(Y787-H$1030)^2,0)</f>
        <v>#N/A</v>
      </c>
      <c r="AH787" s="44" t="e">
        <f aca="false">IF(AD787=1,(Z787-I$1030)^2,0)</f>
        <v>#N/A</v>
      </c>
      <c r="AI787" s="44" t="e">
        <f aca="false">IF(AE787=1,(AA787-J$1030)^2,0)</f>
        <v>#N/A</v>
      </c>
    </row>
    <row r="788" customFormat="false" ht="12" hidden="false" customHeight="false" outlineLevel="0" collapsed="false">
      <c r="A788" s="29" t="n">
        <v>771</v>
      </c>
      <c r="B788" s="45" t="n">
        <f aca="true">IF(RAND()&lt;$D$8,1,0)</f>
        <v>1</v>
      </c>
      <c r="C788" s="34" t="n">
        <f aca="true">-LN(RAND())/$D$2</f>
        <v>0.205744819700599</v>
      </c>
      <c r="D788" s="46" t="n">
        <f aca="false">D787+C788</f>
        <v>1180.00311080444</v>
      </c>
      <c r="E788" s="47" t="e">
        <f aca="false">MAX($D$3,(1+P787-VLOOKUP(VALUE(D788),$J$18:$Q787,7,TRUE()))*$D$3)</f>
        <v>#N/A</v>
      </c>
      <c r="F788" s="47" t="e">
        <f aca="false">MAX($D$4,(1+Q787-VLOOKUP(VALUE(D788),$M$18:$Q787,5,TRUE()))*$D$4)</f>
        <v>#N/A</v>
      </c>
      <c r="G788" s="48" t="n">
        <v>0.5</v>
      </c>
      <c r="H788" s="46" t="e">
        <f aca="true">IF((B788=1),(IF((F788&lt;E788),1,(IF((F788=E788),(IF(RAND()&lt;G788,1,0)),0)))),(IF((RAND()&lt;G788),1,0)))</f>
        <v>#N/A</v>
      </c>
      <c r="I788" s="46" t="e">
        <f aca="true">IF((H788=1),0,$D$3+$D$5*(RAND()-0.5))</f>
        <v>#N/A</v>
      </c>
      <c r="J788" s="46" t="e">
        <f aca="false">I788+MAX(D788,J787)</f>
        <v>#N/A</v>
      </c>
      <c r="K788" s="46" t="e">
        <f aca="false">IF((H788=0),J788-D788,0)</f>
        <v>#N/A</v>
      </c>
      <c r="L788" s="46" t="e">
        <f aca="true">IF(($H788=0),0,$D$4+$D$5*(RAND()-0.5))</f>
        <v>#N/A</v>
      </c>
      <c r="M788" s="46" t="e">
        <f aca="false">L788+MAX(D788,M787)</f>
        <v>#N/A</v>
      </c>
      <c r="N788" s="46" t="e">
        <f aca="false">IF((H788=1),M788-D788,0)</f>
        <v>#N/A</v>
      </c>
      <c r="O788" s="29" t="n">
        <v>771</v>
      </c>
      <c r="P788" s="49" t="e">
        <f aca="false">IF((Arterial=0),P787+1,P787)</f>
        <v>#N/A</v>
      </c>
      <c r="Q788" s="49" t="e">
        <f aca="false">IF((Arterial=1),Q787+1,Q787)</f>
        <v>#N/A</v>
      </c>
      <c r="R788" s="50" t="n">
        <f aca="false">IF((RESET=1),0,R788+K788)</f>
        <v>0</v>
      </c>
      <c r="S788" s="19" t="n">
        <f aca="false">IF(RESET=1,0,S788+N788)</f>
        <v>0</v>
      </c>
      <c r="T788" s="0" t="n">
        <f aca="false">IF(RESET=1,0,T788+IF(H788=0,1,0))</f>
        <v>0</v>
      </c>
      <c r="U788" s="0" t="n">
        <f aca="false">IF(RESET=1,0,U788+H788)</f>
        <v>0</v>
      </c>
      <c r="V788" s="19" t="n">
        <f aca="false">R788/(T788+0.00001)</f>
        <v>0</v>
      </c>
      <c r="W788" s="19" t="n">
        <f aca="false">S788/(U788+0.0001)</f>
        <v>0</v>
      </c>
      <c r="X788" s="47" t="e">
        <f aca="false">IF(Informed=1,K788,0)</f>
        <v>#N/A</v>
      </c>
      <c r="Y788" s="47" t="n">
        <f aca="false">IF(Informed=0,K788,0)</f>
        <v>0</v>
      </c>
      <c r="Z788" s="47" t="e">
        <f aca="false">IF(Informed=1,N788,0)</f>
        <v>#N/A</v>
      </c>
      <c r="AA788" s="47" t="n">
        <f aca="false">IF(Informed=0,N788,0)</f>
        <v>0</v>
      </c>
      <c r="AB788" s="51" t="e">
        <f aca="false">IF(Arterial=0,IF(Informed=1,1,0),0)</f>
        <v>#N/A</v>
      </c>
      <c r="AC788" s="51" t="e">
        <f aca="false">IF(Arterial=0,IF(Informed=0,1,0),0)</f>
        <v>#N/A</v>
      </c>
      <c r="AD788" s="51" t="e">
        <f aca="false">IF(Arterial=1,IF(Informed=1,1,0),0)</f>
        <v>#N/A</v>
      </c>
      <c r="AE788" s="51" t="e">
        <f aca="false">IF(Arterial=1,IF(Informed=0,1,0),0)</f>
        <v>#N/A</v>
      </c>
      <c r="AF788" s="44" t="e">
        <f aca="false">IF(AB788=1,(X788-G$1030)^2,0)</f>
        <v>#N/A</v>
      </c>
      <c r="AG788" s="44" t="e">
        <f aca="false">IF(AC788=1,(Y788-H$1030)^2,0)</f>
        <v>#N/A</v>
      </c>
      <c r="AH788" s="44" t="e">
        <f aca="false">IF(AD788=1,(Z788-I$1030)^2,0)</f>
        <v>#N/A</v>
      </c>
      <c r="AI788" s="44" t="e">
        <f aca="false">IF(AE788=1,(AA788-J$1030)^2,0)</f>
        <v>#N/A</v>
      </c>
    </row>
    <row r="789" customFormat="false" ht="12" hidden="false" customHeight="false" outlineLevel="0" collapsed="false">
      <c r="A789" s="29" t="n">
        <v>772</v>
      </c>
      <c r="B789" s="45" t="n">
        <f aca="true">IF(RAND()&lt;$D$8,1,0)</f>
        <v>1</v>
      </c>
      <c r="C789" s="34" t="n">
        <f aca="true">-LN(RAND())/$D$2</f>
        <v>0.929507201990411</v>
      </c>
      <c r="D789" s="46" t="n">
        <f aca="false">D788+C789</f>
        <v>1180.93261800643</v>
      </c>
      <c r="E789" s="47" t="e">
        <f aca="false">MAX($D$3,(1+P788-VLOOKUP(VALUE(D789),$J$18:$Q788,7,TRUE()))*$D$3)</f>
        <v>#N/A</v>
      </c>
      <c r="F789" s="47" t="e">
        <f aca="false">MAX($D$4,(1+Q788-VLOOKUP(VALUE(D789),$M$18:$Q788,5,TRUE()))*$D$4)</f>
        <v>#N/A</v>
      </c>
      <c r="G789" s="48" t="n">
        <v>0.5</v>
      </c>
      <c r="H789" s="46" t="e">
        <f aca="true">IF((B789=1),(IF((F789&lt;E789),1,(IF((F789=E789),(IF(RAND()&lt;G789,1,0)),0)))),(IF((RAND()&lt;G789),1,0)))</f>
        <v>#N/A</v>
      </c>
      <c r="I789" s="46" t="e">
        <f aca="true">IF((H789=1),0,$D$3+$D$5*(RAND()-0.5))</f>
        <v>#N/A</v>
      </c>
      <c r="J789" s="46" t="e">
        <f aca="false">I789+MAX(D789,J788)</f>
        <v>#N/A</v>
      </c>
      <c r="K789" s="46" t="e">
        <f aca="false">IF((H789=0),J789-D789,0)</f>
        <v>#N/A</v>
      </c>
      <c r="L789" s="46" t="e">
        <f aca="true">IF(($H789=0),0,$D$4+$D$5*(RAND()-0.5))</f>
        <v>#N/A</v>
      </c>
      <c r="M789" s="46" t="e">
        <f aca="false">L789+MAX(D789,M788)</f>
        <v>#N/A</v>
      </c>
      <c r="N789" s="46" t="e">
        <f aca="false">IF((H789=1),M789-D789,0)</f>
        <v>#N/A</v>
      </c>
      <c r="O789" s="29" t="n">
        <v>772</v>
      </c>
      <c r="P789" s="49" t="e">
        <f aca="false">IF((Arterial=0),P788+1,P788)</f>
        <v>#N/A</v>
      </c>
      <c r="Q789" s="49" t="e">
        <f aca="false">IF((Arterial=1),Q788+1,Q788)</f>
        <v>#N/A</v>
      </c>
      <c r="R789" s="50" t="n">
        <f aca="false">IF((RESET=1),0,R789+K789)</f>
        <v>0</v>
      </c>
      <c r="S789" s="19" t="n">
        <f aca="false">IF(RESET=1,0,S789+N789)</f>
        <v>0</v>
      </c>
      <c r="T789" s="0" t="n">
        <f aca="false">IF(RESET=1,0,T789+IF(H789=0,1,0))</f>
        <v>0</v>
      </c>
      <c r="U789" s="0" t="n">
        <f aca="false">IF(RESET=1,0,U789+H789)</f>
        <v>0</v>
      </c>
      <c r="V789" s="19" t="n">
        <f aca="false">R789/(T789+0.00001)</f>
        <v>0</v>
      </c>
      <c r="W789" s="19" t="n">
        <f aca="false">S789/(U789+0.0001)</f>
        <v>0</v>
      </c>
      <c r="X789" s="47" t="e">
        <f aca="false">IF(Informed=1,K789,0)</f>
        <v>#N/A</v>
      </c>
      <c r="Y789" s="47" t="n">
        <f aca="false">IF(Informed=0,K789,0)</f>
        <v>0</v>
      </c>
      <c r="Z789" s="47" t="e">
        <f aca="false">IF(Informed=1,N789,0)</f>
        <v>#N/A</v>
      </c>
      <c r="AA789" s="47" t="n">
        <f aca="false">IF(Informed=0,N789,0)</f>
        <v>0</v>
      </c>
      <c r="AB789" s="51" t="e">
        <f aca="false">IF(Arterial=0,IF(Informed=1,1,0),0)</f>
        <v>#N/A</v>
      </c>
      <c r="AC789" s="51" t="e">
        <f aca="false">IF(Arterial=0,IF(Informed=0,1,0),0)</f>
        <v>#N/A</v>
      </c>
      <c r="AD789" s="51" t="e">
        <f aca="false">IF(Arterial=1,IF(Informed=1,1,0),0)</f>
        <v>#N/A</v>
      </c>
      <c r="AE789" s="51" t="e">
        <f aca="false">IF(Arterial=1,IF(Informed=0,1,0),0)</f>
        <v>#N/A</v>
      </c>
      <c r="AF789" s="44" t="e">
        <f aca="false">IF(AB789=1,(X789-G$1030)^2,0)</f>
        <v>#N/A</v>
      </c>
      <c r="AG789" s="44" t="e">
        <f aca="false">IF(AC789=1,(Y789-H$1030)^2,0)</f>
        <v>#N/A</v>
      </c>
      <c r="AH789" s="44" t="e">
        <f aca="false">IF(AD789=1,(Z789-I$1030)^2,0)</f>
        <v>#N/A</v>
      </c>
      <c r="AI789" s="44" t="e">
        <f aca="false">IF(AE789=1,(AA789-J$1030)^2,0)</f>
        <v>#N/A</v>
      </c>
    </row>
    <row r="790" customFormat="false" ht="12" hidden="false" customHeight="false" outlineLevel="0" collapsed="false">
      <c r="A790" s="29" t="n">
        <v>773</v>
      </c>
      <c r="B790" s="45" t="n">
        <f aca="true">IF(RAND()&lt;$D$8,1,0)</f>
        <v>1</v>
      </c>
      <c r="C790" s="34" t="n">
        <f aca="true">-LN(RAND())/$D$2</f>
        <v>0.642725384770193</v>
      </c>
      <c r="D790" s="46" t="n">
        <f aca="false">D789+C790</f>
        <v>1181.5753433912</v>
      </c>
      <c r="E790" s="47" t="e">
        <f aca="false">MAX($D$3,(1+P789-VLOOKUP(VALUE(D790),$J$18:$Q789,7,TRUE()))*$D$3)</f>
        <v>#N/A</v>
      </c>
      <c r="F790" s="47" t="e">
        <f aca="false">MAX($D$4,(1+Q789-VLOOKUP(VALUE(D790),$M$18:$Q789,5,TRUE()))*$D$4)</f>
        <v>#N/A</v>
      </c>
      <c r="G790" s="48" t="n">
        <v>0.5</v>
      </c>
      <c r="H790" s="46" t="e">
        <f aca="true">IF((B790=1),(IF((F790&lt;E790),1,(IF((F790=E790),(IF(RAND()&lt;G790,1,0)),0)))),(IF((RAND()&lt;G790),1,0)))</f>
        <v>#N/A</v>
      </c>
      <c r="I790" s="46" t="e">
        <f aca="true">IF((H790=1),0,$D$3+$D$5*(RAND()-0.5))</f>
        <v>#N/A</v>
      </c>
      <c r="J790" s="46" t="e">
        <f aca="false">I790+MAX(D790,J789)</f>
        <v>#N/A</v>
      </c>
      <c r="K790" s="46" t="e">
        <f aca="false">IF((H790=0),J790-D790,0)</f>
        <v>#N/A</v>
      </c>
      <c r="L790" s="46" t="e">
        <f aca="true">IF(($H790=0),0,$D$4+$D$5*(RAND()-0.5))</f>
        <v>#N/A</v>
      </c>
      <c r="M790" s="46" t="e">
        <f aca="false">L790+MAX(D790,M789)</f>
        <v>#N/A</v>
      </c>
      <c r="N790" s="46" t="e">
        <f aca="false">IF((H790=1),M790-D790,0)</f>
        <v>#N/A</v>
      </c>
      <c r="O790" s="29" t="n">
        <v>773</v>
      </c>
      <c r="P790" s="49" t="e">
        <f aca="false">IF((Arterial=0),P789+1,P789)</f>
        <v>#N/A</v>
      </c>
      <c r="Q790" s="49" t="e">
        <f aca="false">IF((Arterial=1),Q789+1,Q789)</f>
        <v>#N/A</v>
      </c>
      <c r="R790" s="50" t="n">
        <f aca="false">IF((RESET=1),0,R790+K790)</f>
        <v>0</v>
      </c>
      <c r="S790" s="19" t="n">
        <f aca="false">IF(RESET=1,0,S790+N790)</f>
        <v>0</v>
      </c>
      <c r="T790" s="0" t="n">
        <f aca="false">IF(RESET=1,0,T790+IF(H790=0,1,0))</f>
        <v>0</v>
      </c>
      <c r="U790" s="0" t="n">
        <f aca="false">IF(RESET=1,0,U790+H790)</f>
        <v>0</v>
      </c>
      <c r="V790" s="19" t="n">
        <f aca="false">R790/(T790+0.00001)</f>
        <v>0</v>
      </c>
      <c r="W790" s="19" t="n">
        <f aca="false">S790/(U790+0.0001)</f>
        <v>0</v>
      </c>
      <c r="X790" s="47" t="e">
        <f aca="false">IF(Informed=1,K790,0)</f>
        <v>#N/A</v>
      </c>
      <c r="Y790" s="47" t="n">
        <f aca="false">IF(Informed=0,K790,0)</f>
        <v>0</v>
      </c>
      <c r="Z790" s="47" t="e">
        <f aca="false">IF(Informed=1,N790,0)</f>
        <v>#N/A</v>
      </c>
      <c r="AA790" s="47" t="n">
        <f aca="false">IF(Informed=0,N790,0)</f>
        <v>0</v>
      </c>
      <c r="AB790" s="51" t="e">
        <f aca="false">IF(Arterial=0,IF(Informed=1,1,0),0)</f>
        <v>#N/A</v>
      </c>
      <c r="AC790" s="51" t="e">
        <f aca="false">IF(Arterial=0,IF(Informed=0,1,0),0)</f>
        <v>#N/A</v>
      </c>
      <c r="AD790" s="51" t="e">
        <f aca="false">IF(Arterial=1,IF(Informed=1,1,0),0)</f>
        <v>#N/A</v>
      </c>
      <c r="AE790" s="51" t="e">
        <f aca="false">IF(Arterial=1,IF(Informed=0,1,0),0)</f>
        <v>#N/A</v>
      </c>
      <c r="AF790" s="44" t="e">
        <f aca="false">IF(AB790=1,(X790-G$1030)^2,0)</f>
        <v>#N/A</v>
      </c>
      <c r="AG790" s="44" t="e">
        <f aca="false">IF(AC790=1,(Y790-H$1030)^2,0)</f>
        <v>#N/A</v>
      </c>
      <c r="AH790" s="44" t="e">
        <f aca="false">IF(AD790=1,(Z790-I$1030)^2,0)</f>
        <v>#N/A</v>
      </c>
      <c r="AI790" s="44" t="e">
        <f aca="false">IF(AE790=1,(AA790-J$1030)^2,0)</f>
        <v>#N/A</v>
      </c>
    </row>
    <row r="791" customFormat="false" ht="12" hidden="false" customHeight="false" outlineLevel="0" collapsed="false">
      <c r="A791" s="29" t="n">
        <v>774</v>
      </c>
      <c r="B791" s="45" t="n">
        <f aca="true">IF(RAND()&lt;$D$8,1,0)</f>
        <v>1</v>
      </c>
      <c r="C791" s="34" t="n">
        <f aca="true">-LN(RAND())/$D$2</f>
        <v>0.0013148207427393</v>
      </c>
      <c r="D791" s="46" t="n">
        <f aca="false">D790+C791</f>
        <v>1181.57665821194</v>
      </c>
      <c r="E791" s="47" t="e">
        <f aca="false">MAX($D$3,(1+P790-VLOOKUP(VALUE(D791),$J$18:$Q790,7,TRUE()))*$D$3)</f>
        <v>#N/A</v>
      </c>
      <c r="F791" s="47" t="e">
        <f aca="false">MAX($D$4,(1+Q790-VLOOKUP(VALUE(D791),$M$18:$Q790,5,TRUE()))*$D$4)</f>
        <v>#N/A</v>
      </c>
      <c r="G791" s="48" t="n">
        <v>0.5</v>
      </c>
      <c r="H791" s="46" t="e">
        <f aca="true">IF((B791=1),(IF((F791&lt;E791),1,(IF((F791=E791),(IF(RAND()&lt;G791,1,0)),0)))),(IF((RAND()&lt;G791),1,0)))</f>
        <v>#N/A</v>
      </c>
      <c r="I791" s="46" t="e">
        <f aca="true">IF((H791=1),0,$D$3+$D$5*(RAND()-0.5))</f>
        <v>#N/A</v>
      </c>
      <c r="J791" s="46" t="e">
        <f aca="false">I791+MAX(D791,J790)</f>
        <v>#N/A</v>
      </c>
      <c r="K791" s="46" t="e">
        <f aca="false">IF((H791=0),J791-D791,0)</f>
        <v>#N/A</v>
      </c>
      <c r="L791" s="46" t="e">
        <f aca="true">IF(($H791=0),0,$D$4+$D$5*(RAND()-0.5))</f>
        <v>#N/A</v>
      </c>
      <c r="M791" s="46" t="e">
        <f aca="false">L791+MAX(D791,M790)</f>
        <v>#N/A</v>
      </c>
      <c r="N791" s="46" t="e">
        <f aca="false">IF((H791=1),M791-D791,0)</f>
        <v>#N/A</v>
      </c>
      <c r="O791" s="29" t="n">
        <v>774</v>
      </c>
      <c r="P791" s="49" t="e">
        <f aca="false">IF((Arterial=0),P790+1,P790)</f>
        <v>#N/A</v>
      </c>
      <c r="Q791" s="49" t="e">
        <f aca="false">IF((Arterial=1),Q790+1,Q790)</f>
        <v>#N/A</v>
      </c>
      <c r="R791" s="50" t="n">
        <f aca="false">IF((RESET=1),0,R791+K791)</f>
        <v>0</v>
      </c>
      <c r="S791" s="19" t="n">
        <f aca="false">IF(RESET=1,0,S791+N791)</f>
        <v>0</v>
      </c>
      <c r="T791" s="0" t="n">
        <f aca="false">IF(RESET=1,0,T791+IF(H791=0,1,0))</f>
        <v>0</v>
      </c>
      <c r="U791" s="0" t="n">
        <f aca="false">IF(RESET=1,0,U791+H791)</f>
        <v>0</v>
      </c>
      <c r="V791" s="19" t="n">
        <f aca="false">R791/(T791+0.00001)</f>
        <v>0</v>
      </c>
      <c r="W791" s="19" t="n">
        <f aca="false">S791/(U791+0.0001)</f>
        <v>0</v>
      </c>
      <c r="X791" s="47" t="e">
        <f aca="false">IF(Informed=1,K791,0)</f>
        <v>#N/A</v>
      </c>
      <c r="Y791" s="47" t="n">
        <f aca="false">IF(Informed=0,K791,0)</f>
        <v>0</v>
      </c>
      <c r="Z791" s="47" t="e">
        <f aca="false">IF(Informed=1,N791,0)</f>
        <v>#N/A</v>
      </c>
      <c r="AA791" s="47" t="n">
        <f aca="false">IF(Informed=0,N791,0)</f>
        <v>0</v>
      </c>
      <c r="AB791" s="51" t="e">
        <f aca="false">IF(Arterial=0,IF(Informed=1,1,0),0)</f>
        <v>#N/A</v>
      </c>
      <c r="AC791" s="51" t="e">
        <f aca="false">IF(Arterial=0,IF(Informed=0,1,0),0)</f>
        <v>#N/A</v>
      </c>
      <c r="AD791" s="51" t="e">
        <f aca="false">IF(Arterial=1,IF(Informed=1,1,0),0)</f>
        <v>#N/A</v>
      </c>
      <c r="AE791" s="51" t="e">
        <f aca="false">IF(Arterial=1,IF(Informed=0,1,0),0)</f>
        <v>#N/A</v>
      </c>
      <c r="AF791" s="44" t="e">
        <f aca="false">IF(AB791=1,(X791-G$1030)^2,0)</f>
        <v>#N/A</v>
      </c>
      <c r="AG791" s="44" t="e">
        <f aca="false">IF(AC791=1,(Y791-H$1030)^2,0)</f>
        <v>#N/A</v>
      </c>
      <c r="AH791" s="44" t="e">
        <f aca="false">IF(AD791=1,(Z791-I$1030)^2,0)</f>
        <v>#N/A</v>
      </c>
      <c r="AI791" s="44" t="e">
        <f aca="false">IF(AE791=1,(AA791-J$1030)^2,0)</f>
        <v>#N/A</v>
      </c>
    </row>
    <row r="792" customFormat="false" ht="12" hidden="false" customHeight="false" outlineLevel="0" collapsed="false">
      <c r="A792" s="29" t="n">
        <v>775</v>
      </c>
      <c r="B792" s="45" t="n">
        <f aca="true">IF(RAND()&lt;$D$8,1,0)</f>
        <v>1</v>
      </c>
      <c r="C792" s="34" t="n">
        <f aca="true">-LN(RAND())/$D$2</f>
        <v>1.72407017841241</v>
      </c>
      <c r="D792" s="46" t="n">
        <f aca="false">D791+C792</f>
        <v>1183.30072839036</v>
      </c>
      <c r="E792" s="47" t="e">
        <f aca="false">MAX($D$3,(1+P791-VLOOKUP(VALUE(D792),$J$18:$Q791,7,TRUE()))*$D$3)</f>
        <v>#N/A</v>
      </c>
      <c r="F792" s="47" t="e">
        <f aca="false">MAX($D$4,(1+Q791-VLOOKUP(VALUE(D792),$M$18:$Q791,5,TRUE()))*$D$4)</f>
        <v>#N/A</v>
      </c>
      <c r="G792" s="48" t="n">
        <v>0.5</v>
      </c>
      <c r="H792" s="46" t="e">
        <f aca="true">IF((B792=1),(IF((F792&lt;E792),1,(IF((F792=E792),(IF(RAND()&lt;G792,1,0)),0)))),(IF((RAND()&lt;G792),1,0)))</f>
        <v>#N/A</v>
      </c>
      <c r="I792" s="46" t="e">
        <f aca="true">IF((H792=1),0,$D$3+$D$5*(RAND()-0.5))</f>
        <v>#N/A</v>
      </c>
      <c r="J792" s="46" t="e">
        <f aca="false">I792+MAX(D792,J791)</f>
        <v>#N/A</v>
      </c>
      <c r="K792" s="46" t="e">
        <f aca="false">IF((H792=0),J792-D792,0)</f>
        <v>#N/A</v>
      </c>
      <c r="L792" s="46" t="e">
        <f aca="true">IF(($H792=0),0,$D$4+$D$5*(RAND()-0.5))</f>
        <v>#N/A</v>
      </c>
      <c r="M792" s="46" t="e">
        <f aca="false">L792+MAX(D792,M791)</f>
        <v>#N/A</v>
      </c>
      <c r="N792" s="46" t="e">
        <f aca="false">IF((H792=1),M792-D792,0)</f>
        <v>#N/A</v>
      </c>
      <c r="O792" s="29" t="n">
        <v>775</v>
      </c>
      <c r="P792" s="49" t="e">
        <f aca="false">IF((Arterial=0),P791+1,P791)</f>
        <v>#N/A</v>
      </c>
      <c r="Q792" s="49" t="e">
        <f aca="false">IF((Arterial=1),Q791+1,Q791)</f>
        <v>#N/A</v>
      </c>
      <c r="R792" s="50" t="n">
        <f aca="false">IF((RESET=1),0,R792+K792)</f>
        <v>0</v>
      </c>
      <c r="S792" s="19" t="n">
        <f aca="false">IF(RESET=1,0,S792+N792)</f>
        <v>0</v>
      </c>
      <c r="T792" s="0" t="n">
        <f aca="false">IF(RESET=1,0,T792+IF(H792=0,1,0))</f>
        <v>0</v>
      </c>
      <c r="U792" s="0" t="n">
        <f aca="false">IF(RESET=1,0,U792+H792)</f>
        <v>0</v>
      </c>
      <c r="V792" s="19" t="n">
        <f aca="false">R792/(T792+0.00001)</f>
        <v>0</v>
      </c>
      <c r="W792" s="19" t="n">
        <f aca="false">S792/(U792+0.0001)</f>
        <v>0</v>
      </c>
      <c r="X792" s="47" t="e">
        <f aca="false">IF(Informed=1,K792,0)</f>
        <v>#N/A</v>
      </c>
      <c r="Y792" s="47" t="n">
        <f aca="false">IF(Informed=0,K792,0)</f>
        <v>0</v>
      </c>
      <c r="Z792" s="47" t="e">
        <f aca="false">IF(Informed=1,N792,0)</f>
        <v>#N/A</v>
      </c>
      <c r="AA792" s="47" t="n">
        <f aca="false">IF(Informed=0,N792,0)</f>
        <v>0</v>
      </c>
      <c r="AB792" s="51" t="e">
        <f aca="false">IF(Arterial=0,IF(Informed=1,1,0),0)</f>
        <v>#N/A</v>
      </c>
      <c r="AC792" s="51" t="e">
        <f aca="false">IF(Arterial=0,IF(Informed=0,1,0),0)</f>
        <v>#N/A</v>
      </c>
      <c r="AD792" s="51" t="e">
        <f aca="false">IF(Arterial=1,IF(Informed=1,1,0),0)</f>
        <v>#N/A</v>
      </c>
      <c r="AE792" s="51" t="e">
        <f aca="false">IF(Arterial=1,IF(Informed=0,1,0),0)</f>
        <v>#N/A</v>
      </c>
      <c r="AF792" s="44" t="e">
        <f aca="false">IF(AB792=1,(X792-G$1030)^2,0)</f>
        <v>#N/A</v>
      </c>
      <c r="AG792" s="44" t="e">
        <f aca="false">IF(AC792=1,(Y792-H$1030)^2,0)</f>
        <v>#N/A</v>
      </c>
      <c r="AH792" s="44" t="e">
        <f aca="false">IF(AD792=1,(Z792-I$1030)^2,0)</f>
        <v>#N/A</v>
      </c>
      <c r="AI792" s="44" t="e">
        <f aca="false">IF(AE792=1,(AA792-J$1030)^2,0)</f>
        <v>#N/A</v>
      </c>
    </row>
    <row r="793" customFormat="false" ht="12" hidden="false" customHeight="false" outlineLevel="0" collapsed="false">
      <c r="A793" s="29" t="n">
        <v>776</v>
      </c>
      <c r="B793" s="45" t="n">
        <f aca="true">IF(RAND()&lt;$D$8,1,0)</f>
        <v>1</v>
      </c>
      <c r="C793" s="34" t="n">
        <f aca="true">-LN(RAND())/$D$2</f>
        <v>0.487268277113543</v>
      </c>
      <c r="D793" s="46" t="n">
        <f aca="false">D792+C793</f>
        <v>1183.78799666747</v>
      </c>
      <c r="E793" s="47" t="e">
        <f aca="false">MAX($D$3,(1+P792-VLOOKUP(VALUE(D793),$J$18:$Q792,7,TRUE()))*$D$3)</f>
        <v>#N/A</v>
      </c>
      <c r="F793" s="47" t="e">
        <f aca="false">MAX($D$4,(1+Q792-VLOOKUP(VALUE(D793),$M$18:$Q792,5,TRUE()))*$D$4)</f>
        <v>#N/A</v>
      </c>
      <c r="G793" s="48" t="n">
        <v>0.5</v>
      </c>
      <c r="H793" s="46" t="e">
        <f aca="true">IF((B793=1),(IF((F793&lt;E793),1,(IF((F793=E793),(IF(RAND()&lt;G793,1,0)),0)))),(IF((RAND()&lt;G793),1,0)))</f>
        <v>#N/A</v>
      </c>
      <c r="I793" s="46" t="e">
        <f aca="true">IF((H793=1),0,$D$3+$D$5*(RAND()-0.5))</f>
        <v>#N/A</v>
      </c>
      <c r="J793" s="46" t="e">
        <f aca="false">I793+MAX(D793,J792)</f>
        <v>#N/A</v>
      </c>
      <c r="K793" s="46" t="e">
        <f aca="false">IF((H793=0),J793-D793,0)</f>
        <v>#N/A</v>
      </c>
      <c r="L793" s="46" t="e">
        <f aca="true">IF(($H793=0),0,$D$4+$D$5*(RAND()-0.5))</f>
        <v>#N/A</v>
      </c>
      <c r="M793" s="46" t="e">
        <f aca="false">L793+MAX(D793,M792)</f>
        <v>#N/A</v>
      </c>
      <c r="N793" s="46" t="e">
        <f aca="false">IF((H793=1),M793-D793,0)</f>
        <v>#N/A</v>
      </c>
      <c r="O793" s="29" t="n">
        <v>776</v>
      </c>
      <c r="P793" s="49" t="e">
        <f aca="false">IF((Arterial=0),P792+1,P792)</f>
        <v>#N/A</v>
      </c>
      <c r="Q793" s="49" t="e">
        <f aca="false">IF((Arterial=1),Q792+1,Q792)</f>
        <v>#N/A</v>
      </c>
      <c r="R793" s="50" t="n">
        <f aca="false">IF((RESET=1),0,R793+K793)</f>
        <v>0</v>
      </c>
      <c r="S793" s="19" t="n">
        <f aca="false">IF(RESET=1,0,S793+N793)</f>
        <v>0</v>
      </c>
      <c r="T793" s="0" t="n">
        <f aca="false">IF(RESET=1,0,T793+IF(H793=0,1,0))</f>
        <v>0</v>
      </c>
      <c r="U793" s="0" t="n">
        <f aca="false">IF(RESET=1,0,U793+H793)</f>
        <v>0</v>
      </c>
      <c r="V793" s="19" t="n">
        <f aca="false">R793/(T793+0.00001)</f>
        <v>0</v>
      </c>
      <c r="W793" s="19" t="n">
        <f aca="false">S793/(U793+0.0001)</f>
        <v>0</v>
      </c>
      <c r="X793" s="47" t="e">
        <f aca="false">IF(Informed=1,K793,0)</f>
        <v>#N/A</v>
      </c>
      <c r="Y793" s="47" t="n">
        <f aca="false">IF(Informed=0,K793,0)</f>
        <v>0</v>
      </c>
      <c r="Z793" s="47" t="e">
        <f aca="false">IF(Informed=1,N793,0)</f>
        <v>#N/A</v>
      </c>
      <c r="AA793" s="47" t="n">
        <f aca="false">IF(Informed=0,N793,0)</f>
        <v>0</v>
      </c>
      <c r="AB793" s="51" t="e">
        <f aca="false">IF(Arterial=0,IF(Informed=1,1,0),0)</f>
        <v>#N/A</v>
      </c>
      <c r="AC793" s="51" t="e">
        <f aca="false">IF(Arterial=0,IF(Informed=0,1,0),0)</f>
        <v>#N/A</v>
      </c>
      <c r="AD793" s="51" t="e">
        <f aca="false">IF(Arterial=1,IF(Informed=1,1,0),0)</f>
        <v>#N/A</v>
      </c>
      <c r="AE793" s="51" t="e">
        <f aca="false">IF(Arterial=1,IF(Informed=0,1,0),0)</f>
        <v>#N/A</v>
      </c>
      <c r="AF793" s="44" t="e">
        <f aca="false">IF(AB793=1,(X793-G$1030)^2,0)</f>
        <v>#N/A</v>
      </c>
      <c r="AG793" s="44" t="e">
        <f aca="false">IF(AC793=1,(Y793-H$1030)^2,0)</f>
        <v>#N/A</v>
      </c>
      <c r="AH793" s="44" t="e">
        <f aca="false">IF(AD793=1,(Z793-I$1030)^2,0)</f>
        <v>#N/A</v>
      </c>
      <c r="AI793" s="44" t="e">
        <f aca="false">IF(AE793=1,(AA793-J$1030)^2,0)</f>
        <v>#N/A</v>
      </c>
    </row>
    <row r="794" customFormat="false" ht="12" hidden="false" customHeight="false" outlineLevel="0" collapsed="false">
      <c r="A794" s="29" t="n">
        <v>777</v>
      </c>
      <c r="B794" s="45" t="n">
        <f aca="true">IF(RAND()&lt;$D$8,1,0)</f>
        <v>1</v>
      </c>
      <c r="C794" s="34" t="n">
        <f aca="true">-LN(RAND())/$D$2</f>
        <v>0.676381334168974</v>
      </c>
      <c r="D794" s="46" t="n">
        <f aca="false">D793+C794</f>
        <v>1184.46437800164</v>
      </c>
      <c r="E794" s="47" t="e">
        <f aca="false">MAX($D$3,(1+P793-VLOOKUP(VALUE(D794),$J$18:$Q793,7,TRUE()))*$D$3)</f>
        <v>#N/A</v>
      </c>
      <c r="F794" s="47" t="e">
        <f aca="false">MAX($D$4,(1+Q793-VLOOKUP(VALUE(D794),$M$18:$Q793,5,TRUE()))*$D$4)</f>
        <v>#N/A</v>
      </c>
      <c r="G794" s="48" t="n">
        <v>0.5</v>
      </c>
      <c r="H794" s="46" t="e">
        <f aca="true">IF((B794=1),(IF((F794&lt;E794),1,(IF((F794=E794),(IF(RAND()&lt;G794,1,0)),0)))),(IF((RAND()&lt;G794),1,0)))</f>
        <v>#N/A</v>
      </c>
      <c r="I794" s="46" t="e">
        <f aca="true">IF((H794=1),0,$D$3+$D$5*(RAND()-0.5))</f>
        <v>#N/A</v>
      </c>
      <c r="J794" s="46" t="e">
        <f aca="false">I794+MAX(D794,J793)</f>
        <v>#N/A</v>
      </c>
      <c r="K794" s="46" t="e">
        <f aca="false">IF((H794=0),J794-D794,0)</f>
        <v>#N/A</v>
      </c>
      <c r="L794" s="46" t="e">
        <f aca="true">IF(($H794=0),0,$D$4+$D$5*(RAND()-0.5))</f>
        <v>#N/A</v>
      </c>
      <c r="M794" s="46" t="e">
        <f aca="false">L794+MAX(D794,M793)</f>
        <v>#N/A</v>
      </c>
      <c r="N794" s="46" t="e">
        <f aca="false">IF((H794=1),M794-D794,0)</f>
        <v>#N/A</v>
      </c>
      <c r="O794" s="29" t="n">
        <v>777</v>
      </c>
      <c r="P794" s="49" t="e">
        <f aca="false">IF((Arterial=0),P793+1,P793)</f>
        <v>#N/A</v>
      </c>
      <c r="Q794" s="49" t="e">
        <f aca="false">IF((Arterial=1),Q793+1,Q793)</f>
        <v>#N/A</v>
      </c>
      <c r="R794" s="50" t="n">
        <f aca="false">IF((RESET=1),0,R794+K794)</f>
        <v>0</v>
      </c>
      <c r="S794" s="19" t="n">
        <f aca="false">IF(RESET=1,0,S794+N794)</f>
        <v>0</v>
      </c>
      <c r="T794" s="0" t="n">
        <f aca="false">IF(RESET=1,0,T794+IF(H794=0,1,0))</f>
        <v>0</v>
      </c>
      <c r="U794" s="0" t="n">
        <f aca="false">IF(RESET=1,0,U794+H794)</f>
        <v>0</v>
      </c>
      <c r="V794" s="19" t="n">
        <f aca="false">R794/(T794+0.00001)</f>
        <v>0</v>
      </c>
      <c r="W794" s="19" t="n">
        <f aca="false">S794/(U794+0.0001)</f>
        <v>0</v>
      </c>
      <c r="X794" s="47" t="e">
        <f aca="false">IF(Informed=1,K794,0)</f>
        <v>#N/A</v>
      </c>
      <c r="Y794" s="47" t="n">
        <f aca="false">IF(Informed=0,K794,0)</f>
        <v>0</v>
      </c>
      <c r="Z794" s="47" t="e">
        <f aca="false">IF(Informed=1,N794,0)</f>
        <v>#N/A</v>
      </c>
      <c r="AA794" s="47" t="n">
        <f aca="false">IF(Informed=0,N794,0)</f>
        <v>0</v>
      </c>
      <c r="AB794" s="51" t="e">
        <f aca="false">IF(Arterial=0,IF(Informed=1,1,0),0)</f>
        <v>#N/A</v>
      </c>
      <c r="AC794" s="51" t="e">
        <f aca="false">IF(Arterial=0,IF(Informed=0,1,0),0)</f>
        <v>#N/A</v>
      </c>
      <c r="AD794" s="51" t="e">
        <f aca="false">IF(Arterial=1,IF(Informed=1,1,0),0)</f>
        <v>#N/A</v>
      </c>
      <c r="AE794" s="51" t="e">
        <f aca="false">IF(Arterial=1,IF(Informed=0,1,0),0)</f>
        <v>#N/A</v>
      </c>
      <c r="AF794" s="44" t="e">
        <f aca="false">IF(AB794=1,(X794-G$1030)^2,0)</f>
        <v>#N/A</v>
      </c>
      <c r="AG794" s="44" t="e">
        <f aca="false">IF(AC794=1,(Y794-H$1030)^2,0)</f>
        <v>#N/A</v>
      </c>
      <c r="AH794" s="44" t="e">
        <f aca="false">IF(AD794=1,(Z794-I$1030)^2,0)</f>
        <v>#N/A</v>
      </c>
      <c r="AI794" s="44" t="e">
        <f aca="false">IF(AE794=1,(AA794-J$1030)^2,0)</f>
        <v>#N/A</v>
      </c>
    </row>
    <row r="795" customFormat="false" ht="12" hidden="false" customHeight="false" outlineLevel="0" collapsed="false">
      <c r="A795" s="29" t="n">
        <v>778</v>
      </c>
      <c r="B795" s="45" t="n">
        <f aca="true">IF(RAND()&lt;$D$8,1,0)</f>
        <v>1</v>
      </c>
      <c r="C795" s="34" t="n">
        <f aca="true">-LN(RAND())/$D$2</f>
        <v>2.91951735625068</v>
      </c>
      <c r="D795" s="46" t="n">
        <f aca="false">D794+C795</f>
        <v>1187.38389535789</v>
      </c>
      <c r="E795" s="47" t="e">
        <f aca="false">MAX($D$3,(1+P794-VLOOKUP(VALUE(D795),$J$18:$Q794,7,TRUE()))*$D$3)</f>
        <v>#N/A</v>
      </c>
      <c r="F795" s="47" t="e">
        <f aca="false">MAX($D$4,(1+Q794-VLOOKUP(VALUE(D795),$M$18:$Q794,5,TRUE()))*$D$4)</f>
        <v>#N/A</v>
      </c>
      <c r="G795" s="48" t="n">
        <v>0.5</v>
      </c>
      <c r="H795" s="46" t="e">
        <f aca="true">IF((B795=1),(IF((F795&lt;E795),1,(IF((F795=E795),(IF(RAND()&lt;G795,1,0)),0)))),(IF((RAND()&lt;G795),1,0)))</f>
        <v>#N/A</v>
      </c>
      <c r="I795" s="46" t="e">
        <f aca="true">IF((H795=1),0,$D$3+$D$5*(RAND()-0.5))</f>
        <v>#N/A</v>
      </c>
      <c r="J795" s="46" t="e">
        <f aca="false">I795+MAX(D795,J794)</f>
        <v>#N/A</v>
      </c>
      <c r="K795" s="46" t="e">
        <f aca="false">IF((H795=0),J795-D795,0)</f>
        <v>#N/A</v>
      </c>
      <c r="L795" s="46" t="e">
        <f aca="true">IF(($H795=0),0,$D$4+$D$5*(RAND()-0.5))</f>
        <v>#N/A</v>
      </c>
      <c r="M795" s="46" t="e">
        <f aca="false">L795+MAX(D795,M794)</f>
        <v>#N/A</v>
      </c>
      <c r="N795" s="46" t="e">
        <f aca="false">IF((H795=1),M795-D795,0)</f>
        <v>#N/A</v>
      </c>
      <c r="O795" s="29" t="n">
        <v>778</v>
      </c>
      <c r="P795" s="49" t="e">
        <f aca="false">IF((Arterial=0),P794+1,P794)</f>
        <v>#N/A</v>
      </c>
      <c r="Q795" s="49" t="e">
        <f aca="false">IF((Arterial=1),Q794+1,Q794)</f>
        <v>#N/A</v>
      </c>
      <c r="R795" s="50" t="n">
        <f aca="false">IF((RESET=1),0,R795+K795)</f>
        <v>0</v>
      </c>
      <c r="S795" s="19" t="n">
        <f aca="false">IF(RESET=1,0,S795+N795)</f>
        <v>0</v>
      </c>
      <c r="T795" s="0" t="n">
        <f aca="false">IF(RESET=1,0,T795+IF(H795=0,1,0))</f>
        <v>0</v>
      </c>
      <c r="U795" s="0" t="n">
        <f aca="false">IF(RESET=1,0,U795+H795)</f>
        <v>0</v>
      </c>
      <c r="V795" s="19" t="n">
        <f aca="false">R795/(T795+0.00001)</f>
        <v>0</v>
      </c>
      <c r="W795" s="19" t="n">
        <f aca="false">S795/(U795+0.0001)</f>
        <v>0</v>
      </c>
      <c r="X795" s="47" t="e">
        <f aca="false">IF(Informed=1,K795,0)</f>
        <v>#N/A</v>
      </c>
      <c r="Y795" s="47" t="n">
        <f aca="false">IF(Informed=0,K795,0)</f>
        <v>0</v>
      </c>
      <c r="Z795" s="47" t="e">
        <f aca="false">IF(Informed=1,N795,0)</f>
        <v>#N/A</v>
      </c>
      <c r="AA795" s="47" t="n">
        <f aca="false">IF(Informed=0,N795,0)</f>
        <v>0</v>
      </c>
      <c r="AB795" s="51" t="e">
        <f aca="false">IF(Arterial=0,IF(Informed=1,1,0),0)</f>
        <v>#N/A</v>
      </c>
      <c r="AC795" s="51" t="e">
        <f aca="false">IF(Arterial=0,IF(Informed=0,1,0),0)</f>
        <v>#N/A</v>
      </c>
      <c r="AD795" s="51" t="e">
        <f aca="false">IF(Arterial=1,IF(Informed=1,1,0),0)</f>
        <v>#N/A</v>
      </c>
      <c r="AE795" s="51" t="e">
        <f aca="false">IF(Arterial=1,IF(Informed=0,1,0),0)</f>
        <v>#N/A</v>
      </c>
      <c r="AF795" s="44" t="e">
        <f aca="false">IF(AB795=1,(X795-G$1030)^2,0)</f>
        <v>#N/A</v>
      </c>
      <c r="AG795" s="44" t="e">
        <f aca="false">IF(AC795=1,(Y795-H$1030)^2,0)</f>
        <v>#N/A</v>
      </c>
      <c r="AH795" s="44" t="e">
        <f aca="false">IF(AD795=1,(Z795-I$1030)^2,0)</f>
        <v>#N/A</v>
      </c>
      <c r="AI795" s="44" t="e">
        <f aca="false">IF(AE795=1,(AA795-J$1030)^2,0)</f>
        <v>#N/A</v>
      </c>
    </row>
    <row r="796" customFormat="false" ht="12" hidden="false" customHeight="false" outlineLevel="0" collapsed="false">
      <c r="A796" s="29" t="n">
        <v>779</v>
      </c>
      <c r="B796" s="45" t="n">
        <f aca="true">IF(RAND()&lt;$D$8,1,0)</f>
        <v>1</v>
      </c>
      <c r="C796" s="34" t="n">
        <f aca="true">-LN(RAND())/$D$2</f>
        <v>0.75276501295692</v>
      </c>
      <c r="D796" s="46" t="n">
        <f aca="false">D795+C796</f>
        <v>1188.13666037085</v>
      </c>
      <c r="E796" s="47" t="e">
        <f aca="false">MAX($D$3,(1+P795-VLOOKUP(VALUE(D796),$J$18:$Q795,7,TRUE()))*$D$3)</f>
        <v>#N/A</v>
      </c>
      <c r="F796" s="47" t="e">
        <f aca="false">MAX($D$4,(1+Q795-VLOOKUP(VALUE(D796),$M$18:$Q795,5,TRUE()))*$D$4)</f>
        <v>#N/A</v>
      </c>
      <c r="G796" s="48" t="n">
        <v>0.5</v>
      </c>
      <c r="H796" s="46" t="e">
        <f aca="true">IF((B796=1),(IF((F796&lt;E796),1,(IF((F796=E796),(IF(RAND()&lt;G796,1,0)),0)))),(IF((RAND()&lt;G796),1,0)))</f>
        <v>#N/A</v>
      </c>
      <c r="I796" s="46" t="e">
        <f aca="true">IF((H796=1),0,$D$3+$D$5*(RAND()-0.5))</f>
        <v>#N/A</v>
      </c>
      <c r="J796" s="46" t="e">
        <f aca="false">I796+MAX(D796,J795)</f>
        <v>#N/A</v>
      </c>
      <c r="K796" s="46" t="e">
        <f aca="false">IF((H796=0),J796-D796,0)</f>
        <v>#N/A</v>
      </c>
      <c r="L796" s="46" t="e">
        <f aca="true">IF(($H796=0),0,$D$4+$D$5*(RAND()-0.5))</f>
        <v>#N/A</v>
      </c>
      <c r="M796" s="46" t="e">
        <f aca="false">L796+MAX(D796,M795)</f>
        <v>#N/A</v>
      </c>
      <c r="N796" s="46" t="e">
        <f aca="false">IF((H796=1),M796-D796,0)</f>
        <v>#N/A</v>
      </c>
      <c r="O796" s="29" t="n">
        <v>779</v>
      </c>
      <c r="P796" s="49" t="e">
        <f aca="false">IF((Arterial=0),P795+1,P795)</f>
        <v>#N/A</v>
      </c>
      <c r="Q796" s="49" t="e">
        <f aca="false">IF((Arterial=1),Q795+1,Q795)</f>
        <v>#N/A</v>
      </c>
      <c r="R796" s="50" t="n">
        <f aca="false">IF((RESET=1),0,R796+K796)</f>
        <v>0</v>
      </c>
      <c r="S796" s="19" t="n">
        <f aca="false">IF(RESET=1,0,S796+N796)</f>
        <v>0</v>
      </c>
      <c r="T796" s="0" t="n">
        <f aca="false">IF(RESET=1,0,T796+IF(H796=0,1,0))</f>
        <v>0</v>
      </c>
      <c r="U796" s="0" t="n">
        <f aca="false">IF(RESET=1,0,U796+H796)</f>
        <v>0</v>
      </c>
      <c r="V796" s="19" t="n">
        <f aca="false">R796/(T796+0.00001)</f>
        <v>0</v>
      </c>
      <c r="W796" s="19" t="n">
        <f aca="false">S796/(U796+0.0001)</f>
        <v>0</v>
      </c>
      <c r="X796" s="47" t="e">
        <f aca="false">IF(Informed=1,K796,0)</f>
        <v>#N/A</v>
      </c>
      <c r="Y796" s="47" t="n">
        <f aca="false">IF(Informed=0,K796,0)</f>
        <v>0</v>
      </c>
      <c r="Z796" s="47" t="e">
        <f aca="false">IF(Informed=1,N796,0)</f>
        <v>#N/A</v>
      </c>
      <c r="AA796" s="47" t="n">
        <f aca="false">IF(Informed=0,N796,0)</f>
        <v>0</v>
      </c>
      <c r="AB796" s="51" t="e">
        <f aca="false">IF(Arterial=0,IF(Informed=1,1,0),0)</f>
        <v>#N/A</v>
      </c>
      <c r="AC796" s="51" t="e">
        <f aca="false">IF(Arterial=0,IF(Informed=0,1,0),0)</f>
        <v>#N/A</v>
      </c>
      <c r="AD796" s="51" t="e">
        <f aca="false">IF(Arterial=1,IF(Informed=1,1,0),0)</f>
        <v>#N/A</v>
      </c>
      <c r="AE796" s="51" t="e">
        <f aca="false">IF(Arterial=1,IF(Informed=0,1,0),0)</f>
        <v>#N/A</v>
      </c>
      <c r="AF796" s="44" t="e">
        <f aca="false">IF(AB796=1,(X796-G$1030)^2,0)</f>
        <v>#N/A</v>
      </c>
      <c r="AG796" s="44" t="e">
        <f aca="false">IF(AC796=1,(Y796-H$1030)^2,0)</f>
        <v>#N/A</v>
      </c>
      <c r="AH796" s="44" t="e">
        <f aca="false">IF(AD796=1,(Z796-I$1030)^2,0)</f>
        <v>#N/A</v>
      </c>
      <c r="AI796" s="44" t="e">
        <f aca="false">IF(AE796=1,(AA796-J$1030)^2,0)</f>
        <v>#N/A</v>
      </c>
    </row>
    <row r="797" customFormat="false" ht="12" hidden="false" customHeight="false" outlineLevel="0" collapsed="false">
      <c r="A797" s="29" t="n">
        <v>780</v>
      </c>
      <c r="B797" s="45" t="n">
        <f aca="true">IF(RAND()&lt;$D$8,1,0)</f>
        <v>1</v>
      </c>
      <c r="C797" s="34" t="n">
        <f aca="true">-LN(RAND())/$D$2</f>
        <v>0.593025426929106</v>
      </c>
      <c r="D797" s="46" t="n">
        <f aca="false">D796+C797</f>
        <v>1188.72968579778</v>
      </c>
      <c r="E797" s="47" t="e">
        <f aca="false">MAX($D$3,(1+P796-VLOOKUP(VALUE(D797),$J$18:$Q796,7,TRUE()))*$D$3)</f>
        <v>#N/A</v>
      </c>
      <c r="F797" s="47" t="e">
        <f aca="false">MAX($D$4,(1+Q796-VLOOKUP(VALUE(D797),$M$18:$Q796,5,TRUE()))*$D$4)</f>
        <v>#N/A</v>
      </c>
      <c r="G797" s="48" t="n">
        <v>0.5</v>
      </c>
      <c r="H797" s="46" t="e">
        <f aca="true">IF((B797=1),(IF((F797&lt;E797),1,(IF((F797=E797),(IF(RAND()&lt;G797,1,0)),0)))),(IF((RAND()&lt;G797),1,0)))</f>
        <v>#N/A</v>
      </c>
      <c r="I797" s="46" t="e">
        <f aca="true">IF((H797=1),0,$D$3+$D$5*(RAND()-0.5))</f>
        <v>#N/A</v>
      </c>
      <c r="J797" s="46" t="e">
        <f aca="false">I797+MAX(D797,J796)</f>
        <v>#N/A</v>
      </c>
      <c r="K797" s="46" t="e">
        <f aca="false">IF((H797=0),J797-D797,0)</f>
        <v>#N/A</v>
      </c>
      <c r="L797" s="46" t="e">
        <f aca="true">IF(($H797=0),0,$D$4+$D$5*(RAND()-0.5))</f>
        <v>#N/A</v>
      </c>
      <c r="M797" s="46" t="e">
        <f aca="false">L797+MAX(D797,M796)</f>
        <v>#N/A</v>
      </c>
      <c r="N797" s="46" t="e">
        <f aca="false">IF((H797=1),M797-D797,0)</f>
        <v>#N/A</v>
      </c>
      <c r="O797" s="29" t="n">
        <v>780</v>
      </c>
      <c r="P797" s="49" t="e">
        <f aca="false">IF((Arterial=0),P796+1,P796)</f>
        <v>#N/A</v>
      </c>
      <c r="Q797" s="49" t="e">
        <f aca="false">IF((Arterial=1),Q796+1,Q796)</f>
        <v>#N/A</v>
      </c>
      <c r="R797" s="50" t="n">
        <f aca="false">IF((RESET=1),0,R797+K797)</f>
        <v>0</v>
      </c>
      <c r="S797" s="19" t="n">
        <f aca="false">IF(RESET=1,0,S797+N797)</f>
        <v>0</v>
      </c>
      <c r="T797" s="0" t="n">
        <f aca="false">IF(RESET=1,0,T797+IF(H797=0,1,0))</f>
        <v>0</v>
      </c>
      <c r="U797" s="0" t="n">
        <f aca="false">IF(RESET=1,0,U797+H797)</f>
        <v>0</v>
      </c>
      <c r="V797" s="19" t="n">
        <f aca="false">R797/(T797+0.00001)</f>
        <v>0</v>
      </c>
      <c r="W797" s="19" t="n">
        <f aca="false">S797/(U797+0.0001)</f>
        <v>0</v>
      </c>
      <c r="X797" s="47" t="e">
        <f aca="false">IF(Informed=1,K797,0)</f>
        <v>#N/A</v>
      </c>
      <c r="Y797" s="47" t="n">
        <f aca="false">IF(Informed=0,K797,0)</f>
        <v>0</v>
      </c>
      <c r="Z797" s="47" t="e">
        <f aca="false">IF(Informed=1,N797,0)</f>
        <v>#N/A</v>
      </c>
      <c r="AA797" s="47" t="n">
        <f aca="false">IF(Informed=0,N797,0)</f>
        <v>0</v>
      </c>
      <c r="AB797" s="51" t="e">
        <f aca="false">IF(Arterial=0,IF(Informed=1,1,0),0)</f>
        <v>#N/A</v>
      </c>
      <c r="AC797" s="51" t="e">
        <f aca="false">IF(Arterial=0,IF(Informed=0,1,0),0)</f>
        <v>#N/A</v>
      </c>
      <c r="AD797" s="51" t="e">
        <f aca="false">IF(Arterial=1,IF(Informed=1,1,0),0)</f>
        <v>#N/A</v>
      </c>
      <c r="AE797" s="51" t="e">
        <f aca="false">IF(Arterial=1,IF(Informed=0,1,0),0)</f>
        <v>#N/A</v>
      </c>
      <c r="AF797" s="44" t="e">
        <f aca="false">IF(AB797=1,(X797-G$1030)^2,0)</f>
        <v>#N/A</v>
      </c>
      <c r="AG797" s="44" t="e">
        <f aca="false">IF(AC797=1,(Y797-H$1030)^2,0)</f>
        <v>#N/A</v>
      </c>
      <c r="AH797" s="44" t="e">
        <f aca="false">IF(AD797=1,(Z797-I$1030)^2,0)</f>
        <v>#N/A</v>
      </c>
      <c r="AI797" s="44" t="e">
        <f aca="false">IF(AE797=1,(AA797-J$1030)^2,0)</f>
        <v>#N/A</v>
      </c>
    </row>
    <row r="798" customFormat="false" ht="12" hidden="false" customHeight="false" outlineLevel="0" collapsed="false">
      <c r="A798" s="29" t="n">
        <v>781</v>
      </c>
      <c r="B798" s="45" t="n">
        <f aca="true">IF(RAND()&lt;$D$8,1,0)</f>
        <v>1</v>
      </c>
      <c r="C798" s="34" t="n">
        <f aca="true">-LN(RAND())/$D$2</f>
        <v>0.786852034334923</v>
      </c>
      <c r="D798" s="46" t="n">
        <f aca="false">D797+C798</f>
        <v>1189.51653783211</v>
      </c>
      <c r="E798" s="47" t="e">
        <f aca="false">MAX($D$3,(1+P797-VLOOKUP(VALUE(D798),$J$18:$Q797,7,TRUE()))*$D$3)</f>
        <v>#N/A</v>
      </c>
      <c r="F798" s="47" t="e">
        <f aca="false">MAX($D$4,(1+Q797-VLOOKUP(VALUE(D798),$M$18:$Q797,5,TRUE()))*$D$4)</f>
        <v>#N/A</v>
      </c>
      <c r="G798" s="48" t="n">
        <v>0.5</v>
      </c>
      <c r="H798" s="46" t="e">
        <f aca="true">IF((B798=1),(IF((F798&lt;E798),1,(IF((F798=E798),(IF(RAND()&lt;G798,1,0)),0)))),(IF((RAND()&lt;G798),1,0)))</f>
        <v>#N/A</v>
      </c>
      <c r="I798" s="46" t="e">
        <f aca="true">IF((H798=1),0,$D$3+$D$5*(RAND()-0.5))</f>
        <v>#N/A</v>
      </c>
      <c r="J798" s="46" t="e">
        <f aca="false">I798+MAX(D798,J797)</f>
        <v>#N/A</v>
      </c>
      <c r="K798" s="46" t="e">
        <f aca="false">IF((H798=0),J798-D798,0)</f>
        <v>#N/A</v>
      </c>
      <c r="L798" s="46" t="e">
        <f aca="true">IF(($H798=0),0,$D$4+$D$5*(RAND()-0.5))</f>
        <v>#N/A</v>
      </c>
      <c r="M798" s="46" t="e">
        <f aca="false">L798+MAX(D798,M797)</f>
        <v>#N/A</v>
      </c>
      <c r="N798" s="46" t="e">
        <f aca="false">IF((H798=1),M798-D798,0)</f>
        <v>#N/A</v>
      </c>
      <c r="O798" s="29" t="n">
        <v>781</v>
      </c>
      <c r="P798" s="49" t="e">
        <f aca="false">IF((Arterial=0),P797+1,P797)</f>
        <v>#N/A</v>
      </c>
      <c r="Q798" s="49" t="e">
        <f aca="false">IF((Arterial=1),Q797+1,Q797)</f>
        <v>#N/A</v>
      </c>
      <c r="R798" s="50" t="n">
        <f aca="false">IF((RESET=1),0,R798+K798)</f>
        <v>0</v>
      </c>
      <c r="S798" s="19" t="n">
        <f aca="false">IF(RESET=1,0,S798+N798)</f>
        <v>0</v>
      </c>
      <c r="T798" s="0" t="n">
        <f aca="false">IF(RESET=1,0,T798+IF(H798=0,1,0))</f>
        <v>0</v>
      </c>
      <c r="U798" s="0" t="n">
        <f aca="false">IF(RESET=1,0,U798+H798)</f>
        <v>0</v>
      </c>
      <c r="V798" s="19" t="n">
        <f aca="false">R798/(T798+0.00001)</f>
        <v>0</v>
      </c>
      <c r="W798" s="19" t="n">
        <f aca="false">S798/(U798+0.0001)</f>
        <v>0</v>
      </c>
      <c r="X798" s="47" t="e">
        <f aca="false">IF(Informed=1,K798,0)</f>
        <v>#N/A</v>
      </c>
      <c r="Y798" s="47" t="n">
        <f aca="false">IF(Informed=0,K798,0)</f>
        <v>0</v>
      </c>
      <c r="Z798" s="47" t="e">
        <f aca="false">IF(Informed=1,N798,0)</f>
        <v>#N/A</v>
      </c>
      <c r="AA798" s="47" t="n">
        <f aca="false">IF(Informed=0,N798,0)</f>
        <v>0</v>
      </c>
      <c r="AB798" s="51" t="e">
        <f aca="false">IF(Arterial=0,IF(Informed=1,1,0),0)</f>
        <v>#N/A</v>
      </c>
      <c r="AC798" s="51" t="e">
        <f aca="false">IF(Arterial=0,IF(Informed=0,1,0),0)</f>
        <v>#N/A</v>
      </c>
      <c r="AD798" s="51" t="e">
        <f aca="false">IF(Arterial=1,IF(Informed=1,1,0),0)</f>
        <v>#N/A</v>
      </c>
      <c r="AE798" s="51" t="e">
        <f aca="false">IF(Arterial=1,IF(Informed=0,1,0),0)</f>
        <v>#N/A</v>
      </c>
      <c r="AF798" s="44" t="e">
        <f aca="false">IF(AB798=1,(X798-G$1030)^2,0)</f>
        <v>#N/A</v>
      </c>
      <c r="AG798" s="44" t="e">
        <f aca="false">IF(AC798=1,(Y798-H$1030)^2,0)</f>
        <v>#N/A</v>
      </c>
      <c r="AH798" s="44" t="e">
        <f aca="false">IF(AD798=1,(Z798-I$1030)^2,0)</f>
        <v>#N/A</v>
      </c>
      <c r="AI798" s="44" t="e">
        <f aca="false">IF(AE798=1,(AA798-J$1030)^2,0)</f>
        <v>#N/A</v>
      </c>
    </row>
    <row r="799" customFormat="false" ht="12" hidden="false" customHeight="false" outlineLevel="0" collapsed="false">
      <c r="A799" s="29" t="n">
        <v>782</v>
      </c>
      <c r="B799" s="45" t="n">
        <f aca="true">IF(RAND()&lt;$D$8,1,0)</f>
        <v>1</v>
      </c>
      <c r="C799" s="34" t="n">
        <f aca="true">-LN(RAND())/$D$2</f>
        <v>5.1539029680596</v>
      </c>
      <c r="D799" s="46" t="n">
        <f aca="false">D798+C799</f>
        <v>1194.67044080017</v>
      </c>
      <c r="E799" s="47" t="e">
        <f aca="false">MAX($D$3,(1+P798-VLOOKUP(VALUE(D799),$J$18:$Q798,7,TRUE()))*$D$3)</f>
        <v>#N/A</v>
      </c>
      <c r="F799" s="47" t="e">
        <f aca="false">MAX($D$4,(1+Q798-VLOOKUP(VALUE(D799),$M$18:$Q798,5,TRUE()))*$D$4)</f>
        <v>#N/A</v>
      </c>
      <c r="G799" s="48" t="n">
        <v>0.5</v>
      </c>
      <c r="H799" s="46" t="e">
        <f aca="true">IF((B799=1),(IF((F799&lt;E799),1,(IF((F799=E799),(IF(RAND()&lt;G799,1,0)),0)))),(IF((RAND()&lt;G799),1,0)))</f>
        <v>#N/A</v>
      </c>
      <c r="I799" s="46" t="e">
        <f aca="true">IF((H799=1),0,$D$3+$D$5*(RAND()-0.5))</f>
        <v>#N/A</v>
      </c>
      <c r="J799" s="46" t="e">
        <f aca="false">I799+MAX(D799,J798)</f>
        <v>#N/A</v>
      </c>
      <c r="K799" s="46" t="e">
        <f aca="false">IF((H799=0),J799-D799,0)</f>
        <v>#N/A</v>
      </c>
      <c r="L799" s="46" t="e">
        <f aca="true">IF(($H799=0),0,$D$4+$D$5*(RAND()-0.5))</f>
        <v>#N/A</v>
      </c>
      <c r="M799" s="46" t="e">
        <f aca="false">L799+MAX(D799,M798)</f>
        <v>#N/A</v>
      </c>
      <c r="N799" s="46" t="e">
        <f aca="false">IF((H799=1),M799-D799,0)</f>
        <v>#N/A</v>
      </c>
      <c r="O799" s="29" t="n">
        <v>782</v>
      </c>
      <c r="P799" s="49" t="e">
        <f aca="false">IF((Arterial=0),P798+1,P798)</f>
        <v>#N/A</v>
      </c>
      <c r="Q799" s="49" t="e">
        <f aca="false">IF((Arterial=1),Q798+1,Q798)</f>
        <v>#N/A</v>
      </c>
      <c r="R799" s="50" t="n">
        <f aca="false">IF((RESET=1),0,R799+K799)</f>
        <v>0</v>
      </c>
      <c r="S799" s="19" t="n">
        <f aca="false">IF(RESET=1,0,S799+N799)</f>
        <v>0</v>
      </c>
      <c r="T799" s="0" t="n">
        <f aca="false">IF(RESET=1,0,T799+IF(H799=0,1,0))</f>
        <v>0</v>
      </c>
      <c r="U799" s="0" t="n">
        <f aca="false">IF(RESET=1,0,U799+H799)</f>
        <v>0</v>
      </c>
      <c r="V799" s="19" t="n">
        <f aca="false">R799/(T799+0.00001)</f>
        <v>0</v>
      </c>
      <c r="W799" s="19" t="n">
        <f aca="false">S799/(U799+0.0001)</f>
        <v>0</v>
      </c>
      <c r="X799" s="47" t="e">
        <f aca="false">IF(Informed=1,K799,0)</f>
        <v>#N/A</v>
      </c>
      <c r="Y799" s="47" t="n">
        <f aca="false">IF(Informed=0,K799,0)</f>
        <v>0</v>
      </c>
      <c r="Z799" s="47" t="e">
        <f aca="false">IF(Informed=1,N799,0)</f>
        <v>#N/A</v>
      </c>
      <c r="AA799" s="47" t="n">
        <f aca="false">IF(Informed=0,N799,0)</f>
        <v>0</v>
      </c>
      <c r="AB799" s="51" t="e">
        <f aca="false">IF(Arterial=0,IF(Informed=1,1,0),0)</f>
        <v>#N/A</v>
      </c>
      <c r="AC799" s="51" t="e">
        <f aca="false">IF(Arterial=0,IF(Informed=0,1,0),0)</f>
        <v>#N/A</v>
      </c>
      <c r="AD799" s="51" t="e">
        <f aca="false">IF(Arterial=1,IF(Informed=1,1,0),0)</f>
        <v>#N/A</v>
      </c>
      <c r="AE799" s="51" t="e">
        <f aca="false">IF(Arterial=1,IF(Informed=0,1,0),0)</f>
        <v>#N/A</v>
      </c>
      <c r="AF799" s="44" t="e">
        <f aca="false">IF(AB799=1,(X799-G$1030)^2,0)</f>
        <v>#N/A</v>
      </c>
      <c r="AG799" s="44" t="e">
        <f aca="false">IF(AC799=1,(Y799-H$1030)^2,0)</f>
        <v>#N/A</v>
      </c>
      <c r="AH799" s="44" t="e">
        <f aca="false">IF(AD799=1,(Z799-I$1030)^2,0)</f>
        <v>#N/A</v>
      </c>
      <c r="AI799" s="44" t="e">
        <f aca="false">IF(AE799=1,(AA799-J$1030)^2,0)</f>
        <v>#N/A</v>
      </c>
    </row>
    <row r="800" customFormat="false" ht="12" hidden="false" customHeight="false" outlineLevel="0" collapsed="false">
      <c r="A800" s="29" t="n">
        <v>783</v>
      </c>
      <c r="B800" s="45" t="n">
        <f aca="true">IF(RAND()&lt;$D$8,1,0)</f>
        <v>1</v>
      </c>
      <c r="C800" s="34" t="n">
        <f aca="true">-LN(RAND())/$D$2</f>
        <v>3.02352078118509</v>
      </c>
      <c r="D800" s="46" t="n">
        <f aca="false">D799+C800</f>
        <v>1197.69396158136</v>
      </c>
      <c r="E800" s="47" t="e">
        <f aca="false">MAX($D$3,(1+P799-VLOOKUP(VALUE(D800),$J$18:$Q799,7,TRUE()))*$D$3)</f>
        <v>#N/A</v>
      </c>
      <c r="F800" s="47" t="e">
        <f aca="false">MAX($D$4,(1+Q799-VLOOKUP(VALUE(D800),$M$18:$Q799,5,TRUE()))*$D$4)</f>
        <v>#N/A</v>
      </c>
      <c r="G800" s="48" t="n">
        <v>0.5</v>
      </c>
      <c r="H800" s="46" t="e">
        <f aca="true">IF((B800=1),(IF((F800&lt;E800),1,(IF((F800=E800),(IF(RAND()&lt;G800,1,0)),0)))),(IF((RAND()&lt;G800),1,0)))</f>
        <v>#N/A</v>
      </c>
      <c r="I800" s="46" t="e">
        <f aca="true">IF((H800=1),0,$D$3+$D$5*(RAND()-0.5))</f>
        <v>#N/A</v>
      </c>
      <c r="J800" s="46" t="e">
        <f aca="false">I800+MAX(D800,J799)</f>
        <v>#N/A</v>
      </c>
      <c r="K800" s="46" t="e">
        <f aca="false">IF((H800=0),J800-D800,0)</f>
        <v>#N/A</v>
      </c>
      <c r="L800" s="46" t="e">
        <f aca="true">IF(($H800=0),0,$D$4+$D$5*(RAND()-0.5))</f>
        <v>#N/A</v>
      </c>
      <c r="M800" s="46" t="e">
        <f aca="false">L800+MAX(D800,M799)</f>
        <v>#N/A</v>
      </c>
      <c r="N800" s="46" t="e">
        <f aca="false">IF((H800=1),M800-D800,0)</f>
        <v>#N/A</v>
      </c>
      <c r="O800" s="29" t="n">
        <v>783</v>
      </c>
      <c r="P800" s="49" t="e">
        <f aca="false">IF((Arterial=0),P799+1,P799)</f>
        <v>#N/A</v>
      </c>
      <c r="Q800" s="49" t="e">
        <f aca="false">IF((Arterial=1),Q799+1,Q799)</f>
        <v>#N/A</v>
      </c>
      <c r="R800" s="50" t="n">
        <f aca="false">IF((RESET=1),0,R800+K800)</f>
        <v>0</v>
      </c>
      <c r="S800" s="19" t="n">
        <f aca="false">IF(RESET=1,0,S800+N800)</f>
        <v>0</v>
      </c>
      <c r="T800" s="0" t="n">
        <f aca="false">IF(RESET=1,0,T800+IF(H800=0,1,0))</f>
        <v>0</v>
      </c>
      <c r="U800" s="0" t="n">
        <f aca="false">IF(RESET=1,0,U800+H800)</f>
        <v>0</v>
      </c>
      <c r="V800" s="19" t="n">
        <f aca="false">R800/(T800+0.00001)</f>
        <v>0</v>
      </c>
      <c r="W800" s="19" t="n">
        <f aca="false">S800/(U800+0.0001)</f>
        <v>0</v>
      </c>
      <c r="X800" s="47" t="e">
        <f aca="false">IF(Informed=1,K800,0)</f>
        <v>#N/A</v>
      </c>
      <c r="Y800" s="47" t="n">
        <f aca="false">IF(Informed=0,K800,0)</f>
        <v>0</v>
      </c>
      <c r="Z800" s="47" t="e">
        <f aca="false">IF(Informed=1,N800,0)</f>
        <v>#N/A</v>
      </c>
      <c r="AA800" s="47" t="n">
        <f aca="false">IF(Informed=0,N800,0)</f>
        <v>0</v>
      </c>
      <c r="AB800" s="51" t="e">
        <f aca="false">IF(Arterial=0,IF(Informed=1,1,0),0)</f>
        <v>#N/A</v>
      </c>
      <c r="AC800" s="51" t="e">
        <f aca="false">IF(Arterial=0,IF(Informed=0,1,0),0)</f>
        <v>#N/A</v>
      </c>
      <c r="AD800" s="51" t="e">
        <f aca="false">IF(Arterial=1,IF(Informed=1,1,0),0)</f>
        <v>#N/A</v>
      </c>
      <c r="AE800" s="51" t="e">
        <f aca="false">IF(Arterial=1,IF(Informed=0,1,0),0)</f>
        <v>#N/A</v>
      </c>
      <c r="AF800" s="44" t="e">
        <f aca="false">IF(AB800=1,(X800-G$1030)^2,0)</f>
        <v>#N/A</v>
      </c>
      <c r="AG800" s="44" t="e">
        <f aca="false">IF(AC800=1,(Y800-H$1030)^2,0)</f>
        <v>#N/A</v>
      </c>
      <c r="AH800" s="44" t="e">
        <f aca="false">IF(AD800=1,(Z800-I$1030)^2,0)</f>
        <v>#N/A</v>
      </c>
      <c r="AI800" s="44" t="e">
        <f aca="false">IF(AE800=1,(AA800-J$1030)^2,0)</f>
        <v>#N/A</v>
      </c>
    </row>
    <row r="801" customFormat="false" ht="12" hidden="false" customHeight="false" outlineLevel="0" collapsed="false">
      <c r="A801" s="29" t="n">
        <v>784</v>
      </c>
      <c r="B801" s="45" t="n">
        <f aca="true">IF(RAND()&lt;$D$8,1,0)</f>
        <v>1</v>
      </c>
      <c r="C801" s="34" t="n">
        <f aca="true">-LN(RAND())/$D$2</f>
        <v>0.246144060209897</v>
      </c>
      <c r="D801" s="46" t="n">
        <f aca="false">D800+C801</f>
        <v>1197.94010564157</v>
      </c>
      <c r="E801" s="47" t="e">
        <f aca="false">MAX($D$3,(1+P800-VLOOKUP(VALUE(D801),$J$18:$Q800,7,TRUE()))*$D$3)</f>
        <v>#N/A</v>
      </c>
      <c r="F801" s="47" t="e">
        <f aca="false">MAX($D$4,(1+Q800-VLOOKUP(VALUE(D801),$M$18:$Q800,5,TRUE()))*$D$4)</f>
        <v>#N/A</v>
      </c>
      <c r="G801" s="48" t="n">
        <v>0.5</v>
      </c>
      <c r="H801" s="46" t="e">
        <f aca="true">IF((B801=1),(IF((F801&lt;E801),1,(IF((F801=E801),(IF(RAND()&lt;G801,1,0)),0)))),(IF((RAND()&lt;G801),1,0)))</f>
        <v>#N/A</v>
      </c>
      <c r="I801" s="46" t="e">
        <f aca="true">IF((H801=1),0,$D$3+$D$5*(RAND()-0.5))</f>
        <v>#N/A</v>
      </c>
      <c r="J801" s="46" t="e">
        <f aca="false">I801+MAX(D801,J800)</f>
        <v>#N/A</v>
      </c>
      <c r="K801" s="46" t="e">
        <f aca="false">IF((H801=0),J801-D801,0)</f>
        <v>#N/A</v>
      </c>
      <c r="L801" s="46" t="e">
        <f aca="true">IF(($H801=0),0,$D$4+$D$5*(RAND()-0.5))</f>
        <v>#N/A</v>
      </c>
      <c r="M801" s="46" t="e">
        <f aca="false">L801+MAX(D801,M800)</f>
        <v>#N/A</v>
      </c>
      <c r="N801" s="46" t="e">
        <f aca="false">IF((H801=1),M801-D801,0)</f>
        <v>#N/A</v>
      </c>
      <c r="O801" s="29" t="n">
        <v>784</v>
      </c>
      <c r="P801" s="49" t="e">
        <f aca="false">IF((Arterial=0),P800+1,P800)</f>
        <v>#N/A</v>
      </c>
      <c r="Q801" s="49" t="e">
        <f aca="false">IF((Arterial=1),Q800+1,Q800)</f>
        <v>#N/A</v>
      </c>
      <c r="R801" s="50" t="n">
        <f aca="false">IF((RESET=1),0,R801+K801)</f>
        <v>0</v>
      </c>
      <c r="S801" s="19" t="n">
        <f aca="false">IF(RESET=1,0,S801+N801)</f>
        <v>0</v>
      </c>
      <c r="T801" s="0" t="n">
        <f aca="false">IF(RESET=1,0,T801+IF(H801=0,1,0))</f>
        <v>0</v>
      </c>
      <c r="U801" s="0" t="n">
        <f aca="false">IF(RESET=1,0,U801+H801)</f>
        <v>0</v>
      </c>
      <c r="V801" s="19" t="n">
        <f aca="false">R801/(T801+0.00001)</f>
        <v>0</v>
      </c>
      <c r="W801" s="19" t="n">
        <f aca="false">S801/(U801+0.0001)</f>
        <v>0</v>
      </c>
      <c r="X801" s="47" t="e">
        <f aca="false">IF(Informed=1,K801,0)</f>
        <v>#N/A</v>
      </c>
      <c r="Y801" s="47" t="n">
        <f aca="false">IF(Informed=0,K801,0)</f>
        <v>0</v>
      </c>
      <c r="Z801" s="47" t="e">
        <f aca="false">IF(Informed=1,N801,0)</f>
        <v>#N/A</v>
      </c>
      <c r="AA801" s="47" t="n">
        <f aca="false">IF(Informed=0,N801,0)</f>
        <v>0</v>
      </c>
      <c r="AB801" s="51" t="e">
        <f aca="false">IF(Arterial=0,IF(Informed=1,1,0),0)</f>
        <v>#N/A</v>
      </c>
      <c r="AC801" s="51" t="e">
        <f aca="false">IF(Arterial=0,IF(Informed=0,1,0),0)</f>
        <v>#N/A</v>
      </c>
      <c r="AD801" s="51" t="e">
        <f aca="false">IF(Arterial=1,IF(Informed=1,1,0),0)</f>
        <v>#N/A</v>
      </c>
      <c r="AE801" s="51" t="e">
        <f aca="false">IF(Arterial=1,IF(Informed=0,1,0),0)</f>
        <v>#N/A</v>
      </c>
      <c r="AF801" s="44" t="e">
        <f aca="false">IF(AB801=1,(X801-G$1030)^2,0)</f>
        <v>#N/A</v>
      </c>
      <c r="AG801" s="44" t="e">
        <f aca="false">IF(AC801=1,(Y801-H$1030)^2,0)</f>
        <v>#N/A</v>
      </c>
      <c r="AH801" s="44" t="e">
        <f aca="false">IF(AD801=1,(Z801-I$1030)^2,0)</f>
        <v>#N/A</v>
      </c>
      <c r="AI801" s="44" t="e">
        <f aca="false">IF(AE801=1,(AA801-J$1030)^2,0)</f>
        <v>#N/A</v>
      </c>
    </row>
    <row r="802" customFormat="false" ht="12" hidden="false" customHeight="false" outlineLevel="0" collapsed="false">
      <c r="A802" s="29" t="n">
        <v>785</v>
      </c>
      <c r="B802" s="45" t="n">
        <f aca="true">IF(RAND()&lt;$D$8,1,0)</f>
        <v>1</v>
      </c>
      <c r="C802" s="34" t="n">
        <f aca="true">-LN(RAND())/$D$2</f>
        <v>0.737397544584693</v>
      </c>
      <c r="D802" s="46" t="n">
        <f aca="false">D801+C802</f>
        <v>1198.67750318615</v>
      </c>
      <c r="E802" s="47" t="e">
        <f aca="false">MAX($D$3,(1+P801-VLOOKUP(VALUE(D802),$J$18:$Q801,7,TRUE()))*$D$3)</f>
        <v>#N/A</v>
      </c>
      <c r="F802" s="47" t="e">
        <f aca="false">MAX($D$4,(1+Q801-VLOOKUP(VALUE(D802),$M$18:$Q801,5,TRUE()))*$D$4)</f>
        <v>#N/A</v>
      </c>
      <c r="G802" s="48" t="n">
        <v>0.5</v>
      </c>
      <c r="H802" s="46" t="e">
        <f aca="true">IF((B802=1),(IF((F802&lt;E802),1,(IF((F802=E802),(IF(RAND()&lt;G802,1,0)),0)))),(IF((RAND()&lt;G802),1,0)))</f>
        <v>#N/A</v>
      </c>
      <c r="I802" s="46" t="e">
        <f aca="true">IF((H802=1),0,$D$3+$D$5*(RAND()-0.5))</f>
        <v>#N/A</v>
      </c>
      <c r="J802" s="46" t="e">
        <f aca="false">I802+MAX(D802,J801)</f>
        <v>#N/A</v>
      </c>
      <c r="K802" s="46" t="e">
        <f aca="false">IF((H802=0),J802-D802,0)</f>
        <v>#N/A</v>
      </c>
      <c r="L802" s="46" t="e">
        <f aca="true">IF(($H802=0),0,$D$4+$D$5*(RAND()-0.5))</f>
        <v>#N/A</v>
      </c>
      <c r="M802" s="46" t="e">
        <f aca="false">L802+MAX(D802,M801)</f>
        <v>#N/A</v>
      </c>
      <c r="N802" s="46" t="e">
        <f aca="false">IF((H802=1),M802-D802,0)</f>
        <v>#N/A</v>
      </c>
      <c r="O802" s="29" t="n">
        <v>785</v>
      </c>
      <c r="P802" s="49" t="e">
        <f aca="false">IF((Arterial=0),P801+1,P801)</f>
        <v>#N/A</v>
      </c>
      <c r="Q802" s="49" t="e">
        <f aca="false">IF((Arterial=1),Q801+1,Q801)</f>
        <v>#N/A</v>
      </c>
      <c r="R802" s="50" t="n">
        <f aca="false">IF((RESET=1),0,R802+K802)</f>
        <v>0</v>
      </c>
      <c r="S802" s="19" t="n">
        <f aca="false">IF(RESET=1,0,S802+N802)</f>
        <v>0</v>
      </c>
      <c r="T802" s="0" t="n">
        <f aca="false">IF(RESET=1,0,T802+IF(H802=0,1,0))</f>
        <v>0</v>
      </c>
      <c r="U802" s="0" t="n">
        <f aca="false">IF(RESET=1,0,U802+H802)</f>
        <v>0</v>
      </c>
      <c r="V802" s="19" t="n">
        <f aca="false">R802/(T802+0.00001)</f>
        <v>0</v>
      </c>
      <c r="W802" s="19" t="n">
        <f aca="false">S802/(U802+0.0001)</f>
        <v>0</v>
      </c>
      <c r="X802" s="47" t="e">
        <f aca="false">IF(Informed=1,K802,0)</f>
        <v>#N/A</v>
      </c>
      <c r="Y802" s="47" t="n">
        <f aca="false">IF(Informed=0,K802,0)</f>
        <v>0</v>
      </c>
      <c r="Z802" s="47" t="e">
        <f aca="false">IF(Informed=1,N802,0)</f>
        <v>#N/A</v>
      </c>
      <c r="AA802" s="47" t="n">
        <f aca="false">IF(Informed=0,N802,0)</f>
        <v>0</v>
      </c>
      <c r="AB802" s="51" t="e">
        <f aca="false">IF(Arterial=0,IF(Informed=1,1,0),0)</f>
        <v>#N/A</v>
      </c>
      <c r="AC802" s="51" t="e">
        <f aca="false">IF(Arterial=0,IF(Informed=0,1,0),0)</f>
        <v>#N/A</v>
      </c>
      <c r="AD802" s="51" t="e">
        <f aca="false">IF(Arterial=1,IF(Informed=1,1,0),0)</f>
        <v>#N/A</v>
      </c>
      <c r="AE802" s="51" t="e">
        <f aca="false">IF(Arterial=1,IF(Informed=0,1,0),0)</f>
        <v>#N/A</v>
      </c>
      <c r="AF802" s="44" t="e">
        <f aca="false">IF(AB802=1,(X802-G$1030)^2,0)</f>
        <v>#N/A</v>
      </c>
      <c r="AG802" s="44" t="e">
        <f aca="false">IF(AC802=1,(Y802-H$1030)^2,0)</f>
        <v>#N/A</v>
      </c>
      <c r="AH802" s="44" t="e">
        <f aca="false">IF(AD802=1,(Z802-I$1030)^2,0)</f>
        <v>#N/A</v>
      </c>
      <c r="AI802" s="44" t="e">
        <f aca="false">IF(AE802=1,(AA802-J$1030)^2,0)</f>
        <v>#N/A</v>
      </c>
    </row>
    <row r="803" customFormat="false" ht="12" hidden="false" customHeight="false" outlineLevel="0" collapsed="false">
      <c r="A803" s="29" t="n">
        <v>786</v>
      </c>
      <c r="B803" s="45" t="n">
        <f aca="true">IF(RAND()&lt;$D$8,1,0)</f>
        <v>1</v>
      </c>
      <c r="C803" s="34" t="n">
        <f aca="true">-LN(RAND())/$D$2</f>
        <v>0.411400934152238</v>
      </c>
      <c r="D803" s="46" t="n">
        <f aca="false">D802+C803</f>
        <v>1199.0889041203</v>
      </c>
      <c r="E803" s="47" t="e">
        <f aca="false">MAX($D$3,(1+P802-VLOOKUP(VALUE(D803),$J$18:$Q802,7,TRUE()))*$D$3)</f>
        <v>#N/A</v>
      </c>
      <c r="F803" s="47" t="e">
        <f aca="false">MAX($D$4,(1+Q802-VLOOKUP(VALUE(D803),$M$18:$Q802,5,TRUE()))*$D$4)</f>
        <v>#N/A</v>
      </c>
      <c r="G803" s="48" t="n">
        <v>0.5</v>
      </c>
      <c r="H803" s="46" t="e">
        <f aca="true">IF((B803=1),(IF((F803&lt;E803),1,(IF((F803=E803),(IF(RAND()&lt;G803,1,0)),0)))),(IF((RAND()&lt;G803),1,0)))</f>
        <v>#N/A</v>
      </c>
      <c r="I803" s="46" t="e">
        <f aca="true">IF((H803=1),0,$D$3+$D$5*(RAND()-0.5))</f>
        <v>#N/A</v>
      </c>
      <c r="J803" s="46" t="e">
        <f aca="false">I803+MAX(D803,J802)</f>
        <v>#N/A</v>
      </c>
      <c r="K803" s="46" t="e">
        <f aca="false">IF((H803=0),J803-D803,0)</f>
        <v>#N/A</v>
      </c>
      <c r="L803" s="46" t="e">
        <f aca="true">IF(($H803=0),0,$D$4+$D$5*(RAND()-0.5))</f>
        <v>#N/A</v>
      </c>
      <c r="M803" s="46" t="e">
        <f aca="false">L803+MAX(D803,M802)</f>
        <v>#N/A</v>
      </c>
      <c r="N803" s="46" t="e">
        <f aca="false">IF((H803=1),M803-D803,0)</f>
        <v>#N/A</v>
      </c>
      <c r="O803" s="29" t="n">
        <v>786</v>
      </c>
      <c r="P803" s="49" t="e">
        <f aca="false">IF((Arterial=0),P802+1,P802)</f>
        <v>#N/A</v>
      </c>
      <c r="Q803" s="49" t="e">
        <f aca="false">IF((Arterial=1),Q802+1,Q802)</f>
        <v>#N/A</v>
      </c>
      <c r="R803" s="50" t="n">
        <f aca="false">IF((RESET=1),0,R803+K803)</f>
        <v>0</v>
      </c>
      <c r="S803" s="19" t="n">
        <f aca="false">IF(RESET=1,0,S803+N803)</f>
        <v>0</v>
      </c>
      <c r="T803" s="0" t="n">
        <f aca="false">IF(RESET=1,0,T803+IF(H803=0,1,0))</f>
        <v>0</v>
      </c>
      <c r="U803" s="0" t="n">
        <f aca="false">IF(RESET=1,0,U803+H803)</f>
        <v>0</v>
      </c>
      <c r="V803" s="19" t="n">
        <f aca="false">R803/(T803+0.00001)</f>
        <v>0</v>
      </c>
      <c r="W803" s="19" t="n">
        <f aca="false">S803/(U803+0.0001)</f>
        <v>0</v>
      </c>
      <c r="X803" s="47" t="e">
        <f aca="false">IF(Informed=1,K803,0)</f>
        <v>#N/A</v>
      </c>
      <c r="Y803" s="47" t="n">
        <f aca="false">IF(Informed=0,K803,0)</f>
        <v>0</v>
      </c>
      <c r="Z803" s="47" t="e">
        <f aca="false">IF(Informed=1,N803,0)</f>
        <v>#N/A</v>
      </c>
      <c r="AA803" s="47" t="n">
        <f aca="false">IF(Informed=0,N803,0)</f>
        <v>0</v>
      </c>
      <c r="AB803" s="51" t="e">
        <f aca="false">IF(Arterial=0,IF(Informed=1,1,0),0)</f>
        <v>#N/A</v>
      </c>
      <c r="AC803" s="51" t="e">
        <f aca="false">IF(Arterial=0,IF(Informed=0,1,0),0)</f>
        <v>#N/A</v>
      </c>
      <c r="AD803" s="51" t="e">
        <f aca="false">IF(Arterial=1,IF(Informed=1,1,0),0)</f>
        <v>#N/A</v>
      </c>
      <c r="AE803" s="51" t="e">
        <f aca="false">IF(Arterial=1,IF(Informed=0,1,0),0)</f>
        <v>#N/A</v>
      </c>
      <c r="AF803" s="44" t="e">
        <f aca="false">IF(AB803=1,(X803-G$1030)^2,0)</f>
        <v>#N/A</v>
      </c>
      <c r="AG803" s="44" t="e">
        <f aca="false">IF(AC803=1,(Y803-H$1030)^2,0)</f>
        <v>#N/A</v>
      </c>
      <c r="AH803" s="44" t="e">
        <f aca="false">IF(AD803=1,(Z803-I$1030)^2,0)</f>
        <v>#N/A</v>
      </c>
      <c r="AI803" s="44" t="e">
        <f aca="false">IF(AE803=1,(AA803-J$1030)^2,0)</f>
        <v>#N/A</v>
      </c>
    </row>
    <row r="804" customFormat="false" ht="12" hidden="false" customHeight="false" outlineLevel="0" collapsed="false">
      <c r="A804" s="29" t="n">
        <v>787</v>
      </c>
      <c r="B804" s="45" t="n">
        <f aca="true">IF(RAND()&lt;$D$8,1,0)</f>
        <v>1</v>
      </c>
      <c r="C804" s="34" t="n">
        <f aca="true">-LN(RAND())/$D$2</f>
        <v>2.17745664229078</v>
      </c>
      <c r="D804" s="46" t="n">
        <f aca="false">D803+C804</f>
        <v>1201.26636076259</v>
      </c>
      <c r="E804" s="47" t="e">
        <f aca="false">MAX($D$3,(1+P803-VLOOKUP(VALUE(D804),$J$18:$Q803,7,TRUE()))*$D$3)</f>
        <v>#N/A</v>
      </c>
      <c r="F804" s="47" t="e">
        <f aca="false">MAX($D$4,(1+Q803-VLOOKUP(VALUE(D804),$M$18:$Q803,5,TRUE()))*$D$4)</f>
        <v>#N/A</v>
      </c>
      <c r="G804" s="48" t="n">
        <v>0.5</v>
      </c>
      <c r="H804" s="46" t="e">
        <f aca="true">IF((B804=1),(IF((F804&lt;E804),1,(IF((F804=E804),(IF(RAND()&lt;G804,1,0)),0)))),(IF((RAND()&lt;G804),1,0)))</f>
        <v>#N/A</v>
      </c>
      <c r="I804" s="46" t="e">
        <f aca="true">IF((H804=1),0,$D$3+$D$5*(RAND()-0.5))</f>
        <v>#N/A</v>
      </c>
      <c r="J804" s="46" t="e">
        <f aca="false">I804+MAX(D804,J803)</f>
        <v>#N/A</v>
      </c>
      <c r="K804" s="46" t="e">
        <f aca="false">IF((H804=0),J804-D804,0)</f>
        <v>#N/A</v>
      </c>
      <c r="L804" s="46" t="e">
        <f aca="true">IF(($H804=0),0,$D$4+$D$5*(RAND()-0.5))</f>
        <v>#N/A</v>
      </c>
      <c r="M804" s="46" t="e">
        <f aca="false">L804+MAX(D804,M803)</f>
        <v>#N/A</v>
      </c>
      <c r="N804" s="46" t="e">
        <f aca="false">IF((H804=1),M804-D804,0)</f>
        <v>#N/A</v>
      </c>
      <c r="O804" s="29" t="n">
        <v>787</v>
      </c>
      <c r="P804" s="49" t="e">
        <f aca="false">IF((Arterial=0),P803+1,P803)</f>
        <v>#N/A</v>
      </c>
      <c r="Q804" s="49" t="e">
        <f aca="false">IF((Arterial=1),Q803+1,Q803)</f>
        <v>#N/A</v>
      </c>
      <c r="R804" s="50" t="n">
        <f aca="false">IF((RESET=1),0,R804+K804)</f>
        <v>0</v>
      </c>
      <c r="S804" s="19" t="n">
        <f aca="false">IF(RESET=1,0,S804+N804)</f>
        <v>0</v>
      </c>
      <c r="T804" s="0" t="n">
        <f aca="false">IF(RESET=1,0,T804+IF(H804=0,1,0))</f>
        <v>0</v>
      </c>
      <c r="U804" s="0" t="n">
        <f aca="false">IF(RESET=1,0,U804+H804)</f>
        <v>0</v>
      </c>
      <c r="V804" s="19" t="n">
        <f aca="false">R804/(T804+0.00001)</f>
        <v>0</v>
      </c>
      <c r="W804" s="19" t="n">
        <f aca="false">S804/(U804+0.0001)</f>
        <v>0</v>
      </c>
      <c r="X804" s="47" t="e">
        <f aca="false">IF(Informed=1,K804,0)</f>
        <v>#N/A</v>
      </c>
      <c r="Y804" s="47" t="n">
        <f aca="false">IF(Informed=0,K804,0)</f>
        <v>0</v>
      </c>
      <c r="Z804" s="47" t="e">
        <f aca="false">IF(Informed=1,N804,0)</f>
        <v>#N/A</v>
      </c>
      <c r="AA804" s="47" t="n">
        <f aca="false">IF(Informed=0,N804,0)</f>
        <v>0</v>
      </c>
      <c r="AB804" s="51" t="e">
        <f aca="false">IF(Arterial=0,IF(Informed=1,1,0),0)</f>
        <v>#N/A</v>
      </c>
      <c r="AC804" s="51" t="e">
        <f aca="false">IF(Arterial=0,IF(Informed=0,1,0),0)</f>
        <v>#N/A</v>
      </c>
      <c r="AD804" s="51" t="e">
        <f aca="false">IF(Arterial=1,IF(Informed=1,1,0),0)</f>
        <v>#N/A</v>
      </c>
      <c r="AE804" s="51" t="e">
        <f aca="false">IF(Arterial=1,IF(Informed=0,1,0),0)</f>
        <v>#N/A</v>
      </c>
      <c r="AF804" s="44" t="e">
        <f aca="false">IF(AB804=1,(X804-G$1030)^2,0)</f>
        <v>#N/A</v>
      </c>
      <c r="AG804" s="44" t="e">
        <f aca="false">IF(AC804=1,(Y804-H$1030)^2,0)</f>
        <v>#N/A</v>
      </c>
      <c r="AH804" s="44" t="e">
        <f aca="false">IF(AD804=1,(Z804-I$1030)^2,0)</f>
        <v>#N/A</v>
      </c>
      <c r="AI804" s="44" t="e">
        <f aca="false">IF(AE804=1,(AA804-J$1030)^2,0)</f>
        <v>#N/A</v>
      </c>
    </row>
    <row r="805" customFormat="false" ht="12" hidden="false" customHeight="false" outlineLevel="0" collapsed="false">
      <c r="A805" s="29" t="n">
        <v>788</v>
      </c>
      <c r="B805" s="45" t="n">
        <f aca="true">IF(RAND()&lt;$D$8,1,0)</f>
        <v>1</v>
      </c>
      <c r="C805" s="34" t="n">
        <f aca="true">-LN(RAND())/$D$2</f>
        <v>0.327479951117125</v>
      </c>
      <c r="D805" s="46" t="n">
        <f aca="false">D804+C805</f>
        <v>1201.59384071371</v>
      </c>
      <c r="E805" s="47" t="e">
        <f aca="false">MAX($D$3,(1+P804-VLOOKUP(VALUE(D805),$J$18:$Q804,7,TRUE()))*$D$3)</f>
        <v>#N/A</v>
      </c>
      <c r="F805" s="47" t="e">
        <f aca="false">MAX($D$4,(1+Q804-VLOOKUP(VALUE(D805),$M$18:$Q804,5,TRUE()))*$D$4)</f>
        <v>#N/A</v>
      </c>
      <c r="G805" s="48" t="n">
        <v>0.5</v>
      </c>
      <c r="H805" s="46" t="e">
        <f aca="true">IF((B805=1),(IF((F805&lt;E805),1,(IF((F805=E805),(IF(RAND()&lt;G805,1,0)),0)))),(IF((RAND()&lt;G805),1,0)))</f>
        <v>#N/A</v>
      </c>
      <c r="I805" s="46" t="e">
        <f aca="true">IF((H805=1),0,$D$3+$D$5*(RAND()-0.5))</f>
        <v>#N/A</v>
      </c>
      <c r="J805" s="46" t="e">
        <f aca="false">I805+MAX(D805,J804)</f>
        <v>#N/A</v>
      </c>
      <c r="K805" s="46" t="e">
        <f aca="false">IF((H805=0),J805-D805,0)</f>
        <v>#N/A</v>
      </c>
      <c r="L805" s="46" t="e">
        <f aca="true">IF(($H805=0),0,$D$4+$D$5*(RAND()-0.5))</f>
        <v>#N/A</v>
      </c>
      <c r="M805" s="46" t="e">
        <f aca="false">L805+MAX(D805,M804)</f>
        <v>#N/A</v>
      </c>
      <c r="N805" s="46" t="e">
        <f aca="false">IF((H805=1),M805-D805,0)</f>
        <v>#N/A</v>
      </c>
      <c r="O805" s="29" t="n">
        <v>788</v>
      </c>
      <c r="P805" s="49" t="e">
        <f aca="false">IF((Arterial=0),P804+1,P804)</f>
        <v>#N/A</v>
      </c>
      <c r="Q805" s="49" t="e">
        <f aca="false">IF((Arterial=1),Q804+1,Q804)</f>
        <v>#N/A</v>
      </c>
      <c r="R805" s="50" t="n">
        <f aca="false">IF((RESET=1),0,R805+K805)</f>
        <v>0</v>
      </c>
      <c r="S805" s="19" t="n">
        <f aca="false">IF(RESET=1,0,S805+N805)</f>
        <v>0</v>
      </c>
      <c r="T805" s="0" t="n">
        <f aca="false">IF(RESET=1,0,T805+IF(H805=0,1,0))</f>
        <v>0</v>
      </c>
      <c r="U805" s="0" t="n">
        <f aca="false">IF(RESET=1,0,U805+H805)</f>
        <v>0</v>
      </c>
      <c r="V805" s="19" t="n">
        <f aca="false">R805/(T805+0.00001)</f>
        <v>0</v>
      </c>
      <c r="W805" s="19" t="n">
        <f aca="false">S805/(U805+0.0001)</f>
        <v>0</v>
      </c>
      <c r="X805" s="47" t="e">
        <f aca="false">IF(Informed=1,K805,0)</f>
        <v>#N/A</v>
      </c>
      <c r="Y805" s="47" t="n">
        <f aca="false">IF(Informed=0,K805,0)</f>
        <v>0</v>
      </c>
      <c r="Z805" s="47" t="e">
        <f aca="false">IF(Informed=1,N805,0)</f>
        <v>#N/A</v>
      </c>
      <c r="AA805" s="47" t="n">
        <f aca="false">IF(Informed=0,N805,0)</f>
        <v>0</v>
      </c>
      <c r="AB805" s="51" t="e">
        <f aca="false">IF(Arterial=0,IF(Informed=1,1,0),0)</f>
        <v>#N/A</v>
      </c>
      <c r="AC805" s="51" t="e">
        <f aca="false">IF(Arterial=0,IF(Informed=0,1,0),0)</f>
        <v>#N/A</v>
      </c>
      <c r="AD805" s="51" t="e">
        <f aca="false">IF(Arterial=1,IF(Informed=1,1,0),0)</f>
        <v>#N/A</v>
      </c>
      <c r="AE805" s="51" t="e">
        <f aca="false">IF(Arterial=1,IF(Informed=0,1,0),0)</f>
        <v>#N/A</v>
      </c>
      <c r="AF805" s="44" t="e">
        <f aca="false">IF(AB805=1,(X805-G$1030)^2,0)</f>
        <v>#N/A</v>
      </c>
      <c r="AG805" s="44" t="e">
        <f aca="false">IF(AC805=1,(Y805-H$1030)^2,0)</f>
        <v>#N/A</v>
      </c>
      <c r="AH805" s="44" t="e">
        <f aca="false">IF(AD805=1,(Z805-I$1030)^2,0)</f>
        <v>#N/A</v>
      </c>
      <c r="AI805" s="44" t="e">
        <f aca="false">IF(AE805=1,(AA805-J$1030)^2,0)</f>
        <v>#N/A</v>
      </c>
    </row>
    <row r="806" customFormat="false" ht="12" hidden="false" customHeight="false" outlineLevel="0" collapsed="false">
      <c r="A806" s="29" t="n">
        <v>789</v>
      </c>
      <c r="B806" s="45" t="n">
        <f aca="true">IF(RAND()&lt;$D$8,1,0)</f>
        <v>1</v>
      </c>
      <c r="C806" s="34" t="n">
        <f aca="true">-LN(RAND())/$D$2</f>
        <v>2.02522606179452</v>
      </c>
      <c r="D806" s="46" t="n">
        <f aca="false">D805+C806</f>
        <v>1203.61906677551</v>
      </c>
      <c r="E806" s="47" t="e">
        <f aca="false">MAX($D$3,(1+P805-VLOOKUP(VALUE(D806),$J$18:$Q805,7,TRUE()))*$D$3)</f>
        <v>#N/A</v>
      </c>
      <c r="F806" s="47" t="e">
        <f aca="false">MAX($D$4,(1+Q805-VLOOKUP(VALUE(D806),$M$18:$Q805,5,TRUE()))*$D$4)</f>
        <v>#N/A</v>
      </c>
      <c r="G806" s="48" t="n">
        <v>0.5</v>
      </c>
      <c r="H806" s="46" t="e">
        <f aca="true">IF((B806=1),(IF((F806&lt;E806),1,(IF((F806=E806),(IF(RAND()&lt;G806,1,0)),0)))),(IF((RAND()&lt;G806),1,0)))</f>
        <v>#N/A</v>
      </c>
      <c r="I806" s="46" t="e">
        <f aca="true">IF((H806=1),0,$D$3+$D$5*(RAND()-0.5))</f>
        <v>#N/A</v>
      </c>
      <c r="J806" s="46" t="e">
        <f aca="false">I806+MAX(D806,J805)</f>
        <v>#N/A</v>
      </c>
      <c r="K806" s="46" t="e">
        <f aca="false">IF((H806=0),J806-D806,0)</f>
        <v>#N/A</v>
      </c>
      <c r="L806" s="46" t="e">
        <f aca="true">IF(($H806=0),0,$D$4+$D$5*(RAND()-0.5))</f>
        <v>#N/A</v>
      </c>
      <c r="M806" s="46" t="e">
        <f aca="false">L806+MAX(D806,M805)</f>
        <v>#N/A</v>
      </c>
      <c r="N806" s="46" t="e">
        <f aca="false">IF((H806=1),M806-D806,0)</f>
        <v>#N/A</v>
      </c>
      <c r="O806" s="29" t="n">
        <v>789</v>
      </c>
      <c r="P806" s="49" t="e">
        <f aca="false">IF((Arterial=0),P805+1,P805)</f>
        <v>#N/A</v>
      </c>
      <c r="Q806" s="49" t="e">
        <f aca="false">IF((Arterial=1),Q805+1,Q805)</f>
        <v>#N/A</v>
      </c>
      <c r="R806" s="50" t="n">
        <f aca="false">IF((RESET=1),0,R806+K806)</f>
        <v>0</v>
      </c>
      <c r="S806" s="19" t="n">
        <f aca="false">IF(RESET=1,0,S806+N806)</f>
        <v>0</v>
      </c>
      <c r="T806" s="0" t="n">
        <f aca="false">IF(RESET=1,0,T806+IF(H806=0,1,0))</f>
        <v>0</v>
      </c>
      <c r="U806" s="0" t="n">
        <f aca="false">IF(RESET=1,0,U806+H806)</f>
        <v>0</v>
      </c>
      <c r="V806" s="19" t="n">
        <f aca="false">R806/(T806+0.00001)</f>
        <v>0</v>
      </c>
      <c r="W806" s="19" t="n">
        <f aca="false">S806/(U806+0.0001)</f>
        <v>0</v>
      </c>
      <c r="X806" s="47" t="e">
        <f aca="false">IF(Informed=1,K806,0)</f>
        <v>#N/A</v>
      </c>
      <c r="Y806" s="47" t="n">
        <f aca="false">IF(Informed=0,K806,0)</f>
        <v>0</v>
      </c>
      <c r="Z806" s="47" t="e">
        <f aca="false">IF(Informed=1,N806,0)</f>
        <v>#N/A</v>
      </c>
      <c r="AA806" s="47" t="n">
        <f aca="false">IF(Informed=0,N806,0)</f>
        <v>0</v>
      </c>
      <c r="AB806" s="51" t="e">
        <f aca="false">IF(Arterial=0,IF(Informed=1,1,0),0)</f>
        <v>#N/A</v>
      </c>
      <c r="AC806" s="51" t="e">
        <f aca="false">IF(Arterial=0,IF(Informed=0,1,0),0)</f>
        <v>#N/A</v>
      </c>
      <c r="AD806" s="51" t="e">
        <f aca="false">IF(Arterial=1,IF(Informed=1,1,0),0)</f>
        <v>#N/A</v>
      </c>
      <c r="AE806" s="51" t="e">
        <f aca="false">IF(Arterial=1,IF(Informed=0,1,0),0)</f>
        <v>#N/A</v>
      </c>
      <c r="AF806" s="44" t="e">
        <f aca="false">IF(AB806=1,(X806-G$1030)^2,0)</f>
        <v>#N/A</v>
      </c>
      <c r="AG806" s="44" t="e">
        <f aca="false">IF(AC806=1,(Y806-H$1030)^2,0)</f>
        <v>#N/A</v>
      </c>
      <c r="AH806" s="44" t="e">
        <f aca="false">IF(AD806=1,(Z806-I$1030)^2,0)</f>
        <v>#N/A</v>
      </c>
      <c r="AI806" s="44" t="e">
        <f aca="false">IF(AE806=1,(AA806-J$1030)^2,0)</f>
        <v>#N/A</v>
      </c>
    </row>
    <row r="807" customFormat="false" ht="12" hidden="false" customHeight="false" outlineLevel="0" collapsed="false">
      <c r="A807" s="29" t="n">
        <v>790</v>
      </c>
      <c r="B807" s="45" t="n">
        <f aca="true">IF(RAND()&lt;$D$8,1,0)</f>
        <v>1</v>
      </c>
      <c r="C807" s="34" t="n">
        <f aca="true">-LN(RAND())/$D$2</f>
        <v>3.50674963850222</v>
      </c>
      <c r="D807" s="46" t="n">
        <f aca="false">D806+C807</f>
        <v>1207.12581641401</v>
      </c>
      <c r="E807" s="47" t="e">
        <f aca="false">MAX($D$3,(1+P806-VLOOKUP(VALUE(D807),$J$18:$Q806,7,TRUE()))*$D$3)</f>
        <v>#N/A</v>
      </c>
      <c r="F807" s="47" t="e">
        <f aca="false">MAX($D$4,(1+Q806-VLOOKUP(VALUE(D807),$M$18:$Q806,5,TRUE()))*$D$4)</f>
        <v>#N/A</v>
      </c>
      <c r="G807" s="48" t="n">
        <v>0.5</v>
      </c>
      <c r="H807" s="46" t="e">
        <f aca="true">IF((B807=1),(IF((F807&lt;E807),1,(IF((F807=E807),(IF(RAND()&lt;G807,1,0)),0)))),(IF((RAND()&lt;G807),1,0)))</f>
        <v>#N/A</v>
      </c>
      <c r="I807" s="46" t="e">
        <f aca="true">IF((H807=1),0,$D$3+$D$5*(RAND()-0.5))</f>
        <v>#N/A</v>
      </c>
      <c r="J807" s="46" t="e">
        <f aca="false">I807+MAX(D807,J806)</f>
        <v>#N/A</v>
      </c>
      <c r="K807" s="46" t="e">
        <f aca="false">IF((H807=0),J807-D807,0)</f>
        <v>#N/A</v>
      </c>
      <c r="L807" s="46" t="e">
        <f aca="true">IF(($H807=0),0,$D$4+$D$5*(RAND()-0.5))</f>
        <v>#N/A</v>
      </c>
      <c r="M807" s="46" t="e">
        <f aca="false">L807+MAX(D807,M806)</f>
        <v>#N/A</v>
      </c>
      <c r="N807" s="46" t="e">
        <f aca="false">IF((H807=1),M807-D807,0)</f>
        <v>#N/A</v>
      </c>
      <c r="O807" s="29" t="n">
        <v>790</v>
      </c>
      <c r="P807" s="49" t="e">
        <f aca="false">IF((Arterial=0),P806+1,P806)</f>
        <v>#N/A</v>
      </c>
      <c r="Q807" s="49" t="e">
        <f aca="false">IF((Arterial=1),Q806+1,Q806)</f>
        <v>#N/A</v>
      </c>
      <c r="R807" s="50" t="n">
        <f aca="false">IF((RESET=1),0,R807+K807)</f>
        <v>0</v>
      </c>
      <c r="S807" s="19" t="n">
        <f aca="false">IF(RESET=1,0,S807+N807)</f>
        <v>0</v>
      </c>
      <c r="T807" s="0" t="n">
        <f aca="false">IF(RESET=1,0,T807+IF(H807=0,1,0))</f>
        <v>0</v>
      </c>
      <c r="U807" s="0" t="n">
        <f aca="false">IF(RESET=1,0,U807+H807)</f>
        <v>0</v>
      </c>
      <c r="V807" s="19" t="n">
        <f aca="false">R807/(T807+0.00001)</f>
        <v>0</v>
      </c>
      <c r="W807" s="19" t="n">
        <f aca="false">S807/(U807+0.0001)</f>
        <v>0</v>
      </c>
      <c r="X807" s="47" t="e">
        <f aca="false">IF(Informed=1,K807,0)</f>
        <v>#N/A</v>
      </c>
      <c r="Y807" s="47" t="n">
        <f aca="false">IF(Informed=0,K807,0)</f>
        <v>0</v>
      </c>
      <c r="Z807" s="47" t="e">
        <f aca="false">IF(Informed=1,N807,0)</f>
        <v>#N/A</v>
      </c>
      <c r="AA807" s="47" t="n">
        <f aca="false">IF(Informed=0,N807,0)</f>
        <v>0</v>
      </c>
      <c r="AB807" s="51" t="e">
        <f aca="false">IF(Arterial=0,IF(Informed=1,1,0),0)</f>
        <v>#N/A</v>
      </c>
      <c r="AC807" s="51" t="e">
        <f aca="false">IF(Arterial=0,IF(Informed=0,1,0),0)</f>
        <v>#N/A</v>
      </c>
      <c r="AD807" s="51" t="e">
        <f aca="false">IF(Arterial=1,IF(Informed=1,1,0),0)</f>
        <v>#N/A</v>
      </c>
      <c r="AE807" s="51" t="e">
        <f aca="false">IF(Arterial=1,IF(Informed=0,1,0),0)</f>
        <v>#N/A</v>
      </c>
      <c r="AF807" s="44" t="e">
        <f aca="false">IF(AB807=1,(X807-G$1030)^2,0)</f>
        <v>#N/A</v>
      </c>
      <c r="AG807" s="44" t="e">
        <f aca="false">IF(AC807=1,(Y807-H$1030)^2,0)</f>
        <v>#N/A</v>
      </c>
      <c r="AH807" s="44" t="e">
        <f aca="false">IF(AD807=1,(Z807-I$1030)^2,0)</f>
        <v>#N/A</v>
      </c>
      <c r="AI807" s="44" t="e">
        <f aca="false">IF(AE807=1,(AA807-J$1030)^2,0)</f>
        <v>#N/A</v>
      </c>
    </row>
    <row r="808" customFormat="false" ht="12" hidden="false" customHeight="false" outlineLevel="0" collapsed="false">
      <c r="A808" s="29" t="n">
        <v>791</v>
      </c>
      <c r="B808" s="45" t="n">
        <f aca="true">IF(RAND()&lt;$D$8,1,0)</f>
        <v>1</v>
      </c>
      <c r="C808" s="34" t="n">
        <f aca="true">-LN(RAND())/$D$2</f>
        <v>0.819468935854826</v>
      </c>
      <c r="D808" s="46" t="n">
        <f aca="false">D807+C808</f>
        <v>1207.94528534986</v>
      </c>
      <c r="E808" s="47" t="e">
        <f aca="false">MAX($D$3,(1+P807-VLOOKUP(VALUE(D808),$J$18:$Q807,7,TRUE()))*$D$3)</f>
        <v>#N/A</v>
      </c>
      <c r="F808" s="47" t="e">
        <f aca="false">MAX($D$4,(1+Q807-VLOOKUP(VALUE(D808),$M$18:$Q807,5,TRUE()))*$D$4)</f>
        <v>#N/A</v>
      </c>
      <c r="G808" s="48" t="n">
        <v>0.5</v>
      </c>
      <c r="H808" s="46" t="e">
        <f aca="true">IF((B808=1),(IF((F808&lt;E808),1,(IF((F808=E808),(IF(RAND()&lt;G808,1,0)),0)))),(IF((RAND()&lt;G808),1,0)))</f>
        <v>#N/A</v>
      </c>
      <c r="I808" s="46" t="e">
        <f aca="true">IF((H808=1),0,$D$3+$D$5*(RAND()-0.5))</f>
        <v>#N/A</v>
      </c>
      <c r="J808" s="46" t="e">
        <f aca="false">I808+MAX(D808,J807)</f>
        <v>#N/A</v>
      </c>
      <c r="K808" s="46" t="e">
        <f aca="false">IF((H808=0),J808-D808,0)</f>
        <v>#N/A</v>
      </c>
      <c r="L808" s="46" t="e">
        <f aca="true">IF(($H808=0),0,$D$4+$D$5*(RAND()-0.5))</f>
        <v>#N/A</v>
      </c>
      <c r="M808" s="46" t="e">
        <f aca="false">L808+MAX(D808,M807)</f>
        <v>#N/A</v>
      </c>
      <c r="N808" s="46" t="e">
        <f aca="false">IF((H808=1),M808-D808,0)</f>
        <v>#N/A</v>
      </c>
      <c r="O808" s="29" t="n">
        <v>791</v>
      </c>
      <c r="P808" s="49" t="e">
        <f aca="false">IF((Arterial=0),P807+1,P807)</f>
        <v>#N/A</v>
      </c>
      <c r="Q808" s="49" t="e">
        <f aca="false">IF((Arterial=1),Q807+1,Q807)</f>
        <v>#N/A</v>
      </c>
      <c r="R808" s="50" t="n">
        <f aca="false">IF((RESET=1),0,R808+K808)</f>
        <v>0</v>
      </c>
      <c r="S808" s="19" t="n">
        <f aca="false">IF(RESET=1,0,S808+N808)</f>
        <v>0</v>
      </c>
      <c r="T808" s="0" t="n">
        <f aca="false">IF(RESET=1,0,T808+IF(H808=0,1,0))</f>
        <v>0</v>
      </c>
      <c r="U808" s="0" t="n">
        <f aca="false">IF(RESET=1,0,U808+H808)</f>
        <v>0</v>
      </c>
      <c r="V808" s="19" t="n">
        <f aca="false">R808/(T808+0.00001)</f>
        <v>0</v>
      </c>
      <c r="W808" s="19" t="n">
        <f aca="false">S808/(U808+0.0001)</f>
        <v>0</v>
      </c>
      <c r="X808" s="47" t="e">
        <f aca="false">IF(Informed=1,K808,0)</f>
        <v>#N/A</v>
      </c>
      <c r="Y808" s="47" t="n">
        <f aca="false">IF(Informed=0,K808,0)</f>
        <v>0</v>
      </c>
      <c r="Z808" s="47" t="e">
        <f aca="false">IF(Informed=1,N808,0)</f>
        <v>#N/A</v>
      </c>
      <c r="AA808" s="47" t="n">
        <f aca="false">IF(Informed=0,N808,0)</f>
        <v>0</v>
      </c>
      <c r="AB808" s="51" t="e">
        <f aca="false">IF(Arterial=0,IF(Informed=1,1,0),0)</f>
        <v>#N/A</v>
      </c>
      <c r="AC808" s="51" t="e">
        <f aca="false">IF(Arterial=0,IF(Informed=0,1,0),0)</f>
        <v>#N/A</v>
      </c>
      <c r="AD808" s="51" t="e">
        <f aca="false">IF(Arterial=1,IF(Informed=1,1,0),0)</f>
        <v>#N/A</v>
      </c>
      <c r="AE808" s="51" t="e">
        <f aca="false">IF(Arterial=1,IF(Informed=0,1,0),0)</f>
        <v>#N/A</v>
      </c>
      <c r="AF808" s="44" t="e">
        <f aca="false">IF(AB808=1,(X808-G$1030)^2,0)</f>
        <v>#N/A</v>
      </c>
      <c r="AG808" s="44" t="e">
        <f aca="false">IF(AC808=1,(Y808-H$1030)^2,0)</f>
        <v>#N/A</v>
      </c>
      <c r="AH808" s="44" t="e">
        <f aca="false">IF(AD808=1,(Z808-I$1030)^2,0)</f>
        <v>#N/A</v>
      </c>
      <c r="AI808" s="44" t="e">
        <f aca="false">IF(AE808=1,(AA808-J$1030)^2,0)</f>
        <v>#N/A</v>
      </c>
    </row>
    <row r="809" customFormat="false" ht="12" hidden="false" customHeight="false" outlineLevel="0" collapsed="false">
      <c r="A809" s="29" t="n">
        <v>792</v>
      </c>
      <c r="B809" s="45" t="n">
        <f aca="true">IF(RAND()&lt;$D$8,1,0)</f>
        <v>1</v>
      </c>
      <c r="C809" s="34" t="n">
        <f aca="true">-LN(RAND())/$D$2</f>
        <v>0.472926532030574</v>
      </c>
      <c r="D809" s="46" t="n">
        <f aca="false">D808+C809</f>
        <v>1208.41821188189</v>
      </c>
      <c r="E809" s="47" t="e">
        <f aca="false">MAX($D$3,(1+P808-VLOOKUP(VALUE(D809),$J$18:$Q808,7,TRUE()))*$D$3)</f>
        <v>#N/A</v>
      </c>
      <c r="F809" s="47" t="e">
        <f aca="false">MAX($D$4,(1+Q808-VLOOKUP(VALUE(D809),$M$18:$Q808,5,TRUE()))*$D$4)</f>
        <v>#N/A</v>
      </c>
      <c r="G809" s="48" t="n">
        <v>0.5</v>
      </c>
      <c r="H809" s="46" t="e">
        <f aca="true">IF((B809=1),(IF((F809&lt;E809),1,(IF((F809=E809),(IF(RAND()&lt;G809,1,0)),0)))),(IF((RAND()&lt;G809),1,0)))</f>
        <v>#N/A</v>
      </c>
      <c r="I809" s="46" t="e">
        <f aca="true">IF((H809=1),0,$D$3+$D$5*(RAND()-0.5))</f>
        <v>#N/A</v>
      </c>
      <c r="J809" s="46" t="e">
        <f aca="false">I809+MAX(D809,J808)</f>
        <v>#N/A</v>
      </c>
      <c r="K809" s="46" t="e">
        <f aca="false">IF((H809=0),J809-D809,0)</f>
        <v>#N/A</v>
      </c>
      <c r="L809" s="46" t="e">
        <f aca="true">IF(($H809=0),0,$D$4+$D$5*(RAND()-0.5))</f>
        <v>#N/A</v>
      </c>
      <c r="M809" s="46" t="e">
        <f aca="false">L809+MAX(D809,M808)</f>
        <v>#N/A</v>
      </c>
      <c r="N809" s="46" t="e">
        <f aca="false">IF((H809=1),M809-D809,0)</f>
        <v>#N/A</v>
      </c>
      <c r="O809" s="29" t="n">
        <v>792</v>
      </c>
      <c r="P809" s="49" t="e">
        <f aca="false">IF((Arterial=0),P808+1,P808)</f>
        <v>#N/A</v>
      </c>
      <c r="Q809" s="49" t="e">
        <f aca="false">IF((Arterial=1),Q808+1,Q808)</f>
        <v>#N/A</v>
      </c>
      <c r="R809" s="50" t="n">
        <f aca="false">IF((RESET=1),0,R809+K809)</f>
        <v>0</v>
      </c>
      <c r="S809" s="19" t="n">
        <f aca="false">IF(RESET=1,0,S809+N809)</f>
        <v>0</v>
      </c>
      <c r="T809" s="0" t="n">
        <f aca="false">IF(RESET=1,0,T809+IF(H809=0,1,0))</f>
        <v>0</v>
      </c>
      <c r="U809" s="0" t="n">
        <f aca="false">IF(RESET=1,0,U809+H809)</f>
        <v>0</v>
      </c>
      <c r="V809" s="19" t="n">
        <f aca="false">R809/(T809+0.00001)</f>
        <v>0</v>
      </c>
      <c r="W809" s="19" t="n">
        <f aca="false">S809/(U809+0.0001)</f>
        <v>0</v>
      </c>
      <c r="X809" s="47" t="e">
        <f aca="false">IF(Informed=1,K809,0)</f>
        <v>#N/A</v>
      </c>
      <c r="Y809" s="47" t="n">
        <f aca="false">IF(Informed=0,K809,0)</f>
        <v>0</v>
      </c>
      <c r="Z809" s="47" t="e">
        <f aca="false">IF(Informed=1,N809,0)</f>
        <v>#N/A</v>
      </c>
      <c r="AA809" s="47" t="n">
        <f aca="false">IF(Informed=0,N809,0)</f>
        <v>0</v>
      </c>
      <c r="AB809" s="51" t="e">
        <f aca="false">IF(Arterial=0,IF(Informed=1,1,0),0)</f>
        <v>#N/A</v>
      </c>
      <c r="AC809" s="51" t="e">
        <f aca="false">IF(Arterial=0,IF(Informed=0,1,0),0)</f>
        <v>#N/A</v>
      </c>
      <c r="AD809" s="51" t="e">
        <f aca="false">IF(Arterial=1,IF(Informed=1,1,0),0)</f>
        <v>#N/A</v>
      </c>
      <c r="AE809" s="51" t="e">
        <f aca="false">IF(Arterial=1,IF(Informed=0,1,0),0)</f>
        <v>#N/A</v>
      </c>
      <c r="AF809" s="44" t="e">
        <f aca="false">IF(AB809=1,(X809-G$1030)^2,0)</f>
        <v>#N/A</v>
      </c>
      <c r="AG809" s="44" t="e">
        <f aca="false">IF(AC809=1,(Y809-H$1030)^2,0)</f>
        <v>#N/A</v>
      </c>
      <c r="AH809" s="44" t="e">
        <f aca="false">IF(AD809=1,(Z809-I$1030)^2,0)</f>
        <v>#N/A</v>
      </c>
      <c r="AI809" s="44" t="e">
        <f aca="false">IF(AE809=1,(AA809-J$1030)^2,0)</f>
        <v>#N/A</v>
      </c>
    </row>
    <row r="810" customFormat="false" ht="12" hidden="false" customHeight="false" outlineLevel="0" collapsed="false">
      <c r="A810" s="29" t="n">
        <v>793</v>
      </c>
      <c r="B810" s="45" t="n">
        <f aca="true">IF(RAND()&lt;$D$8,1,0)</f>
        <v>1</v>
      </c>
      <c r="C810" s="34" t="n">
        <f aca="true">-LN(RAND())/$D$2</f>
        <v>1.24453225499415</v>
      </c>
      <c r="D810" s="46" t="n">
        <f aca="false">D809+C810</f>
        <v>1209.66274413689</v>
      </c>
      <c r="E810" s="47" t="e">
        <f aca="false">MAX($D$3,(1+P809-VLOOKUP(VALUE(D810),$J$18:$Q809,7,TRUE()))*$D$3)</f>
        <v>#N/A</v>
      </c>
      <c r="F810" s="47" t="e">
        <f aca="false">MAX($D$4,(1+Q809-VLOOKUP(VALUE(D810),$M$18:$Q809,5,TRUE()))*$D$4)</f>
        <v>#N/A</v>
      </c>
      <c r="G810" s="48" t="n">
        <v>0.5</v>
      </c>
      <c r="H810" s="46" t="e">
        <f aca="true">IF((B810=1),(IF((F810&lt;E810),1,(IF((F810=E810),(IF(RAND()&lt;G810,1,0)),0)))),(IF((RAND()&lt;G810),1,0)))</f>
        <v>#N/A</v>
      </c>
      <c r="I810" s="46" t="e">
        <f aca="true">IF((H810=1),0,$D$3+$D$5*(RAND()-0.5))</f>
        <v>#N/A</v>
      </c>
      <c r="J810" s="46" t="e">
        <f aca="false">I810+MAX(D810,J809)</f>
        <v>#N/A</v>
      </c>
      <c r="K810" s="46" t="e">
        <f aca="false">IF((H810=0),J810-D810,0)</f>
        <v>#N/A</v>
      </c>
      <c r="L810" s="46" t="e">
        <f aca="true">IF(($H810=0),0,$D$4+$D$5*(RAND()-0.5))</f>
        <v>#N/A</v>
      </c>
      <c r="M810" s="46" t="e">
        <f aca="false">L810+MAX(D810,M809)</f>
        <v>#N/A</v>
      </c>
      <c r="N810" s="46" t="e">
        <f aca="false">IF((H810=1),M810-D810,0)</f>
        <v>#N/A</v>
      </c>
      <c r="O810" s="29" t="n">
        <v>793</v>
      </c>
      <c r="P810" s="49" t="e">
        <f aca="false">IF((Arterial=0),P809+1,P809)</f>
        <v>#N/A</v>
      </c>
      <c r="Q810" s="49" t="e">
        <f aca="false">IF((Arterial=1),Q809+1,Q809)</f>
        <v>#N/A</v>
      </c>
      <c r="R810" s="50" t="n">
        <f aca="false">IF((RESET=1),0,R810+K810)</f>
        <v>0</v>
      </c>
      <c r="S810" s="19" t="n">
        <f aca="false">IF(RESET=1,0,S810+N810)</f>
        <v>0</v>
      </c>
      <c r="T810" s="0" t="n">
        <f aca="false">IF(RESET=1,0,T810+IF(H810=0,1,0))</f>
        <v>0</v>
      </c>
      <c r="U810" s="0" t="n">
        <f aca="false">IF(RESET=1,0,U810+H810)</f>
        <v>0</v>
      </c>
      <c r="V810" s="19" t="n">
        <f aca="false">R810/(T810+0.00001)</f>
        <v>0</v>
      </c>
      <c r="W810" s="19" t="n">
        <f aca="false">S810/(U810+0.0001)</f>
        <v>0</v>
      </c>
      <c r="X810" s="47" t="e">
        <f aca="false">IF(Informed=1,K810,0)</f>
        <v>#N/A</v>
      </c>
      <c r="Y810" s="47" t="n">
        <f aca="false">IF(Informed=0,K810,0)</f>
        <v>0</v>
      </c>
      <c r="Z810" s="47" t="e">
        <f aca="false">IF(Informed=1,N810,0)</f>
        <v>#N/A</v>
      </c>
      <c r="AA810" s="47" t="n">
        <f aca="false">IF(Informed=0,N810,0)</f>
        <v>0</v>
      </c>
      <c r="AB810" s="51" t="e">
        <f aca="false">IF(Arterial=0,IF(Informed=1,1,0),0)</f>
        <v>#N/A</v>
      </c>
      <c r="AC810" s="51" t="e">
        <f aca="false">IF(Arterial=0,IF(Informed=0,1,0),0)</f>
        <v>#N/A</v>
      </c>
      <c r="AD810" s="51" t="e">
        <f aca="false">IF(Arterial=1,IF(Informed=1,1,0),0)</f>
        <v>#N/A</v>
      </c>
      <c r="AE810" s="51" t="e">
        <f aca="false">IF(Arterial=1,IF(Informed=0,1,0),0)</f>
        <v>#N/A</v>
      </c>
      <c r="AF810" s="44" t="e">
        <f aca="false">IF(AB810=1,(X810-G$1030)^2,0)</f>
        <v>#N/A</v>
      </c>
      <c r="AG810" s="44" t="e">
        <f aca="false">IF(AC810=1,(Y810-H$1030)^2,0)</f>
        <v>#N/A</v>
      </c>
      <c r="AH810" s="44" t="e">
        <f aca="false">IF(AD810=1,(Z810-I$1030)^2,0)</f>
        <v>#N/A</v>
      </c>
      <c r="AI810" s="44" t="e">
        <f aca="false">IF(AE810=1,(AA810-J$1030)^2,0)</f>
        <v>#N/A</v>
      </c>
    </row>
    <row r="811" customFormat="false" ht="12" hidden="false" customHeight="false" outlineLevel="0" collapsed="false">
      <c r="A811" s="29" t="n">
        <v>794</v>
      </c>
      <c r="B811" s="45" t="n">
        <f aca="true">IF(RAND()&lt;$D$8,1,0)</f>
        <v>1</v>
      </c>
      <c r="C811" s="34" t="n">
        <f aca="true">-LN(RAND())/$D$2</f>
        <v>3.07272449196281</v>
      </c>
      <c r="D811" s="46" t="n">
        <f aca="false">D810+C811</f>
        <v>1212.73546862885</v>
      </c>
      <c r="E811" s="47" t="e">
        <f aca="false">MAX($D$3,(1+P810-VLOOKUP(VALUE(D811),$J$18:$Q810,7,TRUE()))*$D$3)</f>
        <v>#N/A</v>
      </c>
      <c r="F811" s="47" t="e">
        <f aca="false">MAX($D$4,(1+Q810-VLOOKUP(VALUE(D811),$M$18:$Q810,5,TRUE()))*$D$4)</f>
        <v>#N/A</v>
      </c>
      <c r="G811" s="48" t="n">
        <v>0.5</v>
      </c>
      <c r="H811" s="46" t="e">
        <f aca="true">IF((B811=1),(IF((F811&lt;E811),1,(IF((F811=E811),(IF(RAND()&lt;G811,1,0)),0)))),(IF((RAND()&lt;G811),1,0)))</f>
        <v>#N/A</v>
      </c>
      <c r="I811" s="46" t="e">
        <f aca="true">IF((H811=1),0,$D$3+$D$5*(RAND()-0.5))</f>
        <v>#N/A</v>
      </c>
      <c r="J811" s="46" t="e">
        <f aca="false">I811+MAX(D811,J810)</f>
        <v>#N/A</v>
      </c>
      <c r="K811" s="46" t="e">
        <f aca="false">IF((H811=0),J811-D811,0)</f>
        <v>#N/A</v>
      </c>
      <c r="L811" s="46" t="e">
        <f aca="true">IF(($H811=0),0,$D$4+$D$5*(RAND()-0.5))</f>
        <v>#N/A</v>
      </c>
      <c r="M811" s="46" t="e">
        <f aca="false">L811+MAX(D811,M810)</f>
        <v>#N/A</v>
      </c>
      <c r="N811" s="46" t="e">
        <f aca="false">IF((H811=1),M811-D811,0)</f>
        <v>#N/A</v>
      </c>
      <c r="O811" s="29" t="n">
        <v>794</v>
      </c>
      <c r="P811" s="49" t="e">
        <f aca="false">IF((Arterial=0),P810+1,P810)</f>
        <v>#N/A</v>
      </c>
      <c r="Q811" s="49" t="e">
        <f aca="false">IF((Arterial=1),Q810+1,Q810)</f>
        <v>#N/A</v>
      </c>
      <c r="R811" s="50" t="n">
        <f aca="false">IF((RESET=1),0,R811+K811)</f>
        <v>0</v>
      </c>
      <c r="S811" s="19" t="n">
        <f aca="false">IF(RESET=1,0,S811+N811)</f>
        <v>0</v>
      </c>
      <c r="T811" s="0" t="n">
        <f aca="false">IF(RESET=1,0,T811+IF(H811=0,1,0))</f>
        <v>0</v>
      </c>
      <c r="U811" s="0" t="n">
        <f aca="false">IF(RESET=1,0,U811+H811)</f>
        <v>0</v>
      </c>
      <c r="V811" s="19" t="n">
        <f aca="false">R811/(T811+0.00001)</f>
        <v>0</v>
      </c>
      <c r="W811" s="19" t="n">
        <f aca="false">S811/(U811+0.0001)</f>
        <v>0</v>
      </c>
      <c r="X811" s="47" t="e">
        <f aca="false">IF(Informed=1,K811,0)</f>
        <v>#N/A</v>
      </c>
      <c r="Y811" s="47" t="n">
        <f aca="false">IF(Informed=0,K811,0)</f>
        <v>0</v>
      </c>
      <c r="Z811" s="47" t="e">
        <f aca="false">IF(Informed=1,N811,0)</f>
        <v>#N/A</v>
      </c>
      <c r="AA811" s="47" t="n">
        <f aca="false">IF(Informed=0,N811,0)</f>
        <v>0</v>
      </c>
      <c r="AB811" s="51" t="e">
        <f aca="false">IF(Arterial=0,IF(Informed=1,1,0),0)</f>
        <v>#N/A</v>
      </c>
      <c r="AC811" s="51" t="e">
        <f aca="false">IF(Arterial=0,IF(Informed=0,1,0),0)</f>
        <v>#N/A</v>
      </c>
      <c r="AD811" s="51" t="e">
        <f aca="false">IF(Arterial=1,IF(Informed=1,1,0),0)</f>
        <v>#N/A</v>
      </c>
      <c r="AE811" s="51" t="e">
        <f aca="false">IF(Arterial=1,IF(Informed=0,1,0),0)</f>
        <v>#N/A</v>
      </c>
      <c r="AF811" s="44" t="e">
        <f aca="false">IF(AB811=1,(X811-G$1030)^2,0)</f>
        <v>#N/A</v>
      </c>
      <c r="AG811" s="44" t="e">
        <f aca="false">IF(AC811=1,(Y811-H$1030)^2,0)</f>
        <v>#N/A</v>
      </c>
      <c r="AH811" s="44" t="e">
        <f aca="false">IF(AD811=1,(Z811-I$1030)^2,0)</f>
        <v>#N/A</v>
      </c>
      <c r="AI811" s="44" t="e">
        <f aca="false">IF(AE811=1,(AA811-J$1030)^2,0)</f>
        <v>#N/A</v>
      </c>
    </row>
    <row r="812" customFormat="false" ht="12" hidden="false" customHeight="false" outlineLevel="0" collapsed="false">
      <c r="A812" s="29" t="n">
        <v>795</v>
      </c>
      <c r="B812" s="45" t="n">
        <f aca="true">IF(RAND()&lt;$D$8,1,0)</f>
        <v>1</v>
      </c>
      <c r="C812" s="34" t="n">
        <f aca="true">-LN(RAND())/$D$2</f>
        <v>5.29508764811563</v>
      </c>
      <c r="D812" s="46" t="n">
        <f aca="false">D811+C812</f>
        <v>1218.03055627697</v>
      </c>
      <c r="E812" s="47" t="e">
        <f aca="false">MAX($D$3,(1+P811-VLOOKUP(VALUE(D812),$J$18:$Q811,7,TRUE()))*$D$3)</f>
        <v>#N/A</v>
      </c>
      <c r="F812" s="47" t="e">
        <f aca="false">MAX($D$4,(1+Q811-VLOOKUP(VALUE(D812),$M$18:$Q811,5,TRUE()))*$D$4)</f>
        <v>#N/A</v>
      </c>
      <c r="G812" s="48" t="n">
        <v>0.5</v>
      </c>
      <c r="H812" s="46" t="e">
        <f aca="true">IF((B812=1),(IF((F812&lt;E812),1,(IF((F812=E812),(IF(RAND()&lt;G812,1,0)),0)))),(IF((RAND()&lt;G812),1,0)))</f>
        <v>#N/A</v>
      </c>
      <c r="I812" s="46" t="e">
        <f aca="true">IF((H812=1),0,$D$3+$D$5*(RAND()-0.5))</f>
        <v>#N/A</v>
      </c>
      <c r="J812" s="46" t="e">
        <f aca="false">I812+MAX(D812,J811)</f>
        <v>#N/A</v>
      </c>
      <c r="K812" s="46" t="e">
        <f aca="false">IF((H812=0),J812-D812,0)</f>
        <v>#N/A</v>
      </c>
      <c r="L812" s="46" t="e">
        <f aca="true">IF(($H812=0),0,$D$4+$D$5*(RAND()-0.5))</f>
        <v>#N/A</v>
      </c>
      <c r="M812" s="46" t="e">
        <f aca="false">L812+MAX(D812,M811)</f>
        <v>#N/A</v>
      </c>
      <c r="N812" s="46" t="e">
        <f aca="false">IF((H812=1),M812-D812,0)</f>
        <v>#N/A</v>
      </c>
      <c r="O812" s="29" t="n">
        <v>795</v>
      </c>
      <c r="P812" s="49" t="e">
        <f aca="false">IF((Arterial=0),P811+1,P811)</f>
        <v>#N/A</v>
      </c>
      <c r="Q812" s="49" t="e">
        <f aca="false">IF((Arterial=1),Q811+1,Q811)</f>
        <v>#N/A</v>
      </c>
      <c r="R812" s="50" t="n">
        <f aca="false">IF((RESET=1),0,R812+K812)</f>
        <v>0</v>
      </c>
      <c r="S812" s="19" t="n">
        <f aca="false">IF(RESET=1,0,S812+N812)</f>
        <v>0</v>
      </c>
      <c r="T812" s="0" t="n">
        <f aca="false">IF(RESET=1,0,T812+IF(H812=0,1,0))</f>
        <v>0</v>
      </c>
      <c r="U812" s="0" t="n">
        <f aca="false">IF(RESET=1,0,U812+H812)</f>
        <v>0</v>
      </c>
      <c r="V812" s="19" t="n">
        <f aca="false">R812/(T812+0.00001)</f>
        <v>0</v>
      </c>
      <c r="W812" s="19" t="n">
        <f aca="false">S812/(U812+0.0001)</f>
        <v>0</v>
      </c>
      <c r="X812" s="47" t="e">
        <f aca="false">IF(Informed=1,K812,0)</f>
        <v>#N/A</v>
      </c>
      <c r="Y812" s="47" t="n">
        <f aca="false">IF(Informed=0,K812,0)</f>
        <v>0</v>
      </c>
      <c r="Z812" s="47" t="e">
        <f aca="false">IF(Informed=1,N812,0)</f>
        <v>#N/A</v>
      </c>
      <c r="AA812" s="47" t="n">
        <f aca="false">IF(Informed=0,N812,0)</f>
        <v>0</v>
      </c>
      <c r="AB812" s="51" t="e">
        <f aca="false">IF(Arterial=0,IF(Informed=1,1,0),0)</f>
        <v>#N/A</v>
      </c>
      <c r="AC812" s="51" t="e">
        <f aca="false">IF(Arterial=0,IF(Informed=0,1,0),0)</f>
        <v>#N/A</v>
      </c>
      <c r="AD812" s="51" t="e">
        <f aca="false">IF(Arterial=1,IF(Informed=1,1,0),0)</f>
        <v>#N/A</v>
      </c>
      <c r="AE812" s="51" t="e">
        <f aca="false">IF(Arterial=1,IF(Informed=0,1,0),0)</f>
        <v>#N/A</v>
      </c>
      <c r="AF812" s="44" t="e">
        <f aca="false">IF(AB812=1,(X812-G$1030)^2,0)</f>
        <v>#N/A</v>
      </c>
      <c r="AG812" s="44" t="e">
        <f aca="false">IF(AC812=1,(Y812-H$1030)^2,0)</f>
        <v>#N/A</v>
      </c>
      <c r="AH812" s="44" t="e">
        <f aca="false">IF(AD812=1,(Z812-I$1030)^2,0)</f>
        <v>#N/A</v>
      </c>
      <c r="AI812" s="44" t="e">
        <f aca="false">IF(AE812=1,(AA812-J$1030)^2,0)</f>
        <v>#N/A</v>
      </c>
    </row>
    <row r="813" customFormat="false" ht="12" hidden="false" customHeight="false" outlineLevel="0" collapsed="false">
      <c r="A813" s="29" t="n">
        <v>796</v>
      </c>
      <c r="B813" s="45" t="n">
        <f aca="true">IF(RAND()&lt;$D$8,1,0)</f>
        <v>1</v>
      </c>
      <c r="C813" s="34" t="n">
        <f aca="true">-LN(RAND())/$D$2</f>
        <v>0.168699816325078</v>
      </c>
      <c r="D813" s="46" t="n">
        <f aca="false">D812+C813</f>
        <v>1218.19925609329</v>
      </c>
      <c r="E813" s="47" t="e">
        <f aca="false">MAX($D$3,(1+P812-VLOOKUP(VALUE(D813),$J$18:$Q812,7,TRUE()))*$D$3)</f>
        <v>#N/A</v>
      </c>
      <c r="F813" s="47" t="e">
        <f aca="false">MAX($D$4,(1+Q812-VLOOKUP(VALUE(D813),$M$18:$Q812,5,TRUE()))*$D$4)</f>
        <v>#N/A</v>
      </c>
      <c r="G813" s="48" t="n">
        <v>0.5</v>
      </c>
      <c r="H813" s="46" t="e">
        <f aca="true">IF((B813=1),(IF((F813&lt;E813),1,(IF((F813=E813),(IF(RAND()&lt;G813,1,0)),0)))),(IF((RAND()&lt;G813),1,0)))</f>
        <v>#N/A</v>
      </c>
      <c r="I813" s="46" t="e">
        <f aca="true">IF((H813=1),0,$D$3+$D$5*(RAND()-0.5))</f>
        <v>#N/A</v>
      </c>
      <c r="J813" s="46" t="e">
        <f aca="false">I813+MAX(D813,J812)</f>
        <v>#N/A</v>
      </c>
      <c r="K813" s="46" t="e">
        <f aca="false">IF((H813=0),J813-D813,0)</f>
        <v>#N/A</v>
      </c>
      <c r="L813" s="46" t="e">
        <f aca="true">IF(($H813=0),0,$D$4+$D$5*(RAND()-0.5))</f>
        <v>#N/A</v>
      </c>
      <c r="M813" s="46" t="e">
        <f aca="false">L813+MAX(D813,M812)</f>
        <v>#N/A</v>
      </c>
      <c r="N813" s="46" t="e">
        <f aca="false">IF((H813=1),M813-D813,0)</f>
        <v>#N/A</v>
      </c>
      <c r="O813" s="29" t="n">
        <v>796</v>
      </c>
      <c r="P813" s="49" t="e">
        <f aca="false">IF((Arterial=0),P812+1,P812)</f>
        <v>#N/A</v>
      </c>
      <c r="Q813" s="49" t="e">
        <f aca="false">IF((Arterial=1),Q812+1,Q812)</f>
        <v>#N/A</v>
      </c>
      <c r="R813" s="50" t="n">
        <f aca="false">IF((RESET=1),0,R813+K813)</f>
        <v>0</v>
      </c>
      <c r="S813" s="19" t="n">
        <f aca="false">IF(RESET=1,0,S813+N813)</f>
        <v>0</v>
      </c>
      <c r="T813" s="0" t="n">
        <f aca="false">IF(RESET=1,0,T813+IF(H813=0,1,0))</f>
        <v>0</v>
      </c>
      <c r="U813" s="0" t="n">
        <f aca="false">IF(RESET=1,0,U813+H813)</f>
        <v>0</v>
      </c>
      <c r="V813" s="19" t="n">
        <f aca="false">R813/(T813+0.00001)</f>
        <v>0</v>
      </c>
      <c r="W813" s="19" t="n">
        <f aca="false">S813/(U813+0.0001)</f>
        <v>0</v>
      </c>
      <c r="X813" s="47" t="e">
        <f aca="false">IF(Informed=1,K813,0)</f>
        <v>#N/A</v>
      </c>
      <c r="Y813" s="47" t="n">
        <f aca="false">IF(Informed=0,K813,0)</f>
        <v>0</v>
      </c>
      <c r="Z813" s="47" t="e">
        <f aca="false">IF(Informed=1,N813,0)</f>
        <v>#N/A</v>
      </c>
      <c r="AA813" s="47" t="n">
        <f aca="false">IF(Informed=0,N813,0)</f>
        <v>0</v>
      </c>
      <c r="AB813" s="51" t="e">
        <f aca="false">IF(Arterial=0,IF(Informed=1,1,0),0)</f>
        <v>#N/A</v>
      </c>
      <c r="AC813" s="51" t="e">
        <f aca="false">IF(Arterial=0,IF(Informed=0,1,0),0)</f>
        <v>#N/A</v>
      </c>
      <c r="AD813" s="51" t="e">
        <f aca="false">IF(Arterial=1,IF(Informed=1,1,0),0)</f>
        <v>#N/A</v>
      </c>
      <c r="AE813" s="51" t="e">
        <f aca="false">IF(Arterial=1,IF(Informed=0,1,0),0)</f>
        <v>#N/A</v>
      </c>
      <c r="AF813" s="44" t="e">
        <f aca="false">IF(AB813=1,(X813-G$1030)^2,0)</f>
        <v>#N/A</v>
      </c>
      <c r="AG813" s="44" t="e">
        <f aca="false">IF(AC813=1,(Y813-H$1030)^2,0)</f>
        <v>#N/A</v>
      </c>
      <c r="AH813" s="44" t="e">
        <f aca="false">IF(AD813=1,(Z813-I$1030)^2,0)</f>
        <v>#N/A</v>
      </c>
      <c r="AI813" s="44" t="e">
        <f aca="false">IF(AE813=1,(AA813-J$1030)^2,0)</f>
        <v>#N/A</v>
      </c>
    </row>
    <row r="814" customFormat="false" ht="12" hidden="false" customHeight="false" outlineLevel="0" collapsed="false">
      <c r="A814" s="29" t="n">
        <v>797</v>
      </c>
      <c r="B814" s="45" t="n">
        <f aca="true">IF(RAND()&lt;$D$8,1,0)</f>
        <v>1</v>
      </c>
      <c r="C814" s="34" t="n">
        <f aca="true">-LN(RAND())/$D$2</f>
        <v>3.12956888620742</v>
      </c>
      <c r="D814" s="46" t="n">
        <f aca="false">D813+C814</f>
        <v>1221.3288249795</v>
      </c>
      <c r="E814" s="47" t="e">
        <f aca="false">MAX($D$3,(1+P813-VLOOKUP(VALUE(D814),$J$18:$Q813,7,TRUE()))*$D$3)</f>
        <v>#N/A</v>
      </c>
      <c r="F814" s="47" t="e">
        <f aca="false">MAX($D$4,(1+Q813-VLOOKUP(VALUE(D814),$M$18:$Q813,5,TRUE()))*$D$4)</f>
        <v>#N/A</v>
      </c>
      <c r="G814" s="48" t="n">
        <v>0.5</v>
      </c>
      <c r="H814" s="46" t="e">
        <f aca="true">IF((B814=1),(IF((F814&lt;E814),1,(IF((F814=E814),(IF(RAND()&lt;G814,1,0)),0)))),(IF((RAND()&lt;G814),1,0)))</f>
        <v>#N/A</v>
      </c>
      <c r="I814" s="46" t="e">
        <f aca="true">IF((H814=1),0,$D$3+$D$5*(RAND()-0.5))</f>
        <v>#N/A</v>
      </c>
      <c r="J814" s="46" t="e">
        <f aca="false">I814+MAX(D814,J813)</f>
        <v>#N/A</v>
      </c>
      <c r="K814" s="46" t="e">
        <f aca="false">IF((H814=0),J814-D814,0)</f>
        <v>#N/A</v>
      </c>
      <c r="L814" s="46" t="e">
        <f aca="true">IF(($H814=0),0,$D$4+$D$5*(RAND()-0.5))</f>
        <v>#N/A</v>
      </c>
      <c r="M814" s="46" t="e">
        <f aca="false">L814+MAX(D814,M813)</f>
        <v>#N/A</v>
      </c>
      <c r="N814" s="46" t="e">
        <f aca="false">IF((H814=1),M814-D814,0)</f>
        <v>#N/A</v>
      </c>
      <c r="O814" s="29" t="n">
        <v>797</v>
      </c>
      <c r="P814" s="49" t="e">
        <f aca="false">IF((Arterial=0),P813+1,P813)</f>
        <v>#N/A</v>
      </c>
      <c r="Q814" s="49" t="e">
        <f aca="false">IF((Arterial=1),Q813+1,Q813)</f>
        <v>#N/A</v>
      </c>
      <c r="R814" s="50" t="n">
        <f aca="false">IF((RESET=1),0,R814+K814)</f>
        <v>0</v>
      </c>
      <c r="S814" s="19" t="n">
        <f aca="false">IF(RESET=1,0,S814+N814)</f>
        <v>0</v>
      </c>
      <c r="T814" s="0" t="n">
        <f aca="false">IF(RESET=1,0,T814+IF(H814=0,1,0))</f>
        <v>0</v>
      </c>
      <c r="U814" s="0" t="n">
        <f aca="false">IF(RESET=1,0,U814+H814)</f>
        <v>0</v>
      </c>
      <c r="V814" s="19" t="n">
        <f aca="false">R814/(T814+0.00001)</f>
        <v>0</v>
      </c>
      <c r="W814" s="19" t="n">
        <f aca="false">S814/(U814+0.0001)</f>
        <v>0</v>
      </c>
      <c r="X814" s="47" t="e">
        <f aca="false">IF(Informed=1,K814,0)</f>
        <v>#N/A</v>
      </c>
      <c r="Y814" s="47" t="n">
        <f aca="false">IF(Informed=0,K814,0)</f>
        <v>0</v>
      </c>
      <c r="Z814" s="47" t="e">
        <f aca="false">IF(Informed=1,N814,0)</f>
        <v>#N/A</v>
      </c>
      <c r="AA814" s="47" t="n">
        <f aca="false">IF(Informed=0,N814,0)</f>
        <v>0</v>
      </c>
      <c r="AB814" s="51" t="e">
        <f aca="false">IF(Arterial=0,IF(Informed=1,1,0),0)</f>
        <v>#N/A</v>
      </c>
      <c r="AC814" s="51" t="e">
        <f aca="false">IF(Arterial=0,IF(Informed=0,1,0),0)</f>
        <v>#N/A</v>
      </c>
      <c r="AD814" s="51" t="e">
        <f aca="false">IF(Arterial=1,IF(Informed=1,1,0),0)</f>
        <v>#N/A</v>
      </c>
      <c r="AE814" s="51" t="e">
        <f aca="false">IF(Arterial=1,IF(Informed=0,1,0),0)</f>
        <v>#N/A</v>
      </c>
      <c r="AF814" s="44" t="e">
        <f aca="false">IF(AB814=1,(X814-G$1030)^2,0)</f>
        <v>#N/A</v>
      </c>
      <c r="AG814" s="44" t="e">
        <f aca="false">IF(AC814=1,(Y814-H$1030)^2,0)</f>
        <v>#N/A</v>
      </c>
      <c r="AH814" s="44" t="e">
        <f aca="false">IF(AD814=1,(Z814-I$1030)^2,0)</f>
        <v>#N/A</v>
      </c>
      <c r="AI814" s="44" t="e">
        <f aca="false">IF(AE814=1,(AA814-J$1030)^2,0)</f>
        <v>#N/A</v>
      </c>
    </row>
    <row r="815" customFormat="false" ht="12" hidden="false" customHeight="false" outlineLevel="0" collapsed="false">
      <c r="A815" s="29" t="n">
        <v>798</v>
      </c>
      <c r="B815" s="45" t="n">
        <f aca="true">IF(RAND()&lt;$D$8,1,0)</f>
        <v>1</v>
      </c>
      <c r="C815" s="34" t="n">
        <f aca="true">-LN(RAND())/$D$2</f>
        <v>1.43370839894771</v>
      </c>
      <c r="D815" s="46" t="n">
        <f aca="false">D814+C815</f>
        <v>1222.76253337845</v>
      </c>
      <c r="E815" s="47" t="e">
        <f aca="false">MAX($D$3,(1+P814-VLOOKUP(VALUE(D815),$J$18:$Q814,7,TRUE()))*$D$3)</f>
        <v>#N/A</v>
      </c>
      <c r="F815" s="47" t="e">
        <f aca="false">MAX($D$4,(1+Q814-VLOOKUP(VALUE(D815),$M$18:$Q814,5,TRUE()))*$D$4)</f>
        <v>#N/A</v>
      </c>
      <c r="G815" s="48" t="n">
        <v>0.5</v>
      </c>
      <c r="H815" s="46" t="e">
        <f aca="true">IF((B815=1),(IF((F815&lt;E815),1,(IF((F815=E815),(IF(RAND()&lt;G815,1,0)),0)))),(IF((RAND()&lt;G815),1,0)))</f>
        <v>#N/A</v>
      </c>
      <c r="I815" s="46" t="e">
        <f aca="true">IF((H815=1),0,$D$3+$D$5*(RAND()-0.5))</f>
        <v>#N/A</v>
      </c>
      <c r="J815" s="46" t="e">
        <f aca="false">I815+MAX(D815,J814)</f>
        <v>#N/A</v>
      </c>
      <c r="K815" s="46" t="e">
        <f aca="false">IF((H815=0),J815-D815,0)</f>
        <v>#N/A</v>
      </c>
      <c r="L815" s="46" t="e">
        <f aca="true">IF(($H815=0),0,$D$4+$D$5*(RAND()-0.5))</f>
        <v>#N/A</v>
      </c>
      <c r="M815" s="46" t="e">
        <f aca="false">L815+MAX(D815,M814)</f>
        <v>#N/A</v>
      </c>
      <c r="N815" s="46" t="e">
        <f aca="false">IF((H815=1),M815-D815,0)</f>
        <v>#N/A</v>
      </c>
      <c r="O815" s="29" t="n">
        <v>798</v>
      </c>
      <c r="P815" s="49" t="e">
        <f aca="false">IF((Arterial=0),P814+1,P814)</f>
        <v>#N/A</v>
      </c>
      <c r="Q815" s="49" t="e">
        <f aca="false">IF((Arterial=1),Q814+1,Q814)</f>
        <v>#N/A</v>
      </c>
      <c r="R815" s="50" t="n">
        <f aca="false">IF((RESET=1),0,R815+K815)</f>
        <v>0</v>
      </c>
      <c r="S815" s="19" t="n">
        <f aca="false">IF(RESET=1,0,S815+N815)</f>
        <v>0</v>
      </c>
      <c r="T815" s="0" t="n">
        <f aca="false">IF(RESET=1,0,T815+IF(H815=0,1,0))</f>
        <v>0</v>
      </c>
      <c r="U815" s="0" t="n">
        <f aca="false">IF(RESET=1,0,U815+H815)</f>
        <v>0</v>
      </c>
      <c r="V815" s="19" t="n">
        <f aca="false">R815/(T815+0.00001)</f>
        <v>0</v>
      </c>
      <c r="W815" s="19" t="n">
        <f aca="false">S815/(U815+0.0001)</f>
        <v>0</v>
      </c>
      <c r="X815" s="47" t="e">
        <f aca="false">IF(Informed=1,K815,0)</f>
        <v>#N/A</v>
      </c>
      <c r="Y815" s="47" t="n">
        <f aca="false">IF(Informed=0,K815,0)</f>
        <v>0</v>
      </c>
      <c r="Z815" s="47" t="e">
        <f aca="false">IF(Informed=1,N815,0)</f>
        <v>#N/A</v>
      </c>
      <c r="AA815" s="47" t="n">
        <f aca="false">IF(Informed=0,N815,0)</f>
        <v>0</v>
      </c>
      <c r="AB815" s="51" t="e">
        <f aca="false">IF(Arterial=0,IF(Informed=1,1,0),0)</f>
        <v>#N/A</v>
      </c>
      <c r="AC815" s="51" t="e">
        <f aca="false">IF(Arterial=0,IF(Informed=0,1,0),0)</f>
        <v>#N/A</v>
      </c>
      <c r="AD815" s="51" t="e">
        <f aca="false">IF(Arterial=1,IF(Informed=1,1,0),0)</f>
        <v>#N/A</v>
      </c>
      <c r="AE815" s="51" t="e">
        <f aca="false">IF(Arterial=1,IF(Informed=0,1,0),0)</f>
        <v>#N/A</v>
      </c>
      <c r="AF815" s="44" t="e">
        <f aca="false">IF(AB815=1,(X815-G$1030)^2,0)</f>
        <v>#N/A</v>
      </c>
      <c r="AG815" s="44" t="e">
        <f aca="false">IF(AC815=1,(Y815-H$1030)^2,0)</f>
        <v>#N/A</v>
      </c>
      <c r="AH815" s="44" t="e">
        <f aca="false">IF(AD815=1,(Z815-I$1030)^2,0)</f>
        <v>#N/A</v>
      </c>
      <c r="AI815" s="44" t="e">
        <f aca="false">IF(AE815=1,(AA815-J$1030)^2,0)</f>
        <v>#N/A</v>
      </c>
    </row>
    <row r="816" customFormat="false" ht="12" hidden="false" customHeight="false" outlineLevel="0" collapsed="false">
      <c r="A816" s="29" t="n">
        <v>799</v>
      </c>
      <c r="B816" s="45" t="n">
        <f aca="true">IF(RAND()&lt;$D$8,1,0)</f>
        <v>1</v>
      </c>
      <c r="C816" s="34" t="n">
        <f aca="true">-LN(RAND())/$D$2</f>
        <v>1.43122757365768</v>
      </c>
      <c r="D816" s="46" t="n">
        <f aca="false">D815+C816</f>
        <v>1224.1937609521</v>
      </c>
      <c r="E816" s="47" t="e">
        <f aca="false">MAX($D$3,(1+P815-VLOOKUP(VALUE(D816),$J$18:$Q815,7,TRUE()))*$D$3)</f>
        <v>#N/A</v>
      </c>
      <c r="F816" s="47" t="e">
        <f aca="false">MAX($D$4,(1+Q815-VLOOKUP(VALUE(D816),$M$18:$Q815,5,TRUE()))*$D$4)</f>
        <v>#N/A</v>
      </c>
      <c r="G816" s="48" t="n">
        <v>0.5</v>
      </c>
      <c r="H816" s="46" t="e">
        <f aca="true">IF((B816=1),(IF((F816&lt;E816),1,(IF((F816=E816),(IF(RAND()&lt;G816,1,0)),0)))),(IF((RAND()&lt;G816),1,0)))</f>
        <v>#N/A</v>
      </c>
      <c r="I816" s="46" t="e">
        <f aca="true">IF((H816=1),0,$D$3+$D$5*(RAND()-0.5))</f>
        <v>#N/A</v>
      </c>
      <c r="J816" s="46" t="e">
        <f aca="false">I816+MAX(D816,J815)</f>
        <v>#N/A</v>
      </c>
      <c r="K816" s="46" t="e">
        <f aca="false">IF((H816=0),J816-D816,0)</f>
        <v>#N/A</v>
      </c>
      <c r="L816" s="46" t="e">
        <f aca="true">IF(($H816=0),0,$D$4+$D$5*(RAND()-0.5))</f>
        <v>#N/A</v>
      </c>
      <c r="M816" s="46" t="e">
        <f aca="false">L816+MAX(D816,M815)</f>
        <v>#N/A</v>
      </c>
      <c r="N816" s="46" t="e">
        <f aca="false">IF((H816=1),M816-D816,0)</f>
        <v>#N/A</v>
      </c>
      <c r="O816" s="29" t="n">
        <v>799</v>
      </c>
      <c r="P816" s="49" t="e">
        <f aca="false">IF((Arterial=0),P815+1,P815)</f>
        <v>#N/A</v>
      </c>
      <c r="Q816" s="49" t="e">
        <f aca="false">IF((Arterial=1),Q815+1,Q815)</f>
        <v>#N/A</v>
      </c>
      <c r="R816" s="50" t="n">
        <f aca="false">IF((RESET=1),0,R816+K816)</f>
        <v>0</v>
      </c>
      <c r="S816" s="19" t="n">
        <f aca="false">IF(RESET=1,0,S816+N816)</f>
        <v>0</v>
      </c>
      <c r="T816" s="0" t="n">
        <f aca="false">IF(RESET=1,0,T816+IF(H816=0,1,0))</f>
        <v>0</v>
      </c>
      <c r="U816" s="0" t="n">
        <f aca="false">IF(RESET=1,0,U816+H816)</f>
        <v>0</v>
      </c>
      <c r="V816" s="19" t="n">
        <f aca="false">R816/(T816+0.00001)</f>
        <v>0</v>
      </c>
      <c r="W816" s="19" t="n">
        <f aca="false">S816/(U816+0.0001)</f>
        <v>0</v>
      </c>
      <c r="X816" s="47" t="e">
        <f aca="false">IF(Informed=1,K816,0)</f>
        <v>#N/A</v>
      </c>
      <c r="Y816" s="47" t="n">
        <f aca="false">IF(Informed=0,K816,0)</f>
        <v>0</v>
      </c>
      <c r="Z816" s="47" t="e">
        <f aca="false">IF(Informed=1,N816,0)</f>
        <v>#N/A</v>
      </c>
      <c r="AA816" s="47" t="n">
        <f aca="false">IF(Informed=0,N816,0)</f>
        <v>0</v>
      </c>
      <c r="AB816" s="51" t="e">
        <f aca="false">IF(Arterial=0,IF(Informed=1,1,0),0)</f>
        <v>#N/A</v>
      </c>
      <c r="AC816" s="51" t="e">
        <f aca="false">IF(Arterial=0,IF(Informed=0,1,0),0)</f>
        <v>#N/A</v>
      </c>
      <c r="AD816" s="51" t="e">
        <f aca="false">IF(Arterial=1,IF(Informed=1,1,0),0)</f>
        <v>#N/A</v>
      </c>
      <c r="AE816" s="51" t="e">
        <f aca="false">IF(Arterial=1,IF(Informed=0,1,0),0)</f>
        <v>#N/A</v>
      </c>
      <c r="AF816" s="44" t="e">
        <f aca="false">IF(AB816=1,(X816-G$1030)^2,0)</f>
        <v>#N/A</v>
      </c>
      <c r="AG816" s="44" t="e">
        <f aca="false">IF(AC816=1,(Y816-H$1030)^2,0)</f>
        <v>#N/A</v>
      </c>
      <c r="AH816" s="44" t="e">
        <f aca="false">IF(AD816=1,(Z816-I$1030)^2,0)</f>
        <v>#N/A</v>
      </c>
      <c r="AI816" s="44" t="e">
        <f aca="false">IF(AE816=1,(AA816-J$1030)^2,0)</f>
        <v>#N/A</v>
      </c>
    </row>
    <row r="817" customFormat="false" ht="12" hidden="false" customHeight="false" outlineLevel="0" collapsed="false">
      <c r="A817" s="29" t="n">
        <v>800</v>
      </c>
      <c r="B817" s="45" t="n">
        <f aca="true">IF(RAND()&lt;$D$8,1,0)</f>
        <v>1</v>
      </c>
      <c r="C817" s="34" t="n">
        <f aca="true">-LN(RAND())/$D$2</f>
        <v>2.38379305671874</v>
      </c>
      <c r="D817" s="46" t="n">
        <f aca="false">D816+C817</f>
        <v>1226.57755400882</v>
      </c>
      <c r="E817" s="47" t="e">
        <f aca="false">MAX($D$3,(1+P816-VLOOKUP(VALUE(D817),$J$18:$Q816,7,TRUE()))*$D$3)</f>
        <v>#N/A</v>
      </c>
      <c r="F817" s="47" t="e">
        <f aca="false">MAX($D$4,(1+Q816-VLOOKUP(VALUE(D817),$M$18:$Q816,5,TRUE()))*$D$4)</f>
        <v>#N/A</v>
      </c>
      <c r="G817" s="48" t="n">
        <v>0.5</v>
      </c>
      <c r="H817" s="46" t="e">
        <f aca="true">IF((B817=1),(IF((F817&lt;E817),1,(IF((F817=E817),(IF(RAND()&lt;G817,1,0)),0)))),(IF((RAND()&lt;G817),1,0)))</f>
        <v>#N/A</v>
      </c>
      <c r="I817" s="46" t="e">
        <f aca="true">IF((H817=1),0,$D$3+$D$5*(RAND()-0.5))</f>
        <v>#N/A</v>
      </c>
      <c r="J817" s="46" t="e">
        <f aca="false">I817+MAX(D817,J816)</f>
        <v>#N/A</v>
      </c>
      <c r="K817" s="46" t="e">
        <f aca="false">IF((H817=0),J817-D817,0)</f>
        <v>#N/A</v>
      </c>
      <c r="L817" s="46" t="e">
        <f aca="true">IF(($H817=0),0,$D$4+$D$5*(RAND()-0.5))</f>
        <v>#N/A</v>
      </c>
      <c r="M817" s="46" t="e">
        <f aca="false">L817+MAX(D817,M816)</f>
        <v>#N/A</v>
      </c>
      <c r="N817" s="46" t="e">
        <f aca="false">IF((H817=1),M817-D817,0)</f>
        <v>#N/A</v>
      </c>
      <c r="O817" s="29" t="n">
        <v>800</v>
      </c>
      <c r="P817" s="49" t="e">
        <f aca="false">IF((Arterial=0),P816+1,P816)</f>
        <v>#N/A</v>
      </c>
      <c r="Q817" s="49" t="e">
        <f aca="false">IF((Arterial=1),Q816+1,Q816)</f>
        <v>#N/A</v>
      </c>
      <c r="R817" s="50" t="n">
        <f aca="false">IF((RESET=1),0,R817+K817)</f>
        <v>0</v>
      </c>
      <c r="S817" s="19" t="n">
        <f aca="false">IF(RESET=1,0,S817+N817)</f>
        <v>0</v>
      </c>
      <c r="T817" s="0" t="n">
        <f aca="false">IF(RESET=1,0,T817+IF(H817=0,1,0))</f>
        <v>0</v>
      </c>
      <c r="U817" s="0" t="n">
        <f aca="false">IF(RESET=1,0,U817+H817)</f>
        <v>0</v>
      </c>
      <c r="V817" s="19" t="n">
        <f aca="false">R817/(T817+0.00001)</f>
        <v>0</v>
      </c>
      <c r="W817" s="19" t="n">
        <f aca="false">S817/(U817+0.0001)</f>
        <v>0</v>
      </c>
      <c r="X817" s="47" t="e">
        <f aca="false">IF(Informed=1,K817,0)</f>
        <v>#N/A</v>
      </c>
      <c r="Y817" s="47" t="n">
        <f aca="false">IF(Informed=0,K817,0)</f>
        <v>0</v>
      </c>
      <c r="Z817" s="47" t="e">
        <f aca="false">IF(Informed=1,N817,0)</f>
        <v>#N/A</v>
      </c>
      <c r="AA817" s="47" t="n">
        <f aca="false">IF(Informed=0,N817,0)</f>
        <v>0</v>
      </c>
      <c r="AB817" s="51" t="e">
        <f aca="false">IF(Arterial=0,IF(Informed=1,1,0),0)</f>
        <v>#N/A</v>
      </c>
      <c r="AC817" s="51" t="e">
        <f aca="false">IF(Arterial=0,IF(Informed=0,1,0),0)</f>
        <v>#N/A</v>
      </c>
      <c r="AD817" s="51" t="e">
        <f aca="false">IF(Arterial=1,IF(Informed=1,1,0),0)</f>
        <v>#N/A</v>
      </c>
      <c r="AE817" s="51" t="e">
        <f aca="false">IF(Arterial=1,IF(Informed=0,1,0),0)</f>
        <v>#N/A</v>
      </c>
      <c r="AF817" s="44" t="e">
        <f aca="false">IF(AB817=1,(X817-G$1030)^2,0)</f>
        <v>#N/A</v>
      </c>
      <c r="AG817" s="44" t="e">
        <f aca="false">IF(AC817=1,(Y817-H$1030)^2,0)</f>
        <v>#N/A</v>
      </c>
      <c r="AH817" s="44" t="e">
        <f aca="false">IF(AD817=1,(Z817-I$1030)^2,0)</f>
        <v>#N/A</v>
      </c>
      <c r="AI817" s="44" t="e">
        <f aca="false">IF(AE817=1,(AA817-J$1030)^2,0)</f>
        <v>#N/A</v>
      </c>
    </row>
    <row r="818" customFormat="false" ht="12" hidden="false" customHeight="false" outlineLevel="0" collapsed="false">
      <c r="A818" s="29" t="n">
        <v>801</v>
      </c>
      <c r="B818" s="45" t="n">
        <f aca="true">IF(RAND()&lt;$D$8,1,0)</f>
        <v>1</v>
      </c>
      <c r="C818" s="34" t="n">
        <f aca="true">-LN(RAND())/$D$2</f>
        <v>1.77172141987657</v>
      </c>
      <c r="D818" s="46" t="n">
        <f aca="false">D817+C818</f>
        <v>1228.3492754287</v>
      </c>
      <c r="E818" s="47" t="e">
        <f aca="false">MAX($D$3,(1+P817-VLOOKUP(VALUE(D818),$J$18:$Q817,7,TRUE()))*$D$3)</f>
        <v>#N/A</v>
      </c>
      <c r="F818" s="47" t="e">
        <f aca="false">MAX($D$4,(1+Q817-VLOOKUP(VALUE(D818),$M$18:$Q817,5,TRUE()))*$D$4)</f>
        <v>#N/A</v>
      </c>
      <c r="G818" s="48" t="n">
        <v>0.5</v>
      </c>
      <c r="H818" s="46" t="e">
        <f aca="true">IF((B818=1),(IF((F818&lt;E818),1,(IF((F818=E818),(IF(RAND()&lt;G818,1,0)),0)))),(IF((RAND()&lt;G818),1,0)))</f>
        <v>#N/A</v>
      </c>
      <c r="I818" s="46" t="e">
        <f aca="true">IF((H818=1),0,$D$3+$D$5*(RAND()-0.5))</f>
        <v>#N/A</v>
      </c>
      <c r="J818" s="46" t="e">
        <f aca="false">I818+MAX(D818,J817)</f>
        <v>#N/A</v>
      </c>
      <c r="K818" s="46" t="e">
        <f aca="false">IF((H818=0),J818-D818,0)</f>
        <v>#N/A</v>
      </c>
      <c r="L818" s="46" t="e">
        <f aca="true">IF(($H818=0),0,$D$4+$D$5*(RAND()-0.5))</f>
        <v>#N/A</v>
      </c>
      <c r="M818" s="46" t="e">
        <f aca="false">L818+MAX(D818,M817)</f>
        <v>#N/A</v>
      </c>
      <c r="N818" s="46" t="e">
        <f aca="false">IF((H818=1),M818-D818,0)</f>
        <v>#N/A</v>
      </c>
      <c r="O818" s="29" t="n">
        <v>801</v>
      </c>
      <c r="P818" s="49" t="e">
        <f aca="false">IF((Arterial=0),P817+1,P817)</f>
        <v>#N/A</v>
      </c>
      <c r="Q818" s="49" t="e">
        <f aca="false">IF((Arterial=1),Q817+1,Q817)</f>
        <v>#N/A</v>
      </c>
      <c r="R818" s="50" t="n">
        <f aca="false">IF((RESET=1),0,R818+K818)</f>
        <v>0</v>
      </c>
      <c r="S818" s="19" t="n">
        <f aca="false">IF(RESET=1,0,S818+N818)</f>
        <v>0</v>
      </c>
      <c r="T818" s="0" t="n">
        <f aca="false">IF(RESET=1,0,T818+IF(H818=0,1,0))</f>
        <v>0</v>
      </c>
      <c r="U818" s="0" t="n">
        <f aca="false">IF(RESET=1,0,U818+H818)</f>
        <v>0</v>
      </c>
      <c r="V818" s="19" t="n">
        <f aca="false">R818/(T818+0.00001)</f>
        <v>0</v>
      </c>
      <c r="W818" s="19" t="n">
        <f aca="false">S818/(U818+0.0001)</f>
        <v>0</v>
      </c>
      <c r="X818" s="47" t="e">
        <f aca="false">IF(Informed=1,K818,0)</f>
        <v>#N/A</v>
      </c>
      <c r="Y818" s="47" t="n">
        <f aca="false">IF(Informed=0,K818,0)</f>
        <v>0</v>
      </c>
      <c r="Z818" s="47" t="e">
        <f aca="false">IF(Informed=1,N818,0)</f>
        <v>#N/A</v>
      </c>
      <c r="AA818" s="47" t="n">
        <f aca="false">IF(Informed=0,N818,0)</f>
        <v>0</v>
      </c>
      <c r="AB818" s="51" t="e">
        <f aca="false">IF(Arterial=0,IF(Informed=1,1,0),0)</f>
        <v>#N/A</v>
      </c>
      <c r="AC818" s="51" t="e">
        <f aca="false">IF(Arterial=0,IF(Informed=0,1,0),0)</f>
        <v>#N/A</v>
      </c>
      <c r="AD818" s="51" t="e">
        <f aca="false">IF(Arterial=1,IF(Informed=1,1,0),0)</f>
        <v>#N/A</v>
      </c>
      <c r="AE818" s="51" t="e">
        <f aca="false">IF(Arterial=1,IF(Informed=0,1,0),0)</f>
        <v>#N/A</v>
      </c>
      <c r="AF818" s="44" t="e">
        <f aca="false">IF(AB818=1,(X818-G$1030)^2,0)</f>
        <v>#N/A</v>
      </c>
      <c r="AG818" s="44" t="e">
        <f aca="false">IF(AC818=1,(Y818-H$1030)^2,0)</f>
        <v>#N/A</v>
      </c>
      <c r="AH818" s="44" t="e">
        <f aca="false">IF(AD818=1,(Z818-I$1030)^2,0)</f>
        <v>#N/A</v>
      </c>
      <c r="AI818" s="44" t="e">
        <f aca="false">IF(AE818=1,(AA818-J$1030)^2,0)</f>
        <v>#N/A</v>
      </c>
    </row>
    <row r="819" customFormat="false" ht="12" hidden="false" customHeight="false" outlineLevel="0" collapsed="false">
      <c r="A819" s="29" t="n">
        <v>802</v>
      </c>
      <c r="B819" s="45" t="n">
        <f aca="true">IF(RAND()&lt;$D$8,1,0)</f>
        <v>1</v>
      </c>
      <c r="C819" s="34" t="n">
        <f aca="true">-LN(RAND())/$D$2</f>
        <v>0.329287142135881</v>
      </c>
      <c r="D819" s="46" t="n">
        <f aca="false">D818+C819</f>
        <v>1228.67856257083</v>
      </c>
      <c r="E819" s="47" t="e">
        <f aca="false">MAX($D$3,(1+P818-VLOOKUP(VALUE(D819),$J$18:$Q818,7,TRUE()))*$D$3)</f>
        <v>#N/A</v>
      </c>
      <c r="F819" s="47" t="e">
        <f aca="false">MAX($D$4,(1+Q818-VLOOKUP(VALUE(D819),$M$18:$Q818,5,TRUE()))*$D$4)</f>
        <v>#N/A</v>
      </c>
      <c r="G819" s="48" t="n">
        <v>0.5</v>
      </c>
      <c r="H819" s="46" t="e">
        <f aca="true">IF((B819=1),(IF((F819&lt;E819),1,(IF((F819=E819),(IF(RAND()&lt;G819,1,0)),0)))),(IF((RAND()&lt;G819),1,0)))</f>
        <v>#N/A</v>
      </c>
      <c r="I819" s="46" t="e">
        <f aca="true">IF((H819=1),0,$D$3+$D$5*(RAND()-0.5))</f>
        <v>#N/A</v>
      </c>
      <c r="J819" s="46" t="e">
        <f aca="false">I819+MAX(D819,J818)</f>
        <v>#N/A</v>
      </c>
      <c r="K819" s="46" t="e">
        <f aca="false">IF((H819=0),J819-D819,0)</f>
        <v>#N/A</v>
      </c>
      <c r="L819" s="46" t="e">
        <f aca="true">IF(($H819=0),0,$D$4+$D$5*(RAND()-0.5))</f>
        <v>#N/A</v>
      </c>
      <c r="M819" s="46" t="e">
        <f aca="false">L819+MAX(D819,M818)</f>
        <v>#N/A</v>
      </c>
      <c r="N819" s="46" t="e">
        <f aca="false">IF((H819=1),M819-D819,0)</f>
        <v>#N/A</v>
      </c>
      <c r="O819" s="29" t="n">
        <v>802</v>
      </c>
      <c r="P819" s="49" t="e">
        <f aca="false">IF((Arterial=0),P818+1,P818)</f>
        <v>#N/A</v>
      </c>
      <c r="Q819" s="49" t="e">
        <f aca="false">IF((Arterial=1),Q818+1,Q818)</f>
        <v>#N/A</v>
      </c>
      <c r="R819" s="50" t="n">
        <f aca="false">IF((RESET=1),0,R819+K819)</f>
        <v>0</v>
      </c>
      <c r="S819" s="19" t="n">
        <f aca="false">IF(RESET=1,0,S819+N819)</f>
        <v>0</v>
      </c>
      <c r="T819" s="0" t="n">
        <f aca="false">IF(RESET=1,0,T819+IF(H819=0,1,0))</f>
        <v>0</v>
      </c>
      <c r="U819" s="0" t="n">
        <f aca="false">IF(RESET=1,0,U819+H819)</f>
        <v>0</v>
      </c>
      <c r="V819" s="19" t="n">
        <f aca="false">R819/(T819+0.00001)</f>
        <v>0</v>
      </c>
      <c r="W819" s="19" t="n">
        <f aca="false">S819/(U819+0.0001)</f>
        <v>0</v>
      </c>
      <c r="X819" s="47" t="e">
        <f aca="false">IF(Informed=1,K819,0)</f>
        <v>#N/A</v>
      </c>
      <c r="Y819" s="47" t="n">
        <f aca="false">IF(Informed=0,K819,0)</f>
        <v>0</v>
      </c>
      <c r="Z819" s="47" t="e">
        <f aca="false">IF(Informed=1,N819,0)</f>
        <v>#N/A</v>
      </c>
      <c r="AA819" s="47" t="n">
        <f aca="false">IF(Informed=0,N819,0)</f>
        <v>0</v>
      </c>
      <c r="AB819" s="51" t="e">
        <f aca="false">IF(Arterial=0,IF(Informed=1,1,0),0)</f>
        <v>#N/A</v>
      </c>
      <c r="AC819" s="51" t="e">
        <f aca="false">IF(Arterial=0,IF(Informed=0,1,0),0)</f>
        <v>#N/A</v>
      </c>
      <c r="AD819" s="51" t="e">
        <f aca="false">IF(Arterial=1,IF(Informed=1,1,0),0)</f>
        <v>#N/A</v>
      </c>
      <c r="AE819" s="51" t="e">
        <f aca="false">IF(Arterial=1,IF(Informed=0,1,0),0)</f>
        <v>#N/A</v>
      </c>
      <c r="AF819" s="44" t="e">
        <f aca="false">IF(AB819=1,(X819-G$1030)^2,0)</f>
        <v>#N/A</v>
      </c>
      <c r="AG819" s="44" t="e">
        <f aca="false">IF(AC819=1,(Y819-H$1030)^2,0)</f>
        <v>#N/A</v>
      </c>
      <c r="AH819" s="44" t="e">
        <f aca="false">IF(AD819=1,(Z819-I$1030)^2,0)</f>
        <v>#N/A</v>
      </c>
      <c r="AI819" s="44" t="e">
        <f aca="false">IF(AE819=1,(AA819-J$1030)^2,0)</f>
        <v>#N/A</v>
      </c>
    </row>
    <row r="820" customFormat="false" ht="12" hidden="false" customHeight="false" outlineLevel="0" collapsed="false">
      <c r="A820" s="29" t="n">
        <v>803</v>
      </c>
      <c r="B820" s="45" t="n">
        <f aca="true">IF(RAND()&lt;$D$8,1,0)</f>
        <v>1</v>
      </c>
      <c r="C820" s="34" t="n">
        <f aca="true">-LN(RAND())/$D$2</f>
        <v>0.0776638421301565</v>
      </c>
      <c r="D820" s="46" t="n">
        <f aca="false">D819+C820</f>
        <v>1228.75622641296</v>
      </c>
      <c r="E820" s="47" t="e">
        <f aca="false">MAX($D$3,(1+P819-VLOOKUP(VALUE(D820),$J$18:$Q819,7,TRUE()))*$D$3)</f>
        <v>#N/A</v>
      </c>
      <c r="F820" s="47" t="e">
        <f aca="false">MAX($D$4,(1+Q819-VLOOKUP(VALUE(D820),$M$18:$Q819,5,TRUE()))*$D$4)</f>
        <v>#N/A</v>
      </c>
      <c r="G820" s="48" t="n">
        <v>0.5</v>
      </c>
      <c r="H820" s="46" t="e">
        <f aca="true">IF((B820=1),(IF((F820&lt;E820),1,(IF((F820=E820),(IF(RAND()&lt;G820,1,0)),0)))),(IF((RAND()&lt;G820),1,0)))</f>
        <v>#N/A</v>
      </c>
      <c r="I820" s="46" t="e">
        <f aca="true">IF((H820=1),0,$D$3+$D$5*(RAND()-0.5))</f>
        <v>#N/A</v>
      </c>
      <c r="J820" s="46" t="e">
        <f aca="false">I820+MAX(D820,J819)</f>
        <v>#N/A</v>
      </c>
      <c r="K820" s="46" t="e">
        <f aca="false">IF((H820=0),J820-D820,0)</f>
        <v>#N/A</v>
      </c>
      <c r="L820" s="46" t="e">
        <f aca="true">IF(($H820=0),0,$D$4+$D$5*(RAND()-0.5))</f>
        <v>#N/A</v>
      </c>
      <c r="M820" s="46" t="e">
        <f aca="false">L820+MAX(D820,M819)</f>
        <v>#N/A</v>
      </c>
      <c r="N820" s="46" t="e">
        <f aca="false">IF((H820=1),M820-D820,0)</f>
        <v>#N/A</v>
      </c>
      <c r="O820" s="29" t="n">
        <v>803</v>
      </c>
      <c r="P820" s="49" t="e">
        <f aca="false">IF((Arterial=0),P819+1,P819)</f>
        <v>#N/A</v>
      </c>
      <c r="Q820" s="49" t="e">
        <f aca="false">IF((Arterial=1),Q819+1,Q819)</f>
        <v>#N/A</v>
      </c>
      <c r="R820" s="50" t="n">
        <f aca="false">IF((RESET=1),0,R820+K820)</f>
        <v>0</v>
      </c>
      <c r="S820" s="19" t="n">
        <f aca="false">IF(RESET=1,0,S820+N820)</f>
        <v>0</v>
      </c>
      <c r="T820" s="0" t="n">
        <f aca="false">IF(RESET=1,0,T820+IF(H820=0,1,0))</f>
        <v>0</v>
      </c>
      <c r="U820" s="0" t="n">
        <f aca="false">IF(RESET=1,0,U820+H820)</f>
        <v>0</v>
      </c>
      <c r="V820" s="19" t="n">
        <f aca="false">R820/(T820+0.00001)</f>
        <v>0</v>
      </c>
      <c r="W820" s="19" t="n">
        <f aca="false">S820/(U820+0.0001)</f>
        <v>0</v>
      </c>
      <c r="X820" s="47" t="e">
        <f aca="false">IF(Informed=1,K820,0)</f>
        <v>#N/A</v>
      </c>
      <c r="Y820" s="47" t="n">
        <f aca="false">IF(Informed=0,K820,0)</f>
        <v>0</v>
      </c>
      <c r="Z820" s="47" t="e">
        <f aca="false">IF(Informed=1,N820,0)</f>
        <v>#N/A</v>
      </c>
      <c r="AA820" s="47" t="n">
        <f aca="false">IF(Informed=0,N820,0)</f>
        <v>0</v>
      </c>
      <c r="AB820" s="51" t="e">
        <f aca="false">IF(Arterial=0,IF(Informed=1,1,0),0)</f>
        <v>#N/A</v>
      </c>
      <c r="AC820" s="51" t="e">
        <f aca="false">IF(Arterial=0,IF(Informed=0,1,0),0)</f>
        <v>#N/A</v>
      </c>
      <c r="AD820" s="51" t="e">
        <f aca="false">IF(Arterial=1,IF(Informed=1,1,0),0)</f>
        <v>#N/A</v>
      </c>
      <c r="AE820" s="51" t="e">
        <f aca="false">IF(Arterial=1,IF(Informed=0,1,0),0)</f>
        <v>#N/A</v>
      </c>
      <c r="AF820" s="44" t="e">
        <f aca="false">IF(AB820=1,(X820-G$1030)^2,0)</f>
        <v>#N/A</v>
      </c>
      <c r="AG820" s="44" t="e">
        <f aca="false">IF(AC820=1,(Y820-H$1030)^2,0)</f>
        <v>#N/A</v>
      </c>
      <c r="AH820" s="44" t="e">
        <f aca="false">IF(AD820=1,(Z820-I$1030)^2,0)</f>
        <v>#N/A</v>
      </c>
      <c r="AI820" s="44" t="e">
        <f aca="false">IF(AE820=1,(AA820-J$1030)^2,0)</f>
        <v>#N/A</v>
      </c>
    </row>
    <row r="821" customFormat="false" ht="12" hidden="false" customHeight="false" outlineLevel="0" collapsed="false">
      <c r="A821" s="29" t="n">
        <v>804</v>
      </c>
      <c r="B821" s="45" t="n">
        <f aca="true">IF(RAND()&lt;$D$8,1,0)</f>
        <v>1</v>
      </c>
      <c r="C821" s="34" t="n">
        <f aca="true">-LN(RAND())/$D$2</f>
        <v>0.991291195022787</v>
      </c>
      <c r="D821" s="46" t="n">
        <f aca="false">D820+C821</f>
        <v>1229.74751760799</v>
      </c>
      <c r="E821" s="47" t="e">
        <f aca="false">MAX($D$3,(1+P820-VLOOKUP(VALUE(D821),$J$18:$Q820,7,TRUE()))*$D$3)</f>
        <v>#N/A</v>
      </c>
      <c r="F821" s="47" t="e">
        <f aca="false">MAX($D$4,(1+Q820-VLOOKUP(VALUE(D821),$M$18:$Q820,5,TRUE()))*$D$4)</f>
        <v>#N/A</v>
      </c>
      <c r="G821" s="48" t="n">
        <v>0.5</v>
      </c>
      <c r="H821" s="46" t="e">
        <f aca="true">IF((B821=1),(IF((F821&lt;E821),1,(IF((F821=E821),(IF(RAND()&lt;G821,1,0)),0)))),(IF((RAND()&lt;G821),1,0)))</f>
        <v>#N/A</v>
      </c>
      <c r="I821" s="46" t="e">
        <f aca="true">IF((H821=1),0,$D$3+$D$5*(RAND()-0.5))</f>
        <v>#N/A</v>
      </c>
      <c r="J821" s="46" t="e">
        <f aca="false">I821+MAX(D821,J820)</f>
        <v>#N/A</v>
      </c>
      <c r="K821" s="46" t="e">
        <f aca="false">IF((H821=0),J821-D821,0)</f>
        <v>#N/A</v>
      </c>
      <c r="L821" s="46" t="e">
        <f aca="true">IF(($H821=0),0,$D$4+$D$5*(RAND()-0.5))</f>
        <v>#N/A</v>
      </c>
      <c r="M821" s="46" t="e">
        <f aca="false">L821+MAX(D821,M820)</f>
        <v>#N/A</v>
      </c>
      <c r="N821" s="46" t="e">
        <f aca="false">IF((H821=1),M821-D821,0)</f>
        <v>#N/A</v>
      </c>
      <c r="O821" s="29" t="n">
        <v>804</v>
      </c>
      <c r="P821" s="49" t="e">
        <f aca="false">IF((Arterial=0),P820+1,P820)</f>
        <v>#N/A</v>
      </c>
      <c r="Q821" s="49" t="e">
        <f aca="false">IF((Arterial=1),Q820+1,Q820)</f>
        <v>#N/A</v>
      </c>
      <c r="R821" s="50" t="n">
        <f aca="false">IF((RESET=1),0,R821+K821)</f>
        <v>0</v>
      </c>
      <c r="S821" s="19" t="n">
        <f aca="false">IF(RESET=1,0,S821+N821)</f>
        <v>0</v>
      </c>
      <c r="T821" s="0" t="n">
        <f aca="false">IF(RESET=1,0,T821+IF(H821=0,1,0))</f>
        <v>0</v>
      </c>
      <c r="U821" s="0" t="n">
        <f aca="false">IF(RESET=1,0,U821+H821)</f>
        <v>0</v>
      </c>
      <c r="V821" s="19" t="n">
        <f aca="false">R821/(T821+0.00001)</f>
        <v>0</v>
      </c>
      <c r="W821" s="19" t="n">
        <f aca="false">S821/(U821+0.0001)</f>
        <v>0</v>
      </c>
      <c r="X821" s="47" t="e">
        <f aca="false">IF(Informed=1,K821,0)</f>
        <v>#N/A</v>
      </c>
      <c r="Y821" s="47" t="n">
        <f aca="false">IF(Informed=0,K821,0)</f>
        <v>0</v>
      </c>
      <c r="Z821" s="47" t="e">
        <f aca="false">IF(Informed=1,N821,0)</f>
        <v>#N/A</v>
      </c>
      <c r="AA821" s="47" t="n">
        <f aca="false">IF(Informed=0,N821,0)</f>
        <v>0</v>
      </c>
      <c r="AB821" s="51" t="e">
        <f aca="false">IF(Arterial=0,IF(Informed=1,1,0),0)</f>
        <v>#N/A</v>
      </c>
      <c r="AC821" s="51" t="e">
        <f aca="false">IF(Arterial=0,IF(Informed=0,1,0),0)</f>
        <v>#N/A</v>
      </c>
      <c r="AD821" s="51" t="e">
        <f aca="false">IF(Arterial=1,IF(Informed=1,1,0),0)</f>
        <v>#N/A</v>
      </c>
      <c r="AE821" s="51" t="e">
        <f aca="false">IF(Arterial=1,IF(Informed=0,1,0),0)</f>
        <v>#N/A</v>
      </c>
      <c r="AF821" s="44" t="e">
        <f aca="false">IF(AB821=1,(X821-G$1030)^2,0)</f>
        <v>#N/A</v>
      </c>
      <c r="AG821" s="44" t="e">
        <f aca="false">IF(AC821=1,(Y821-H$1030)^2,0)</f>
        <v>#N/A</v>
      </c>
      <c r="AH821" s="44" t="e">
        <f aca="false">IF(AD821=1,(Z821-I$1030)^2,0)</f>
        <v>#N/A</v>
      </c>
      <c r="AI821" s="44" t="e">
        <f aca="false">IF(AE821=1,(AA821-J$1030)^2,0)</f>
        <v>#N/A</v>
      </c>
    </row>
    <row r="822" customFormat="false" ht="12" hidden="false" customHeight="false" outlineLevel="0" collapsed="false">
      <c r="A822" s="29" t="n">
        <v>805</v>
      </c>
      <c r="B822" s="45" t="n">
        <f aca="true">IF(RAND()&lt;$D$8,1,0)</f>
        <v>1</v>
      </c>
      <c r="C822" s="34" t="n">
        <f aca="true">-LN(RAND())/$D$2</f>
        <v>0.00984683098589768</v>
      </c>
      <c r="D822" s="46" t="n">
        <f aca="false">D821+C822</f>
        <v>1229.75736443897</v>
      </c>
      <c r="E822" s="47" t="e">
        <f aca="false">MAX($D$3,(1+P821-VLOOKUP(VALUE(D822),$J$18:$Q821,7,TRUE()))*$D$3)</f>
        <v>#N/A</v>
      </c>
      <c r="F822" s="47" t="e">
        <f aca="false">MAX($D$4,(1+Q821-VLOOKUP(VALUE(D822),$M$18:$Q821,5,TRUE()))*$D$4)</f>
        <v>#N/A</v>
      </c>
      <c r="G822" s="48" t="n">
        <v>0.5</v>
      </c>
      <c r="H822" s="46" t="e">
        <f aca="true">IF((B822=1),(IF((F822&lt;E822),1,(IF((F822=E822),(IF(RAND()&lt;G822,1,0)),0)))),(IF((RAND()&lt;G822),1,0)))</f>
        <v>#N/A</v>
      </c>
      <c r="I822" s="46" t="e">
        <f aca="true">IF((H822=1),0,$D$3+$D$5*(RAND()-0.5))</f>
        <v>#N/A</v>
      </c>
      <c r="J822" s="46" t="e">
        <f aca="false">I822+MAX(D822,J821)</f>
        <v>#N/A</v>
      </c>
      <c r="K822" s="46" t="e">
        <f aca="false">IF((H822=0),J822-D822,0)</f>
        <v>#N/A</v>
      </c>
      <c r="L822" s="46" t="e">
        <f aca="true">IF(($H822=0),0,$D$4+$D$5*(RAND()-0.5))</f>
        <v>#N/A</v>
      </c>
      <c r="M822" s="46" t="e">
        <f aca="false">L822+MAX(D822,M821)</f>
        <v>#N/A</v>
      </c>
      <c r="N822" s="46" t="e">
        <f aca="false">IF((H822=1),M822-D822,0)</f>
        <v>#N/A</v>
      </c>
      <c r="O822" s="29" t="n">
        <v>805</v>
      </c>
      <c r="P822" s="49" t="e">
        <f aca="false">IF((Arterial=0),P821+1,P821)</f>
        <v>#N/A</v>
      </c>
      <c r="Q822" s="49" t="e">
        <f aca="false">IF((Arterial=1),Q821+1,Q821)</f>
        <v>#N/A</v>
      </c>
      <c r="R822" s="50" t="n">
        <f aca="false">IF((RESET=1),0,R822+K822)</f>
        <v>0</v>
      </c>
      <c r="S822" s="19" t="n">
        <f aca="false">IF(RESET=1,0,S822+N822)</f>
        <v>0</v>
      </c>
      <c r="T822" s="0" t="n">
        <f aca="false">IF(RESET=1,0,T822+IF(H822=0,1,0))</f>
        <v>0</v>
      </c>
      <c r="U822" s="0" t="n">
        <f aca="false">IF(RESET=1,0,U822+H822)</f>
        <v>0</v>
      </c>
      <c r="V822" s="19" t="n">
        <f aca="false">R822/(T822+0.00001)</f>
        <v>0</v>
      </c>
      <c r="W822" s="19" t="n">
        <f aca="false">S822/(U822+0.0001)</f>
        <v>0</v>
      </c>
      <c r="X822" s="47" t="e">
        <f aca="false">IF(Informed=1,K822,0)</f>
        <v>#N/A</v>
      </c>
      <c r="Y822" s="47" t="n">
        <f aca="false">IF(Informed=0,K822,0)</f>
        <v>0</v>
      </c>
      <c r="Z822" s="47" t="e">
        <f aca="false">IF(Informed=1,N822,0)</f>
        <v>#N/A</v>
      </c>
      <c r="AA822" s="47" t="n">
        <f aca="false">IF(Informed=0,N822,0)</f>
        <v>0</v>
      </c>
      <c r="AB822" s="51" t="e">
        <f aca="false">IF(Arterial=0,IF(Informed=1,1,0),0)</f>
        <v>#N/A</v>
      </c>
      <c r="AC822" s="51" t="e">
        <f aca="false">IF(Arterial=0,IF(Informed=0,1,0),0)</f>
        <v>#N/A</v>
      </c>
      <c r="AD822" s="51" t="e">
        <f aca="false">IF(Arterial=1,IF(Informed=1,1,0),0)</f>
        <v>#N/A</v>
      </c>
      <c r="AE822" s="51" t="e">
        <f aca="false">IF(Arterial=1,IF(Informed=0,1,0),0)</f>
        <v>#N/A</v>
      </c>
      <c r="AF822" s="44" t="e">
        <f aca="false">IF(AB822=1,(X822-G$1030)^2,0)</f>
        <v>#N/A</v>
      </c>
      <c r="AG822" s="44" t="e">
        <f aca="false">IF(AC822=1,(Y822-H$1030)^2,0)</f>
        <v>#N/A</v>
      </c>
      <c r="AH822" s="44" t="e">
        <f aca="false">IF(AD822=1,(Z822-I$1030)^2,0)</f>
        <v>#N/A</v>
      </c>
      <c r="AI822" s="44" t="e">
        <f aca="false">IF(AE822=1,(AA822-J$1030)^2,0)</f>
        <v>#N/A</v>
      </c>
    </row>
    <row r="823" customFormat="false" ht="12" hidden="false" customHeight="false" outlineLevel="0" collapsed="false">
      <c r="A823" s="29" t="n">
        <v>806</v>
      </c>
      <c r="B823" s="45" t="n">
        <f aca="true">IF(RAND()&lt;$D$8,1,0)</f>
        <v>1</v>
      </c>
      <c r="C823" s="34" t="n">
        <f aca="true">-LN(RAND())/$D$2</f>
        <v>2.29069563806515</v>
      </c>
      <c r="D823" s="46" t="n">
        <f aca="false">D822+C823</f>
        <v>1232.04806007704</v>
      </c>
      <c r="E823" s="47" t="e">
        <f aca="false">MAX($D$3,(1+P822-VLOOKUP(VALUE(D823),$J$18:$Q822,7,TRUE()))*$D$3)</f>
        <v>#N/A</v>
      </c>
      <c r="F823" s="47" t="e">
        <f aca="false">MAX($D$4,(1+Q822-VLOOKUP(VALUE(D823),$M$18:$Q822,5,TRUE()))*$D$4)</f>
        <v>#N/A</v>
      </c>
      <c r="G823" s="48" t="n">
        <v>0.5</v>
      </c>
      <c r="H823" s="46" t="e">
        <f aca="true">IF((B823=1),(IF((F823&lt;E823),1,(IF((F823=E823),(IF(RAND()&lt;G823,1,0)),0)))),(IF((RAND()&lt;G823),1,0)))</f>
        <v>#N/A</v>
      </c>
      <c r="I823" s="46" t="e">
        <f aca="true">IF((H823=1),0,$D$3+$D$5*(RAND()-0.5))</f>
        <v>#N/A</v>
      </c>
      <c r="J823" s="46" t="e">
        <f aca="false">I823+MAX(D823,J822)</f>
        <v>#N/A</v>
      </c>
      <c r="K823" s="46" t="e">
        <f aca="false">IF((H823=0),J823-D823,0)</f>
        <v>#N/A</v>
      </c>
      <c r="L823" s="46" t="e">
        <f aca="true">IF(($H823=0),0,$D$4+$D$5*(RAND()-0.5))</f>
        <v>#N/A</v>
      </c>
      <c r="M823" s="46" t="e">
        <f aca="false">L823+MAX(D823,M822)</f>
        <v>#N/A</v>
      </c>
      <c r="N823" s="46" t="e">
        <f aca="false">IF((H823=1),M823-D823,0)</f>
        <v>#N/A</v>
      </c>
      <c r="O823" s="29" t="n">
        <v>806</v>
      </c>
      <c r="P823" s="49" t="e">
        <f aca="false">IF((Arterial=0),P822+1,P822)</f>
        <v>#N/A</v>
      </c>
      <c r="Q823" s="49" t="e">
        <f aca="false">IF((Arterial=1),Q822+1,Q822)</f>
        <v>#N/A</v>
      </c>
      <c r="R823" s="50" t="n">
        <f aca="false">IF((RESET=1),0,R823+K823)</f>
        <v>0</v>
      </c>
      <c r="S823" s="19" t="n">
        <f aca="false">IF(RESET=1,0,S823+N823)</f>
        <v>0</v>
      </c>
      <c r="T823" s="0" t="n">
        <f aca="false">IF(RESET=1,0,T823+IF(H823=0,1,0))</f>
        <v>0</v>
      </c>
      <c r="U823" s="0" t="n">
        <f aca="false">IF(RESET=1,0,U823+H823)</f>
        <v>0</v>
      </c>
      <c r="V823" s="19" t="n">
        <f aca="false">R823/(T823+0.00001)</f>
        <v>0</v>
      </c>
      <c r="W823" s="19" t="n">
        <f aca="false">S823/(U823+0.0001)</f>
        <v>0</v>
      </c>
      <c r="X823" s="47" t="e">
        <f aca="false">IF(Informed=1,K823,0)</f>
        <v>#N/A</v>
      </c>
      <c r="Y823" s="47" t="n">
        <f aca="false">IF(Informed=0,K823,0)</f>
        <v>0</v>
      </c>
      <c r="Z823" s="47" t="e">
        <f aca="false">IF(Informed=1,N823,0)</f>
        <v>#N/A</v>
      </c>
      <c r="AA823" s="47" t="n">
        <f aca="false">IF(Informed=0,N823,0)</f>
        <v>0</v>
      </c>
      <c r="AB823" s="51" t="e">
        <f aca="false">IF(Arterial=0,IF(Informed=1,1,0),0)</f>
        <v>#N/A</v>
      </c>
      <c r="AC823" s="51" t="e">
        <f aca="false">IF(Arterial=0,IF(Informed=0,1,0),0)</f>
        <v>#N/A</v>
      </c>
      <c r="AD823" s="51" t="e">
        <f aca="false">IF(Arterial=1,IF(Informed=1,1,0),0)</f>
        <v>#N/A</v>
      </c>
      <c r="AE823" s="51" t="e">
        <f aca="false">IF(Arterial=1,IF(Informed=0,1,0),0)</f>
        <v>#N/A</v>
      </c>
      <c r="AF823" s="44" t="e">
        <f aca="false">IF(AB823=1,(X823-G$1030)^2,0)</f>
        <v>#N/A</v>
      </c>
      <c r="AG823" s="44" t="e">
        <f aca="false">IF(AC823=1,(Y823-H$1030)^2,0)</f>
        <v>#N/A</v>
      </c>
      <c r="AH823" s="44" t="e">
        <f aca="false">IF(AD823=1,(Z823-I$1030)^2,0)</f>
        <v>#N/A</v>
      </c>
      <c r="AI823" s="44" t="e">
        <f aca="false">IF(AE823=1,(AA823-J$1030)^2,0)</f>
        <v>#N/A</v>
      </c>
    </row>
    <row r="824" customFormat="false" ht="12" hidden="false" customHeight="false" outlineLevel="0" collapsed="false">
      <c r="A824" s="29" t="n">
        <v>807</v>
      </c>
      <c r="B824" s="45" t="n">
        <f aca="true">IF(RAND()&lt;$D$8,1,0)</f>
        <v>1</v>
      </c>
      <c r="C824" s="34" t="n">
        <f aca="true">-LN(RAND())/$D$2</f>
        <v>0.343842312922204</v>
      </c>
      <c r="D824" s="46" t="n">
        <f aca="false">D823+C824</f>
        <v>1232.39190238996</v>
      </c>
      <c r="E824" s="47" t="e">
        <f aca="false">MAX($D$3,(1+P823-VLOOKUP(VALUE(D824),$J$18:$Q823,7,TRUE()))*$D$3)</f>
        <v>#N/A</v>
      </c>
      <c r="F824" s="47" t="e">
        <f aca="false">MAX($D$4,(1+Q823-VLOOKUP(VALUE(D824),$M$18:$Q823,5,TRUE()))*$D$4)</f>
        <v>#N/A</v>
      </c>
      <c r="G824" s="48" t="n">
        <v>0.5</v>
      </c>
      <c r="H824" s="46" t="e">
        <f aca="true">IF((B824=1),(IF((F824&lt;E824),1,(IF((F824=E824),(IF(RAND()&lt;G824,1,0)),0)))),(IF((RAND()&lt;G824),1,0)))</f>
        <v>#N/A</v>
      </c>
      <c r="I824" s="46" t="e">
        <f aca="true">IF((H824=1),0,$D$3+$D$5*(RAND()-0.5))</f>
        <v>#N/A</v>
      </c>
      <c r="J824" s="46" t="e">
        <f aca="false">I824+MAX(D824,J823)</f>
        <v>#N/A</v>
      </c>
      <c r="K824" s="46" t="e">
        <f aca="false">IF((H824=0),J824-D824,0)</f>
        <v>#N/A</v>
      </c>
      <c r="L824" s="46" t="e">
        <f aca="true">IF(($H824=0),0,$D$4+$D$5*(RAND()-0.5))</f>
        <v>#N/A</v>
      </c>
      <c r="M824" s="46" t="e">
        <f aca="false">L824+MAX(D824,M823)</f>
        <v>#N/A</v>
      </c>
      <c r="N824" s="46" t="e">
        <f aca="false">IF((H824=1),M824-D824,0)</f>
        <v>#N/A</v>
      </c>
      <c r="O824" s="29" t="n">
        <v>807</v>
      </c>
      <c r="P824" s="49" t="e">
        <f aca="false">IF((Arterial=0),P823+1,P823)</f>
        <v>#N/A</v>
      </c>
      <c r="Q824" s="49" t="e">
        <f aca="false">IF((Arterial=1),Q823+1,Q823)</f>
        <v>#N/A</v>
      </c>
      <c r="R824" s="50" t="n">
        <f aca="false">IF((RESET=1),0,R824+K824)</f>
        <v>0</v>
      </c>
      <c r="S824" s="19" t="n">
        <f aca="false">IF(RESET=1,0,S824+N824)</f>
        <v>0</v>
      </c>
      <c r="T824" s="0" t="n">
        <f aca="false">IF(RESET=1,0,T824+IF(H824=0,1,0))</f>
        <v>0</v>
      </c>
      <c r="U824" s="0" t="n">
        <f aca="false">IF(RESET=1,0,U824+H824)</f>
        <v>0</v>
      </c>
      <c r="V824" s="19" t="n">
        <f aca="false">R824/(T824+0.00001)</f>
        <v>0</v>
      </c>
      <c r="W824" s="19" t="n">
        <f aca="false">S824/(U824+0.0001)</f>
        <v>0</v>
      </c>
      <c r="X824" s="47" t="e">
        <f aca="false">IF(Informed=1,K824,0)</f>
        <v>#N/A</v>
      </c>
      <c r="Y824" s="47" t="n">
        <f aca="false">IF(Informed=0,K824,0)</f>
        <v>0</v>
      </c>
      <c r="Z824" s="47" t="e">
        <f aca="false">IF(Informed=1,N824,0)</f>
        <v>#N/A</v>
      </c>
      <c r="AA824" s="47" t="n">
        <f aca="false">IF(Informed=0,N824,0)</f>
        <v>0</v>
      </c>
      <c r="AB824" s="51" t="e">
        <f aca="false">IF(Arterial=0,IF(Informed=1,1,0),0)</f>
        <v>#N/A</v>
      </c>
      <c r="AC824" s="51" t="e">
        <f aca="false">IF(Arterial=0,IF(Informed=0,1,0),0)</f>
        <v>#N/A</v>
      </c>
      <c r="AD824" s="51" t="e">
        <f aca="false">IF(Arterial=1,IF(Informed=1,1,0),0)</f>
        <v>#N/A</v>
      </c>
      <c r="AE824" s="51" t="e">
        <f aca="false">IF(Arterial=1,IF(Informed=0,1,0),0)</f>
        <v>#N/A</v>
      </c>
      <c r="AF824" s="44" t="e">
        <f aca="false">IF(AB824=1,(X824-G$1030)^2,0)</f>
        <v>#N/A</v>
      </c>
      <c r="AG824" s="44" t="e">
        <f aca="false">IF(AC824=1,(Y824-H$1030)^2,0)</f>
        <v>#N/A</v>
      </c>
      <c r="AH824" s="44" t="e">
        <f aca="false">IF(AD824=1,(Z824-I$1030)^2,0)</f>
        <v>#N/A</v>
      </c>
      <c r="AI824" s="44" t="e">
        <f aca="false">IF(AE824=1,(AA824-J$1030)^2,0)</f>
        <v>#N/A</v>
      </c>
    </row>
    <row r="825" customFormat="false" ht="12" hidden="false" customHeight="false" outlineLevel="0" collapsed="false">
      <c r="A825" s="29" t="n">
        <v>808</v>
      </c>
      <c r="B825" s="45" t="n">
        <f aca="true">IF(RAND()&lt;$D$8,1,0)</f>
        <v>1</v>
      </c>
      <c r="C825" s="34" t="n">
        <f aca="true">-LN(RAND())/$D$2</f>
        <v>0.463217330888853</v>
      </c>
      <c r="D825" s="46" t="n">
        <f aca="false">D824+C825</f>
        <v>1232.85511972085</v>
      </c>
      <c r="E825" s="47" t="e">
        <f aca="false">MAX($D$3,(1+P824-VLOOKUP(VALUE(D825),$J$18:$Q824,7,TRUE()))*$D$3)</f>
        <v>#N/A</v>
      </c>
      <c r="F825" s="47" t="e">
        <f aca="false">MAX($D$4,(1+Q824-VLOOKUP(VALUE(D825),$M$18:$Q824,5,TRUE()))*$D$4)</f>
        <v>#N/A</v>
      </c>
      <c r="G825" s="48" t="n">
        <v>0.5</v>
      </c>
      <c r="H825" s="46" t="e">
        <f aca="true">IF((B825=1),(IF((F825&lt;E825),1,(IF((F825=E825),(IF(RAND()&lt;G825,1,0)),0)))),(IF((RAND()&lt;G825),1,0)))</f>
        <v>#N/A</v>
      </c>
      <c r="I825" s="46" t="e">
        <f aca="true">IF((H825=1),0,$D$3+$D$5*(RAND()-0.5))</f>
        <v>#N/A</v>
      </c>
      <c r="J825" s="46" t="e">
        <f aca="false">I825+MAX(D825,J824)</f>
        <v>#N/A</v>
      </c>
      <c r="K825" s="46" t="e">
        <f aca="false">IF((H825=0),J825-D825,0)</f>
        <v>#N/A</v>
      </c>
      <c r="L825" s="46" t="e">
        <f aca="true">IF(($H825=0),0,$D$4+$D$5*(RAND()-0.5))</f>
        <v>#N/A</v>
      </c>
      <c r="M825" s="46" t="e">
        <f aca="false">L825+MAX(D825,M824)</f>
        <v>#N/A</v>
      </c>
      <c r="N825" s="46" t="e">
        <f aca="false">IF((H825=1),M825-D825,0)</f>
        <v>#N/A</v>
      </c>
      <c r="O825" s="29" t="n">
        <v>808</v>
      </c>
      <c r="P825" s="49" t="e">
        <f aca="false">IF((Arterial=0),P824+1,P824)</f>
        <v>#N/A</v>
      </c>
      <c r="Q825" s="49" t="e">
        <f aca="false">IF((Arterial=1),Q824+1,Q824)</f>
        <v>#N/A</v>
      </c>
      <c r="R825" s="50" t="n">
        <f aca="false">IF((RESET=1),0,R825+K825)</f>
        <v>0</v>
      </c>
      <c r="S825" s="19" t="n">
        <f aca="false">IF(RESET=1,0,S825+N825)</f>
        <v>0</v>
      </c>
      <c r="T825" s="0" t="n">
        <f aca="false">IF(RESET=1,0,T825+IF(H825=0,1,0))</f>
        <v>0</v>
      </c>
      <c r="U825" s="0" t="n">
        <f aca="false">IF(RESET=1,0,U825+H825)</f>
        <v>0</v>
      </c>
      <c r="V825" s="19" t="n">
        <f aca="false">R825/(T825+0.00001)</f>
        <v>0</v>
      </c>
      <c r="W825" s="19" t="n">
        <f aca="false">S825/(U825+0.0001)</f>
        <v>0</v>
      </c>
      <c r="X825" s="47" t="e">
        <f aca="false">IF(Informed=1,K825,0)</f>
        <v>#N/A</v>
      </c>
      <c r="Y825" s="47" t="n">
        <f aca="false">IF(Informed=0,K825,0)</f>
        <v>0</v>
      </c>
      <c r="Z825" s="47" t="e">
        <f aca="false">IF(Informed=1,N825,0)</f>
        <v>#N/A</v>
      </c>
      <c r="AA825" s="47" t="n">
        <f aca="false">IF(Informed=0,N825,0)</f>
        <v>0</v>
      </c>
      <c r="AB825" s="51" t="e">
        <f aca="false">IF(Arterial=0,IF(Informed=1,1,0),0)</f>
        <v>#N/A</v>
      </c>
      <c r="AC825" s="51" t="e">
        <f aca="false">IF(Arterial=0,IF(Informed=0,1,0),0)</f>
        <v>#N/A</v>
      </c>
      <c r="AD825" s="51" t="e">
        <f aca="false">IF(Arterial=1,IF(Informed=1,1,0),0)</f>
        <v>#N/A</v>
      </c>
      <c r="AE825" s="51" t="e">
        <f aca="false">IF(Arterial=1,IF(Informed=0,1,0),0)</f>
        <v>#N/A</v>
      </c>
      <c r="AF825" s="44" t="e">
        <f aca="false">IF(AB825=1,(X825-G$1030)^2,0)</f>
        <v>#N/A</v>
      </c>
      <c r="AG825" s="44" t="e">
        <f aca="false">IF(AC825=1,(Y825-H$1030)^2,0)</f>
        <v>#N/A</v>
      </c>
      <c r="AH825" s="44" t="e">
        <f aca="false">IF(AD825=1,(Z825-I$1030)^2,0)</f>
        <v>#N/A</v>
      </c>
      <c r="AI825" s="44" t="e">
        <f aca="false">IF(AE825=1,(AA825-J$1030)^2,0)</f>
        <v>#N/A</v>
      </c>
    </row>
    <row r="826" customFormat="false" ht="12" hidden="false" customHeight="false" outlineLevel="0" collapsed="false">
      <c r="A826" s="29" t="n">
        <v>809</v>
      </c>
      <c r="B826" s="45" t="n">
        <f aca="true">IF(RAND()&lt;$D$8,1,0)</f>
        <v>1</v>
      </c>
      <c r="C826" s="34" t="n">
        <f aca="true">-LN(RAND())/$D$2</f>
        <v>0.375791071148471</v>
      </c>
      <c r="D826" s="46" t="n">
        <f aca="false">D825+C826</f>
        <v>1233.230910792</v>
      </c>
      <c r="E826" s="47" t="e">
        <f aca="false">MAX($D$3,(1+P825-VLOOKUP(VALUE(D826),$J$18:$Q825,7,TRUE()))*$D$3)</f>
        <v>#N/A</v>
      </c>
      <c r="F826" s="47" t="e">
        <f aca="false">MAX($D$4,(1+Q825-VLOOKUP(VALUE(D826),$M$18:$Q825,5,TRUE()))*$D$4)</f>
        <v>#N/A</v>
      </c>
      <c r="G826" s="48" t="n">
        <v>0.5</v>
      </c>
      <c r="H826" s="46" t="e">
        <f aca="true">IF((B826=1),(IF((F826&lt;E826),1,(IF((F826=E826),(IF(RAND()&lt;G826,1,0)),0)))),(IF((RAND()&lt;G826),1,0)))</f>
        <v>#N/A</v>
      </c>
      <c r="I826" s="46" t="e">
        <f aca="true">IF((H826=1),0,$D$3+$D$5*(RAND()-0.5))</f>
        <v>#N/A</v>
      </c>
      <c r="J826" s="46" t="e">
        <f aca="false">I826+MAX(D826,J825)</f>
        <v>#N/A</v>
      </c>
      <c r="K826" s="46" t="e">
        <f aca="false">IF((H826=0),J826-D826,0)</f>
        <v>#N/A</v>
      </c>
      <c r="L826" s="46" t="e">
        <f aca="true">IF(($H826=0),0,$D$4+$D$5*(RAND()-0.5))</f>
        <v>#N/A</v>
      </c>
      <c r="M826" s="46" t="e">
        <f aca="false">L826+MAX(D826,M825)</f>
        <v>#N/A</v>
      </c>
      <c r="N826" s="46" t="e">
        <f aca="false">IF((H826=1),M826-D826,0)</f>
        <v>#N/A</v>
      </c>
      <c r="O826" s="29" t="n">
        <v>809</v>
      </c>
      <c r="P826" s="49" t="e">
        <f aca="false">IF((Arterial=0),P825+1,P825)</f>
        <v>#N/A</v>
      </c>
      <c r="Q826" s="49" t="e">
        <f aca="false">IF((Arterial=1),Q825+1,Q825)</f>
        <v>#N/A</v>
      </c>
      <c r="R826" s="50" t="n">
        <f aca="false">IF((RESET=1),0,R826+K826)</f>
        <v>0</v>
      </c>
      <c r="S826" s="19" t="n">
        <f aca="false">IF(RESET=1,0,S826+N826)</f>
        <v>0</v>
      </c>
      <c r="T826" s="0" t="n">
        <f aca="false">IF(RESET=1,0,T826+IF(H826=0,1,0))</f>
        <v>0</v>
      </c>
      <c r="U826" s="0" t="n">
        <f aca="false">IF(RESET=1,0,U826+H826)</f>
        <v>0</v>
      </c>
      <c r="V826" s="19" t="n">
        <f aca="false">R826/(T826+0.00001)</f>
        <v>0</v>
      </c>
      <c r="W826" s="19" t="n">
        <f aca="false">S826/(U826+0.0001)</f>
        <v>0</v>
      </c>
      <c r="X826" s="47" t="e">
        <f aca="false">IF(Informed=1,K826,0)</f>
        <v>#N/A</v>
      </c>
      <c r="Y826" s="47" t="n">
        <f aca="false">IF(Informed=0,K826,0)</f>
        <v>0</v>
      </c>
      <c r="Z826" s="47" t="e">
        <f aca="false">IF(Informed=1,N826,0)</f>
        <v>#N/A</v>
      </c>
      <c r="AA826" s="47" t="n">
        <f aca="false">IF(Informed=0,N826,0)</f>
        <v>0</v>
      </c>
      <c r="AB826" s="51" t="e">
        <f aca="false">IF(Arterial=0,IF(Informed=1,1,0),0)</f>
        <v>#N/A</v>
      </c>
      <c r="AC826" s="51" t="e">
        <f aca="false">IF(Arterial=0,IF(Informed=0,1,0),0)</f>
        <v>#N/A</v>
      </c>
      <c r="AD826" s="51" t="e">
        <f aca="false">IF(Arterial=1,IF(Informed=1,1,0),0)</f>
        <v>#N/A</v>
      </c>
      <c r="AE826" s="51" t="e">
        <f aca="false">IF(Arterial=1,IF(Informed=0,1,0),0)</f>
        <v>#N/A</v>
      </c>
      <c r="AF826" s="44" t="e">
        <f aca="false">IF(AB826=1,(X826-G$1030)^2,0)</f>
        <v>#N/A</v>
      </c>
      <c r="AG826" s="44" t="e">
        <f aca="false">IF(AC826=1,(Y826-H$1030)^2,0)</f>
        <v>#N/A</v>
      </c>
      <c r="AH826" s="44" t="e">
        <f aca="false">IF(AD826=1,(Z826-I$1030)^2,0)</f>
        <v>#N/A</v>
      </c>
      <c r="AI826" s="44" t="e">
        <f aca="false">IF(AE826=1,(AA826-J$1030)^2,0)</f>
        <v>#N/A</v>
      </c>
    </row>
    <row r="827" customFormat="false" ht="12" hidden="false" customHeight="false" outlineLevel="0" collapsed="false">
      <c r="A827" s="29" t="n">
        <v>810</v>
      </c>
      <c r="B827" s="45" t="n">
        <f aca="true">IF(RAND()&lt;$D$8,1,0)</f>
        <v>1</v>
      </c>
      <c r="C827" s="34" t="n">
        <f aca="true">-LN(RAND())/$D$2</f>
        <v>3.0648594311157</v>
      </c>
      <c r="D827" s="46" t="n">
        <f aca="false">D826+C827</f>
        <v>1236.29577022311</v>
      </c>
      <c r="E827" s="47" t="e">
        <f aca="false">MAX($D$3,(1+P826-VLOOKUP(VALUE(D827),$J$18:$Q826,7,TRUE()))*$D$3)</f>
        <v>#N/A</v>
      </c>
      <c r="F827" s="47" t="e">
        <f aca="false">MAX($D$4,(1+Q826-VLOOKUP(VALUE(D827),$M$18:$Q826,5,TRUE()))*$D$4)</f>
        <v>#N/A</v>
      </c>
      <c r="G827" s="48" t="n">
        <v>0.5</v>
      </c>
      <c r="H827" s="46" t="e">
        <f aca="true">IF((B827=1),(IF((F827&lt;E827),1,(IF((F827=E827),(IF(RAND()&lt;G827,1,0)),0)))),(IF((RAND()&lt;G827),1,0)))</f>
        <v>#N/A</v>
      </c>
      <c r="I827" s="46" t="e">
        <f aca="true">IF((H827=1),0,$D$3+$D$5*(RAND()-0.5))</f>
        <v>#N/A</v>
      </c>
      <c r="J827" s="46" t="e">
        <f aca="false">I827+MAX(D827,J826)</f>
        <v>#N/A</v>
      </c>
      <c r="K827" s="46" t="e">
        <f aca="false">IF((H827=0),J827-D827,0)</f>
        <v>#N/A</v>
      </c>
      <c r="L827" s="46" t="e">
        <f aca="true">IF(($H827=0),0,$D$4+$D$5*(RAND()-0.5))</f>
        <v>#N/A</v>
      </c>
      <c r="M827" s="46" t="e">
        <f aca="false">L827+MAX(D827,M826)</f>
        <v>#N/A</v>
      </c>
      <c r="N827" s="46" t="e">
        <f aca="false">IF((H827=1),M827-D827,0)</f>
        <v>#N/A</v>
      </c>
      <c r="O827" s="29" t="n">
        <v>810</v>
      </c>
      <c r="P827" s="49" t="e">
        <f aca="false">IF((Arterial=0),P826+1,P826)</f>
        <v>#N/A</v>
      </c>
      <c r="Q827" s="49" t="e">
        <f aca="false">IF((Arterial=1),Q826+1,Q826)</f>
        <v>#N/A</v>
      </c>
      <c r="R827" s="50" t="n">
        <f aca="false">IF((RESET=1),0,R827+K827)</f>
        <v>0</v>
      </c>
      <c r="S827" s="19" t="n">
        <f aca="false">IF(RESET=1,0,S827+N827)</f>
        <v>0</v>
      </c>
      <c r="T827" s="0" t="n">
        <f aca="false">IF(RESET=1,0,T827+IF(H827=0,1,0))</f>
        <v>0</v>
      </c>
      <c r="U827" s="0" t="n">
        <f aca="false">IF(RESET=1,0,U827+H827)</f>
        <v>0</v>
      </c>
      <c r="V827" s="19" t="n">
        <f aca="false">R827/(T827+0.00001)</f>
        <v>0</v>
      </c>
      <c r="W827" s="19" t="n">
        <f aca="false">S827/(U827+0.0001)</f>
        <v>0</v>
      </c>
      <c r="X827" s="47" t="e">
        <f aca="false">IF(Informed=1,K827,0)</f>
        <v>#N/A</v>
      </c>
      <c r="Y827" s="47" t="n">
        <f aca="false">IF(Informed=0,K827,0)</f>
        <v>0</v>
      </c>
      <c r="Z827" s="47" t="e">
        <f aca="false">IF(Informed=1,N827,0)</f>
        <v>#N/A</v>
      </c>
      <c r="AA827" s="47" t="n">
        <f aca="false">IF(Informed=0,N827,0)</f>
        <v>0</v>
      </c>
      <c r="AB827" s="51" t="e">
        <f aca="false">IF(Arterial=0,IF(Informed=1,1,0),0)</f>
        <v>#N/A</v>
      </c>
      <c r="AC827" s="51" t="e">
        <f aca="false">IF(Arterial=0,IF(Informed=0,1,0),0)</f>
        <v>#N/A</v>
      </c>
      <c r="AD827" s="51" t="e">
        <f aca="false">IF(Arterial=1,IF(Informed=1,1,0),0)</f>
        <v>#N/A</v>
      </c>
      <c r="AE827" s="51" t="e">
        <f aca="false">IF(Arterial=1,IF(Informed=0,1,0),0)</f>
        <v>#N/A</v>
      </c>
      <c r="AF827" s="44" t="e">
        <f aca="false">IF(AB827=1,(X827-G$1030)^2,0)</f>
        <v>#N/A</v>
      </c>
      <c r="AG827" s="44" t="e">
        <f aca="false">IF(AC827=1,(Y827-H$1030)^2,0)</f>
        <v>#N/A</v>
      </c>
      <c r="AH827" s="44" t="e">
        <f aca="false">IF(AD827=1,(Z827-I$1030)^2,0)</f>
        <v>#N/A</v>
      </c>
      <c r="AI827" s="44" t="e">
        <f aca="false">IF(AE827=1,(AA827-J$1030)^2,0)</f>
        <v>#N/A</v>
      </c>
    </row>
    <row r="828" customFormat="false" ht="12" hidden="false" customHeight="false" outlineLevel="0" collapsed="false">
      <c r="A828" s="29" t="n">
        <v>811</v>
      </c>
      <c r="B828" s="45" t="n">
        <f aca="true">IF(RAND()&lt;$D$8,1,0)</f>
        <v>1</v>
      </c>
      <c r="C828" s="34" t="n">
        <f aca="true">-LN(RAND())/$D$2</f>
        <v>1.53172503902052</v>
      </c>
      <c r="D828" s="46" t="n">
        <f aca="false">D827+C828</f>
        <v>1237.82749526213</v>
      </c>
      <c r="E828" s="47" t="e">
        <f aca="false">MAX($D$3,(1+P827-VLOOKUP(VALUE(D828),$J$18:$Q827,7,TRUE()))*$D$3)</f>
        <v>#N/A</v>
      </c>
      <c r="F828" s="47" t="e">
        <f aca="false">MAX($D$4,(1+Q827-VLOOKUP(VALUE(D828),$M$18:$Q827,5,TRUE()))*$D$4)</f>
        <v>#N/A</v>
      </c>
      <c r="G828" s="48" t="n">
        <v>0.5</v>
      </c>
      <c r="H828" s="46" t="e">
        <f aca="true">IF((B828=1),(IF((F828&lt;E828),1,(IF((F828=E828),(IF(RAND()&lt;G828,1,0)),0)))),(IF((RAND()&lt;G828),1,0)))</f>
        <v>#N/A</v>
      </c>
      <c r="I828" s="46" t="e">
        <f aca="true">IF((H828=1),0,$D$3+$D$5*(RAND()-0.5))</f>
        <v>#N/A</v>
      </c>
      <c r="J828" s="46" t="e">
        <f aca="false">I828+MAX(D828,J827)</f>
        <v>#N/A</v>
      </c>
      <c r="K828" s="46" t="e">
        <f aca="false">IF((H828=0),J828-D828,0)</f>
        <v>#N/A</v>
      </c>
      <c r="L828" s="46" t="e">
        <f aca="true">IF(($H828=0),0,$D$4+$D$5*(RAND()-0.5))</f>
        <v>#N/A</v>
      </c>
      <c r="M828" s="46" t="e">
        <f aca="false">L828+MAX(D828,M827)</f>
        <v>#N/A</v>
      </c>
      <c r="N828" s="46" t="e">
        <f aca="false">IF((H828=1),M828-D828,0)</f>
        <v>#N/A</v>
      </c>
      <c r="O828" s="29" t="n">
        <v>811</v>
      </c>
      <c r="P828" s="49" t="e">
        <f aca="false">IF((Arterial=0),P827+1,P827)</f>
        <v>#N/A</v>
      </c>
      <c r="Q828" s="49" t="e">
        <f aca="false">IF((Arterial=1),Q827+1,Q827)</f>
        <v>#N/A</v>
      </c>
      <c r="R828" s="50" t="n">
        <f aca="false">IF((RESET=1),0,R828+K828)</f>
        <v>0</v>
      </c>
      <c r="S828" s="19" t="n">
        <f aca="false">IF(RESET=1,0,S828+N828)</f>
        <v>0</v>
      </c>
      <c r="T828" s="0" t="n">
        <f aca="false">IF(RESET=1,0,T828+IF(H828=0,1,0))</f>
        <v>0</v>
      </c>
      <c r="U828" s="0" t="n">
        <f aca="false">IF(RESET=1,0,U828+H828)</f>
        <v>0</v>
      </c>
      <c r="V828" s="19" t="n">
        <f aca="false">R828/(T828+0.00001)</f>
        <v>0</v>
      </c>
      <c r="W828" s="19" t="n">
        <f aca="false">S828/(U828+0.0001)</f>
        <v>0</v>
      </c>
      <c r="X828" s="47" t="e">
        <f aca="false">IF(Informed=1,K828,0)</f>
        <v>#N/A</v>
      </c>
      <c r="Y828" s="47" t="n">
        <f aca="false">IF(Informed=0,K828,0)</f>
        <v>0</v>
      </c>
      <c r="Z828" s="47" t="e">
        <f aca="false">IF(Informed=1,N828,0)</f>
        <v>#N/A</v>
      </c>
      <c r="AA828" s="47" t="n">
        <f aca="false">IF(Informed=0,N828,0)</f>
        <v>0</v>
      </c>
      <c r="AB828" s="51" t="e">
        <f aca="false">IF(Arterial=0,IF(Informed=1,1,0),0)</f>
        <v>#N/A</v>
      </c>
      <c r="AC828" s="51" t="e">
        <f aca="false">IF(Arterial=0,IF(Informed=0,1,0),0)</f>
        <v>#N/A</v>
      </c>
      <c r="AD828" s="51" t="e">
        <f aca="false">IF(Arterial=1,IF(Informed=1,1,0),0)</f>
        <v>#N/A</v>
      </c>
      <c r="AE828" s="51" t="e">
        <f aca="false">IF(Arterial=1,IF(Informed=0,1,0),0)</f>
        <v>#N/A</v>
      </c>
      <c r="AF828" s="44" t="e">
        <f aca="false">IF(AB828=1,(X828-G$1030)^2,0)</f>
        <v>#N/A</v>
      </c>
      <c r="AG828" s="44" t="e">
        <f aca="false">IF(AC828=1,(Y828-H$1030)^2,0)</f>
        <v>#N/A</v>
      </c>
      <c r="AH828" s="44" t="e">
        <f aca="false">IF(AD828=1,(Z828-I$1030)^2,0)</f>
        <v>#N/A</v>
      </c>
      <c r="AI828" s="44" t="e">
        <f aca="false">IF(AE828=1,(AA828-J$1030)^2,0)</f>
        <v>#N/A</v>
      </c>
    </row>
    <row r="829" customFormat="false" ht="12" hidden="false" customHeight="false" outlineLevel="0" collapsed="false">
      <c r="A829" s="29" t="n">
        <v>812</v>
      </c>
      <c r="B829" s="45" t="n">
        <f aca="true">IF(RAND()&lt;$D$8,1,0)</f>
        <v>1</v>
      </c>
      <c r="C829" s="34" t="n">
        <f aca="true">-LN(RAND())/$D$2</f>
        <v>0.191622739864224</v>
      </c>
      <c r="D829" s="46" t="n">
        <f aca="false">D828+C829</f>
        <v>1238.019118002</v>
      </c>
      <c r="E829" s="47" t="e">
        <f aca="false">MAX($D$3,(1+P828-VLOOKUP(VALUE(D829),$J$18:$Q828,7,TRUE()))*$D$3)</f>
        <v>#N/A</v>
      </c>
      <c r="F829" s="47" t="e">
        <f aca="false">MAX($D$4,(1+Q828-VLOOKUP(VALUE(D829),$M$18:$Q828,5,TRUE()))*$D$4)</f>
        <v>#N/A</v>
      </c>
      <c r="G829" s="48" t="n">
        <v>0.5</v>
      </c>
      <c r="H829" s="46" t="e">
        <f aca="true">IF((B829=1),(IF((F829&lt;E829),1,(IF((F829=E829),(IF(RAND()&lt;G829,1,0)),0)))),(IF((RAND()&lt;G829),1,0)))</f>
        <v>#N/A</v>
      </c>
      <c r="I829" s="46" t="e">
        <f aca="true">IF((H829=1),0,$D$3+$D$5*(RAND()-0.5))</f>
        <v>#N/A</v>
      </c>
      <c r="J829" s="46" t="e">
        <f aca="false">I829+MAX(D829,J828)</f>
        <v>#N/A</v>
      </c>
      <c r="K829" s="46" t="e">
        <f aca="false">IF((H829=0),J829-D829,0)</f>
        <v>#N/A</v>
      </c>
      <c r="L829" s="46" t="e">
        <f aca="true">IF(($H829=0),0,$D$4+$D$5*(RAND()-0.5))</f>
        <v>#N/A</v>
      </c>
      <c r="M829" s="46" t="e">
        <f aca="false">L829+MAX(D829,M828)</f>
        <v>#N/A</v>
      </c>
      <c r="N829" s="46" t="e">
        <f aca="false">IF((H829=1),M829-D829,0)</f>
        <v>#N/A</v>
      </c>
      <c r="O829" s="29" t="n">
        <v>812</v>
      </c>
      <c r="P829" s="49" t="e">
        <f aca="false">IF((Arterial=0),P828+1,P828)</f>
        <v>#N/A</v>
      </c>
      <c r="Q829" s="49" t="e">
        <f aca="false">IF((Arterial=1),Q828+1,Q828)</f>
        <v>#N/A</v>
      </c>
      <c r="R829" s="50" t="n">
        <f aca="false">IF((RESET=1),0,R829+K829)</f>
        <v>0</v>
      </c>
      <c r="S829" s="19" t="n">
        <f aca="false">IF(RESET=1,0,S829+N829)</f>
        <v>0</v>
      </c>
      <c r="T829" s="0" t="n">
        <f aca="false">IF(RESET=1,0,T829+IF(H829=0,1,0))</f>
        <v>0</v>
      </c>
      <c r="U829" s="0" t="n">
        <f aca="false">IF(RESET=1,0,U829+H829)</f>
        <v>0</v>
      </c>
      <c r="V829" s="19" t="n">
        <f aca="false">R829/(T829+0.00001)</f>
        <v>0</v>
      </c>
      <c r="W829" s="19" t="n">
        <f aca="false">S829/(U829+0.0001)</f>
        <v>0</v>
      </c>
      <c r="X829" s="47" t="e">
        <f aca="false">IF(Informed=1,K829,0)</f>
        <v>#N/A</v>
      </c>
      <c r="Y829" s="47" t="n">
        <f aca="false">IF(Informed=0,K829,0)</f>
        <v>0</v>
      </c>
      <c r="Z829" s="47" t="e">
        <f aca="false">IF(Informed=1,N829,0)</f>
        <v>#N/A</v>
      </c>
      <c r="AA829" s="47" t="n">
        <f aca="false">IF(Informed=0,N829,0)</f>
        <v>0</v>
      </c>
      <c r="AB829" s="51" t="e">
        <f aca="false">IF(Arterial=0,IF(Informed=1,1,0),0)</f>
        <v>#N/A</v>
      </c>
      <c r="AC829" s="51" t="e">
        <f aca="false">IF(Arterial=0,IF(Informed=0,1,0),0)</f>
        <v>#N/A</v>
      </c>
      <c r="AD829" s="51" t="e">
        <f aca="false">IF(Arterial=1,IF(Informed=1,1,0),0)</f>
        <v>#N/A</v>
      </c>
      <c r="AE829" s="51" t="e">
        <f aca="false">IF(Arterial=1,IF(Informed=0,1,0),0)</f>
        <v>#N/A</v>
      </c>
      <c r="AF829" s="44" t="e">
        <f aca="false">IF(AB829=1,(X829-G$1030)^2,0)</f>
        <v>#N/A</v>
      </c>
      <c r="AG829" s="44" t="e">
        <f aca="false">IF(AC829=1,(Y829-H$1030)^2,0)</f>
        <v>#N/A</v>
      </c>
      <c r="AH829" s="44" t="e">
        <f aca="false">IF(AD829=1,(Z829-I$1030)^2,0)</f>
        <v>#N/A</v>
      </c>
      <c r="AI829" s="44" t="e">
        <f aca="false">IF(AE829=1,(AA829-J$1030)^2,0)</f>
        <v>#N/A</v>
      </c>
    </row>
    <row r="830" customFormat="false" ht="12" hidden="false" customHeight="false" outlineLevel="0" collapsed="false">
      <c r="A830" s="29" t="n">
        <v>813</v>
      </c>
      <c r="B830" s="45" t="n">
        <f aca="true">IF(RAND()&lt;$D$8,1,0)</f>
        <v>1</v>
      </c>
      <c r="C830" s="34" t="n">
        <f aca="true">-LN(RAND())/$D$2</f>
        <v>3.06873616298299</v>
      </c>
      <c r="D830" s="46" t="n">
        <f aca="false">D829+C830</f>
        <v>1241.08785416498</v>
      </c>
      <c r="E830" s="47" t="e">
        <f aca="false">MAX($D$3,(1+P829-VLOOKUP(VALUE(D830),$J$18:$Q829,7,TRUE()))*$D$3)</f>
        <v>#N/A</v>
      </c>
      <c r="F830" s="47" t="e">
        <f aca="false">MAX($D$4,(1+Q829-VLOOKUP(VALUE(D830),$M$18:$Q829,5,TRUE()))*$D$4)</f>
        <v>#N/A</v>
      </c>
      <c r="G830" s="48" t="n">
        <v>0.5</v>
      </c>
      <c r="H830" s="46" t="e">
        <f aca="true">IF((B830=1),(IF((F830&lt;E830),1,(IF((F830=E830),(IF(RAND()&lt;G830,1,0)),0)))),(IF((RAND()&lt;G830),1,0)))</f>
        <v>#N/A</v>
      </c>
      <c r="I830" s="46" t="e">
        <f aca="true">IF((H830=1),0,$D$3+$D$5*(RAND()-0.5))</f>
        <v>#N/A</v>
      </c>
      <c r="J830" s="46" t="e">
        <f aca="false">I830+MAX(D830,J829)</f>
        <v>#N/A</v>
      </c>
      <c r="K830" s="46" t="e">
        <f aca="false">IF((H830=0),J830-D830,0)</f>
        <v>#N/A</v>
      </c>
      <c r="L830" s="46" t="e">
        <f aca="true">IF(($H830=0),0,$D$4+$D$5*(RAND()-0.5))</f>
        <v>#N/A</v>
      </c>
      <c r="M830" s="46" t="e">
        <f aca="false">L830+MAX(D830,M829)</f>
        <v>#N/A</v>
      </c>
      <c r="N830" s="46" t="e">
        <f aca="false">IF((H830=1),M830-D830,0)</f>
        <v>#N/A</v>
      </c>
      <c r="O830" s="29" t="n">
        <v>813</v>
      </c>
      <c r="P830" s="49" t="e">
        <f aca="false">IF((Arterial=0),P829+1,P829)</f>
        <v>#N/A</v>
      </c>
      <c r="Q830" s="49" t="e">
        <f aca="false">IF((Arterial=1),Q829+1,Q829)</f>
        <v>#N/A</v>
      </c>
      <c r="R830" s="50" t="n">
        <f aca="false">IF((RESET=1),0,R830+K830)</f>
        <v>0</v>
      </c>
      <c r="S830" s="19" t="n">
        <f aca="false">IF(RESET=1,0,S830+N830)</f>
        <v>0</v>
      </c>
      <c r="T830" s="0" t="n">
        <f aca="false">IF(RESET=1,0,T830+IF(H830=0,1,0))</f>
        <v>0</v>
      </c>
      <c r="U830" s="0" t="n">
        <f aca="false">IF(RESET=1,0,U830+H830)</f>
        <v>0</v>
      </c>
      <c r="V830" s="19" t="n">
        <f aca="false">R830/(T830+0.00001)</f>
        <v>0</v>
      </c>
      <c r="W830" s="19" t="n">
        <f aca="false">S830/(U830+0.0001)</f>
        <v>0</v>
      </c>
      <c r="X830" s="47" t="e">
        <f aca="false">IF(Informed=1,K830,0)</f>
        <v>#N/A</v>
      </c>
      <c r="Y830" s="47" t="n">
        <f aca="false">IF(Informed=0,K830,0)</f>
        <v>0</v>
      </c>
      <c r="Z830" s="47" t="e">
        <f aca="false">IF(Informed=1,N830,0)</f>
        <v>#N/A</v>
      </c>
      <c r="AA830" s="47" t="n">
        <f aca="false">IF(Informed=0,N830,0)</f>
        <v>0</v>
      </c>
      <c r="AB830" s="51" t="e">
        <f aca="false">IF(Arterial=0,IF(Informed=1,1,0),0)</f>
        <v>#N/A</v>
      </c>
      <c r="AC830" s="51" t="e">
        <f aca="false">IF(Arterial=0,IF(Informed=0,1,0),0)</f>
        <v>#N/A</v>
      </c>
      <c r="AD830" s="51" t="e">
        <f aca="false">IF(Arterial=1,IF(Informed=1,1,0),0)</f>
        <v>#N/A</v>
      </c>
      <c r="AE830" s="51" t="e">
        <f aca="false">IF(Arterial=1,IF(Informed=0,1,0),0)</f>
        <v>#N/A</v>
      </c>
      <c r="AF830" s="44" t="e">
        <f aca="false">IF(AB830=1,(X830-G$1030)^2,0)</f>
        <v>#N/A</v>
      </c>
      <c r="AG830" s="44" t="e">
        <f aca="false">IF(AC830=1,(Y830-H$1030)^2,0)</f>
        <v>#N/A</v>
      </c>
      <c r="AH830" s="44" t="e">
        <f aca="false">IF(AD830=1,(Z830-I$1030)^2,0)</f>
        <v>#N/A</v>
      </c>
      <c r="AI830" s="44" t="e">
        <f aca="false">IF(AE830=1,(AA830-J$1030)^2,0)</f>
        <v>#N/A</v>
      </c>
    </row>
    <row r="831" customFormat="false" ht="12" hidden="false" customHeight="false" outlineLevel="0" collapsed="false">
      <c r="A831" s="29" t="n">
        <v>814</v>
      </c>
      <c r="B831" s="45" t="n">
        <f aca="true">IF(RAND()&lt;$D$8,1,0)</f>
        <v>1</v>
      </c>
      <c r="C831" s="34" t="n">
        <f aca="true">-LN(RAND())/$D$2</f>
        <v>0.0983705312890214</v>
      </c>
      <c r="D831" s="46" t="n">
        <f aca="false">D830+C831</f>
        <v>1241.18622469627</v>
      </c>
      <c r="E831" s="47" t="e">
        <f aca="false">MAX($D$3,(1+P830-VLOOKUP(VALUE(D831),$J$18:$Q830,7,TRUE()))*$D$3)</f>
        <v>#N/A</v>
      </c>
      <c r="F831" s="47" t="e">
        <f aca="false">MAX($D$4,(1+Q830-VLOOKUP(VALUE(D831),$M$18:$Q830,5,TRUE()))*$D$4)</f>
        <v>#N/A</v>
      </c>
      <c r="G831" s="48" t="n">
        <v>0.5</v>
      </c>
      <c r="H831" s="46" t="e">
        <f aca="true">IF((B831=1),(IF((F831&lt;E831),1,(IF((F831=E831),(IF(RAND()&lt;G831,1,0)),0)))),(IF((RAND()&lt;G831),1,0)))</f>
        <v>#N/A</v>
      </c>
      <c r="I831" s="46" t="e">
        <f aca="true">IF((H831=1),0,$D$3+$D$5*(RAND()-0.5))</f>
        <v>#N/A</v>
      </c>
      <c r="J831" s="46" t="e">
        <f aca="false">I831+MAX(D831,J830)</f>
        <v>#N/A</v>
      </c>
      <c r="K831" s="46" t="e">
        <f aca="false">IF((H831=0),J831-D831,0)</f>
        <v>#N/A</v>
      </c>
      <c r="L831" s="46" t="e">
        <f aca="true">IF(($H831=0),0,$D$4+$D$5*(RAND()-0.5))</f>
        <v>#N/A</v>
      </c>
      <c r="M831" s="46" t="e">
        <f aca="false">L831+MAX(D831,M830)</f>
        <v>#N/A</v>
      </c>
      <c r="N831" s="46" t="e">
        <f aca="false">IF((H831=1),M831-D831,0)</f>
        <v>#N/A</v>
      </c>
      <c r="O831" s="29" t="n">
        <v>814</v>
      </c>
      <c r="P831" s="49" t="e">
        <f aca="false">IF((Arterial=0),P830+1,P830)</f>
        <v>#N/A</v>
      </c>
      <c r="Q831" s="49" t="e">
        <f aca="false">IF((Arterial=1),Q830+1,Q830)</f>
        <v>#N/A</v>
      </c>
      <c r="R831" s="50" t="n">
        <f aca="false">IF((RESET=1),0,R831+K831)</f>
        <v>0</v>
      </c>
      <c r="S831" s="19" t="n">
        <f aca="false">IF(RESET=1,0,S831+N831)</f>
        <v>0</v>
      </c>
      <c r="T831" s="0" t="n">
        <f aca="false">IF(RESET=1,0,T831+IF(H831=0,1,0))</f>
        <v>0</v>
      </c>
      <c r="U831" s="0" t="n">
        <f aca="false">IF(RESET=1,0,U831+H831)</f>
        <v>0</v>
      </c>
      <c r="V831" s="19" t="n">
        <f aca="false">R831/(T831+0.00001)</f>
        <v>0</v>
      </c>
      <c r="W831" s="19" t="n">
        <f aca="false">S831/(U831+0.0001)</f>
        <v>0</v>
      </c>
      <c r="X831" s="47" t="e">
        <f aca="false">IF(Informed=1,K831,0)</f>
        <v>#N/A</v>
      </c>
      <c r="Y831" s="47" t="n">
        <f aca="false">IF(Informed=0,K831,0)</f>
        <v>0</v>
      </c>
      <c r="Z831" s="47" t="e">
        <f aca="false">IF(Informed=1,N831,0)</f>
        <v>#N/A</v>
      </c>
      <c r="AA831" s="47" t="n">
        <f aca="false">IF(Informed=0,N831,0)</f>
        <v>0</v>
      </c>
      <c r="AB831" s="51" t="e">
        <f aca="false">IF(Arterial=0,IF(Informed=1,1,0),0)</f>
        <v>#N/A</v>
      </c>
      <c r="AC831" s="51" t="e">
        <f aca="false">IF(Arterial=0,IF(Informed=0,1,0),0)</f>
        <v>#N/A</v>
      </c>
      <c r="AD831" s="51" t="e">
        <f aca="false">IF(Arterial=1,IF(Informed=1,1,0),0)</f>
        <v>#N/A</v>
      </c>
      <c r="AE831" s="51" t="e">
        <f aca="false">IF(Arterial=1,IF(Informed=0,1,0),0)</f>
        <v>#N/A</v>
      </c>
      <c r="AF831" s="44" t="e">
        <f aca="false">IF(AB831=1,(X831-G$1030)^2,0)</f>
        <v>#N/A</v>
      </c>
      <c r="AG831" s="44" t="e">
        <f aca="false">IF(AC831=1,(Y831-H$1030)^2,0)</f>
        <v>#N/A</v>
      </c>
      <c r="AH831" s="44" t="e">
        <f aca="false">IF(AD831=1,(Z831-I$1030)^2,0)</f>
        <v>#N/A</v>
      </c>
      <c r="AI831" s="44" t="e">
        <f aca="false">IF(AE831=1,(AA831-J$1030)^2,0)</f>
        <v>#N/A</v>
      </c>
    </row>
    <row r="832" customFormat="false" ht="12" hidden="false" customHeight="false" outlineLevel="0" collapsed="false">
      <c r="A832" s="29" t="n">
        <v>815</v>
      </c>
      <c r="B832" s="45" t="n">
        <f aca="true">IF(RAND()&lt;$D$8,1,0)</f>
        <v>1</v>
      </c>
      <c r="C832" s="34" t="n">
        <f aca="true">-LN(RAND())/$D$2</f>
        <v>4.61020992695406</v>
      </c>
      <c r="D832" s="46" t="n">
        <f aca="false">D831+C832</f>
        <v>1245.79643462322</v>
      </c>
      <c r="E832" s="47" t="e">
        <f aca="false">MAX($D$3,(1+P831-VLOOKUP(VALUE(D832),$J$18:$Q831,7,TRUE()))*$D$3)</f>
        <v>#N/A</v>
      </c>
      <c r="F832" s="47" t="e">
        <f aca="false">MAX($D$4,(1+Q831-VLOOKUP(VALUE(D832),$M$18:$Q831,5,TRUE()))*$D$4)</f>
        <v>#N/A</v>
      </c>
      <c r="G832" s="48" t="n">
        <v>0.5</v>
      </c>
      <c r="H832" s="46" t="e">
        <f aca="true">IF((B832=1),(IF((F832&lt;E832),1,(IF((F832=E832),(IF(RAND()&lt;G832,1,0)),0)))),(IF((RAND()&lt;G832),1,0)))</f>
        <v>#N/A</v>
      </c>
      <c r="I832" s="46" t="e">
        <f aca="true">IF((H832=1),0,$D$3+$D$5*(RAND()-0.5))</f>
        <v>#N/A</v>
      </c>
      <c r="J832" s="46" t="e">
        <f aca="false">I832+MAX(D832,J831)</f>
        <v>#N/A</v>
      </c>
      <c r="K832" s="46" t="e">
        <f aca="false">IF((H832=0),J832-D832,0)</f>
        <v>#N/A</v>
      </c>
      <c r="L832" s="46" t="e">
        <f aca="true">IF(($H832=0),0,$D$4+$D$5*(RAND()-0.5))</f>
        <v>#N/A</v>
      </c>
      <c r="M832" s="46" t="e">
        <f aca="false">L832+MAX(D832,M831)</f>
        <v>#N/A</v>
      </c>
      <c r="N832" s="46" t="e">
        <f aca="false">IF((H832=1),M832-D832,0)</f>
        <v>#N/A</v>
      </c>
      <c r="O832" s="29" t="n">
        <v>815</v>
      </c>
      <c r="P832" s="49" t="e">
        <f aca="false">IF((Arterial=0),P831+1,P831)</f>
        <v>#N/A</v>
      </c>
      <c r="Q832" s="49" t="e">
        <f aca="false">IF((Arterial=1),Q831+1,Q831)</f>
        <v>#N/A</v>
      </c>
      <c r="R832" s="50" t="n">
        <f aca="false">IF((RESET=1),0,R832+K832)</f>
        <v>0</v>
      </c>
      <c r="S832" s="19" t="n">
        <f aca="false">IF(RESET=1,0,S832+N832)</f>
        <v>0</v>
      </c>
      <c r="T832" s="0" t="n">
        <f aca="false">IF(RESET=1,0,T832+IF(H832=0,1,0))</f>
        <v>0</v>
      </c>
      <c r="U832" s="0" t="n">
        <f aca="false">IF(RESET=1,0,U832+H832)</f>
        <v>0</v>
      </c>
      <c r="V832" s="19" t="n">
        <f aca="false">R832/(T832+0.00001)</f>
        <v>0</v>
      </c>
      <c r="W832" s="19" t="n">
        <f aca="false">S832/(U832+0.0001)</f>
        <v>0</v>
      </c>
      <c r="X832" s="47" t="e">
        <f aca="false">IF(Informed=1,K832,0)</f>
        <v>#N/A</v>
      </c>
      <c r="Y832" s="47" t="n">
        <f aca="false">IF(Informed=0,K832,0)</f>
        <v>0</v>
      </c>
      <c r="Z832" s="47" t="e">
        <f aca="false">IF(Informed=1,N832,0)</f>
        <v>#N/A</v>
      </c>
      <c r="AA832" s="47" t="n">
        <f aca="false">IF(Informed=0,N832,0)</f>
        <v>0</v>
      </c>
      <c r="AB832" s="51" t="e">
        <f aca="false">IF(Arterial=0,IF(Informed=1,1,0),0)</f>
        <v>#N/A</v>
      </c>
      <c r="AC832" s="51" t="e">
        <f aca="false">IF(Arterial=0,IF(Informed=0,1,0),0)</f>
        <v>#N/A</v>
      </c>
      <c r="AD832" s="51" t="e">
        <f aca="false">IF(Arterial=1,IF(Informed=1,1,0),0)</f>
        <v>#N/A</v>
      </c>
      <c r="AE832" s="51" t="e">
        <f aca="false">IF(Arterial=1,IF(Informed=0,1,0),0)</f>
        <v>#N/A</v>
      </c>
      <c r="AF832" s="44" t="e">
        <f aca="false">IF(AB832=1,(X832-G$1030)^2,0)</f>
        <v>#N/A</v>
      </c>
      <c r="AG832" s="44" t="e">
        <f aca="false">IF(AC832=1,(Y832-H$1030)^2,0)</f>
        <v>#N/A</v>
      </c>
      <c r="AH832" s="44" t="e">
        <f aca="false">IF(AD832=1,(Z832-I$1030)^2,0)</f>
        <v>#N/A</v>
      </c>
      <c r="AI832" s="44" t="e">
        <f aca="false">IF(AE832=1,(AA832-J$1030)^2,0)</f>
        <v>#N/A</v>
      </c>
    </row>
    <row r="833" customFormat="false" ht="12" hidden="false" customHeight="false" outlineLevel="0" collapsed="false">
      <c r="A833" s="29" t="n">
        <v>816</v>
      </c>
      <c r="B833" s="45" t="n">
        <f aca="true">IF(RAND()&lt;$D$8,1,0)</f>
        <v>1</v>
      </c>
      <c r="C833" s="34" t="n">
        <f aca="true">-LN(RAND())/$D$2</f>
        <v>1.52976593291108</v>
      </c>
      <c r="D833" s="46" t="n">
        <f aca="false">D832+C833</f>
        <v>1247.32620055614</v>
      </c>
      <c r="E833" s="47" t="e">
        <f aca="false">MAX($D$3,(1+P832-VLOOKUP(VALUE(D833),$J$18:$Q832,7,TRUE()))*$D$3)</f>
        <v>#N/A</v>
      </c>
      <c r="F833" s="47" t="e">
        <f aca="false">MAX($D$4,(1+Q832-VLOOKUP(VALUE(D833),$M$18:$Q832,5,TRUE()))*$D$4)</f>
        <v>#N/A</v>
      </c>
      <c r="G833" s="48" t="n">
        <v>0.5</v>
      </c>
      <c r="H833" s="46" t="e">
        <f aca="true">IF((B833=1),(IF((F833&lt;E833),1,(IF((F833=E833),(IF(RAND()&lt;G833,1,0)),0)))),(IF((RAND()&lt;G833),1,0)))</f>
        <v>#N/A</v>
      </c>
      <c r="I833" s="46" t="e">
        <f aca="true">IF((H833=1),0,$D$3+$D$5*(RAND()-0.5))</f>
        <v>#N/A</v>
      </c>
      <c r="J833" s="46" t="e">
        <f aca="false">I833+MAX(D833,J832)</f>
        <v>#N/A</v>
      </c>
      <c r="K833" s="46" t="e">
        <f aca="false">IF((H833=0),J833-D833,0)</f>
        <v>#N/A</v>
      </c>
      <c r="L833" s="46" t="e">
        <f aca="true">IF(($H833=0),0,$D$4+$D$5*(RAND()-0.5))</f>
        <v>#N/A</v>
      </c>
      <c r="M833" s="46" t="e">
        <f aca="false">L833+MAX(D833,M832)</f>
        <v>#N/A</v>
      </c>
      <c r="N833" s="46" t="e">
        <f aca="false">IF((H833=1),M833-D833,0)</f>
        <v>#N/A</v>
      </c>
      <c r="O833" s="29" t="n">
        <v>816</v>
      </c>
      <c r="P833" s="49" t="e">
        <f aca="false">IF((Arterial=0),P832+1,P832)</f>
        <v>#N/A</v>
      </c>
      <c r="Q833" s="49" t="e">
        <f aca="false">IF((Arterial=1),Q832+1,Q832)</f>
        <v>#N/A</v>
      </c>
      <c r="R833" s="50" t="n">
        <f aca="false">IF((RESET=1),0,R833+K833)</f>
        <v>0</v>
      </c>
      <c r="S833" s="19" t="n">
        <f aca="false">IF(RESET=1,0,S833+N833)</f>
        <v>0</v>
      </c>
      <c r="T833" s="0" t="n">
        <f aca="false">IF(RESET=1,0,T833+IF(H833=0,1,0))</f>
        <v>0</v>
      </c>
      <c r="U833" s="0" t="n">
        <f aca="false">IF(RESET=1,0,U833+H833)</f>
        <v>0</v>
      </c>
      <c r="V833" s="19" t="n">
        <f aca="false">R833/(T833+0.00001)</f>
        <v>0</v>
      </c>
      <c r="W833" s="19" t="n">
        <f aca="false">S833/(U833+0.0001)</f>
        <v>0</v>
      </c>
      <c r="X833" s="47" t="e">
        <f aca="false">IF(Informed=1,K833,0)</f>
        <v>#N/A</v>
      </c>
      <c r="Y833" s="47" t="n">
        <f aca="false">IF(Informed=0,K833,0)</f>
        <v>0</v>
      </c>
      <c r="Z833" s="47" t="e">
        <f aca="false">IF(Informed=1,N833,0)</f>
        <v>#N/A</v>
      </c>
      <c r="AA833" s="47" t="n">
        <f aca="false">IF(Informed=0,N833,0)</f>
        <v>0</v>
      </c>
      <c r="AB833" s="51" t="e">
        <f aca="false">IF(Arterial=0,IF(Informed=1,1,0),0)</f>
        <v>#N/A</v>
      </c>
      <c r="AC833" s="51" t="e">
        <f aca="false">IF(Arterial=0,IF(Informed=0,1,0),0)</f>
        <v>#N/A</v>
      </c>
      <c r="AD833" s="51" t="e">
        <f aca="false">IF(Arterial=1,IF(Informed=1,1,0),0)</f>
        <v>#N/A</v>
      </c>
      <c r="AE833" s="51" t="e">
        <f aca="false">IF(Arterial=1,IF(Informed=0,1,0),0)</f>
        <v>#N/A</v>
      </c>
      <c r="AF833" s="44" t="e">
        <f aca="false">IF(AB833=1,(X833-G$1030)^2,0)</f>
        <v>#N/A</v>
      </c>
      <c r="AG833" s="44" t="e">
        <f aca="false">IF(AC833=1,(Y833-H$1030)^2,0)</f>
        <v>#N/A</v>
      </c>
      <c r="AH833" s="44" t="e">
        <f aca="false">IF(AD833=1,(Z833-I$1030)^2,0)</f>
        <v>#N/A</v>
      </c>
      <c r="AI833" s="44" t="e">
        <f aca="false">IF(AE833=1,(AA833-J$1030)^2,0)</f>
        <v>#N/A</v>
      </c>
    </row>
    <row r="834" customFormat="false" ht="12" hidden="false" customHeight="false" outlineLevel="0" collapsed="false">
      <c r="A834" s="29" t="n">
        <v>817</v>
      </c>
      <c r="B834" s="45" t="n">
        <f aca="true">IF(RAND()&lt;$D$8,1,0)</f>
        <v>1</v>
      </c>
      <c r="C834" s="34" t="n">
        <f aca="true">-LN(RAND())/$D$2</f>
        <v>2.81604522331021</v>
      </c>
      <c r="D834" s="46" t="n">
        <f aca="false">D833+C834</f>
        <v>1250.14224577945</v>
      </c>
      <c r="E834" s="47" t="e">
        <f aca="false">MAX($D$3,(1+P833-VLOOKUP(VALUE(D834),$J$18:$Q833,7,TRUE()))*$D$3)</f>
        <v>#N/A</v>
      </c>
      <c r="F834" s="47" t="e">
        <f aca="false">MAX($D$4,(1+Q833-VLOOKUP(VALUE(D834),$M$18:$Q833,5,TRUE()))*$D$4)</f>
        <v>#N/A</v>
      </c>
      <c r="G834" s="48" t="n">
        <v>0.5</v>
      </c>
      <c r="H834" s="46" t="e">
        <f aca="true">IF((B834=1),(IF((F834&lt;E834),1,(IF((F834=E834),(IF(RAND()&lt;G834,1,0)),0)))),(IF((RAND()&lt;G834),1,0)))</f>
        <v>#N/A</v>
      </c>
      <c r="I834" s="46" t="e">
        <f aca="true">IF((H834=1),0,$D$3+$D$5*(RAND()-0.5))</f>
        <v>#N/A</v>
      </c>
      <c r="J834" s="46" t="e">
        <f aca="false">I834+MAX(D834,J833)</f>
        <v>#N/A</v>
      </c>
      <c r="K834" s="46" t="e">
        <f aca="false">IF((H834=0),J834-D834,0)</f>
        <v>#N/A</v>
      </c>
      <c r="L834" s="46" t="e">
        <f aca="true">IF(($H834=0),0,$D$4+$D$5*(RAND()-0.5))</f>
        <v>#N/A</v>
      </c>
      <c r="M834" s="46" t="e">
        <f aca="false">L834+MAX(D834,M833)</f>
        <v>#N/A</v>
      </c>
      <c r="N834" s="46" t="e">
        <f aca="false">IF((H834=1),M834-D834,0)</f>
        <v>#N/A</v>
      </c>
      <c r="O834" s="29" t="n">
        <v>817</v>
      </c>
      <c r="P834" s="49" t="e">
        <f aca="false">IF((Arterial=0),P833+1,P833)</f>
        <v>#N/A</v>
      </c>
      <c r="Q834" s="49" t="e">
        <f aca="false">IF((Arterial=1),Q833+1,Q833)</f>
        <v>#N/A</v>
      </c>
      <c r="R834" s="50" t="n">
        <f aca="false">IF((RESET=1),0,R834+K834)</f>
        <v>0</v>
      </c>
      <c r="S834" s="19" t="n">
        <f aca="false">IF(RESET=1,0,S834+N834)</f>
        <v>0</v>
      </c>
      <c r="T834" s="0" t="n">
        <f aca="false">IF(RESET=1,0,T834+IF(H834=0,1,0))</f>
        <v>0</v>
      </c>
      <c r="U834" s="0" t="n">
        <f aca="false">IF(RESET=1,0,U834+H834)</f>
        <v>0</v>
      </c>
      <c r="V834" s="19" t="n">
        <f aca="false">R834/(T834+0.00001)</f>
        <v>0</v>
      </c>
      <c r="W834" s="19" t="n">
        <f aca="false">S834/(U834+0.0001)</f>
        <v>0</v>
      </c>
      <c r="X834" s="47" t="e">
        <f aca="false">IF(Informed=1,K834,0)</f>
        <v>#N/A</v>
      </c>
      <c r="Y834" s="47" t="n">
        <f aca="false">IF(Informed=0,K834,0)</f>
        <v>0</v>
      </c>
      <c r="Z834" s="47" t="e">
        <f aca="false">IF(Informed=1,N834,0)</f>
        <v>#N/A</v>
      </c>
      <c r="AA834" s="47" t="n">
        <f aca="false">IF(Informed=0,N834,0)</f>
        <v>0</v>
      </c>
      <c r="AB834" s="51" t="e">
        <f aca="false">IF(Arterial=0,IF(Informed=1,1,0),0)</f>
        <v>#N/A</v>
      </c>
      <c r="AC834" s="51" t="e">
        <f aca="false">IF(Arterial=0,IF(Informed=0,1,0),0)</f>
        <v>#N/A</v>
      </c>
      <c r="AD834" s="51" t="e">
        <f aca="false">IF(Arterial=1,IF(Informed=1,1,0),0)</f>
        <v>#N/A</v>
      </c>
      <c r="AE834" s="51" t="e">
        <f aca="false">IF(Arterial=1,IF(Informed=0,1,0),0)</f>
        <v>#N/A</v>
      </c>
      <c r="AF834" s="44" t="e">
        <f aca="false">IF(AB834=1,(X834-G$1030)^2,0)</f>
        <v>#N/A</v>
      </c>
      <c r="AG834" s="44" t="e">
        <f aca="false">IF(AC834=1,(Y834-H$1030)^2,0)</f>
        <v>#N/A</v>
      </c>
      <c r="AH834" s="44" t="e">
        <f aca="false">IF(AD834=1,(Z834-I$1030)^2,0)</f>
        <v>#N/A</v>
      </c>
      <c r="AI834" s="44" t="e">
        <f aca="false">IF(AE834=1,(AA834-J$1030)^2,0)</f>
        <v>#N/A</v>
      </c>
    </row>
    <row r="835" customFormat="false" ht="12" hidden="false" customHeight="false" outlineLevel="0" collapsed="false">
      <c r="A835" s="29" t="n">
        <v>818</v>
      </c>
      <c r="B835" s="45" t="n">
        <f aca="true">IF(RAND()&lt;$D$8,1,0)</f>
        <v>1</v>
      </c>
      <c r="C835" s="34" t="n">
        <f aca="true">-LN(RAND())/$D$2</f>
        <v>0.853890450668271</v>
      </c>
      <c r="D835" s="46" t="n">
        <f aca="false">D834+C835</f>
        <v>1250.99613623011</v>
      </c>
      <c r="E835" s="47" t="e">
        <f aca="false">MAX($D$3,(1+P834-VLOOKUP(VALUE(D835),$J$18:$Q834,7,TRUE()))*$D$3)</f>
        <v>#N/A</v>
      </c>
      <c r="F835" s="47" t="e">
        <f aca="false">MAX($D$4,(1+Q834-VLOOKUP(VALUE(D835),$M$18:$Q834,5,TRUE()))*$D$4)</f>
        <v>#N/A</v>
      </c>
      <c r="G835" s="48" t="n">
        <v>0.5</v>
      </c>
      <c r="H835" s="46" t="e">
        <f aca="true">IF((B835=1),(IF((F835&lt;E835),1,(IF((F835=E835),(IF(RAND()&lt;G835,1,0)),0)))),(IF((RAND()&lt;G835),1,0)))</f>
        <v>#N/A</v>
      </c>
      <c r="I835" s="46" t="e">
        <f aca="true">IF((H835=1),0,$D$3+$D$5*(RAND()-0.5))</f>
        <v>#N/A</v>
      </c>
      <c r="J835" s="46" t="e">
        <f aca="false">I835+MAX(D835,J834)</f>
        <v>#N/A</v>
      </c>
      <c r="K835" s="46" t="e">
        <f aca="false">IF((H835=0),J835-D835,0)</f>
        <v>#N/A</v>
      </c>
      <c r="L835" s="46" t="e">
        <f aca="true">IF(($H835=0),0,$D$4+$D$5*(RAND()-0.5))</f>
        <v>#N/A</v>
      </c>
      <c r="M835" s="46" t="e">
        <f aca="false">L835+MAX(D835,M834)</f>
        <v>#N/A</v>
      </c>
      <c r="N835" s="46" t="e">
        <f aca="false">IF((H835=1),M835-D835,0)</f>
        <v>#N/A</v>
      </c>
      <c r="O835" s="29" t="n">
        <v>818</v>
      </c>
      <c r="P835" s="49" t="e">
        <f aca="false">IF((Arterial=0),P834+1,P834)</f>
        <v>#N/A</v>
      </c>
      <c r="Q835" s="49" t="e">
        <f aca="false">IF((Arterial=1),Q834+1,Q834)</f>
        <v>#N/A</v>
      </c>
      <c r="R835" s="50" t="n">
        <f aca="false">IF((RESET=1),0,R835+K835)</f>
        <v>0</v>
      </c>
      <c r="S835" s="19" t="n">
        <f aca="false">IF(RESET=1,0,S835+N835)</f>
        <v>0</v>
      </c>
      <c r="T835" s="0" t="n">
        <f aca="false">IF(RESET=1,0,T835+IF(H835=0,1,0))</f>
        <v>0</v>
      </c>
      <c r="U835" s="0" t="n">
        <f aca="false">IF(RESET=1,0,U835+H835)</f>
        <v>0</v>
      </c>
      <c r="V835" s="19" t="n">
        <f aca="false">R835/(T835+0.00001)</f>
        <v>0</v>
      </c>
      <c r="W835" s="19" t="n">
        <f aca="false">S835/(U835+0.0001)</f>
        <v>0</v>
      </c>
      <c r="X835" s="47" t="e">
        <f aca="false">IF(Informed=1,K835,0)</f>
        <v>#N/A</v>
      </c>
      <c r="Y835" s="47" t="n">
        <f aca="false">IF(Informed=0,K835,0)</f>
        <v>0</v>
      </c>
      <c r="Z835" s="47" t="e">
        <f aca="false">IF(Informed=1,N835,0)</f>
        <v>#N/A</v>
      </c>
      <c r="AA835" s="47" t="n">
        <f aca="false">IF(Informed=0,N835,0)</f>
        <v>0</v>
      </c>
      <c r="AB835" s="51" t="e">
        <f aca="false">IF(Arterial=0,IF(Informed=1,1,0),0)</f>
        <v>#N/A</v>
      </c>
      <c r="AC835" s="51" t="e">
        <f aca="false">IF(Arterial=0,IF(Informed=0,1,0),0)</f>
        <v>#N/A</v>
      </c>
      <c r="AD835" s="51" t="e">
        <f aca="false">IF(Arterial=1,IF(Informed=1,1,0),0)</f>
        <v>#N/A</v>
      </c>
      <c r="AE835" s="51" t="e">
        <f aca="false">IF(Arterial=1,IF(Informed=0,1,0),0)</f>
        <v>#N/A</v>
      </c>
      <c r="AF835" s="44" t="e">
        <f aca="false">IF(AB835=1,(X835-G$1030)^2,0)</f>
        <v>#N/A</v>
      </c>
      <c r="AG835" s="44" t="e">
        <f aca="false">IF(AC835=1,(Y835-H$1030)^2,0)</f>
        <v>#N/A</v>
      </c>
      <c r="AH835" s="44" t="e">
        <f aca="false">IF(AD835=1,(Z835-I$1030)^2,0)</f>
        <v>#N/A</v>
      </c>
      <c r="AI835" s="44" t="e">
        <f aca="false">IF(AE835=1,(AA835-J$1030)^2,0)</f>
        <v>#N/A</v>
      </c>
    </row>
    <row r="836" customFormat="false" ht="12" hidden="false" customHeight="false" outlineLevel="0" collapsed="false">
      <c r="A836" s="29" t="n">
        <v>819</v>
      </c>
      <c r="B836" s="45" t="n">
        <f aca="true">IF(RAND()&lt;$D$8,1,0)</f>
        <v>1</v>
      </c>
      <c r="C836" s="34" t="n">
        <f aca="true">-LN(RAND())/$D$2</f>
        <v>0.315646339113976</v>
      </c>
      <c r="D836" s="46" t="n">
        <f aca="false">D835+C836</f>
        <v>1251.31178256923</v>
      </c>
      <c r="E836" s="47" t="e">
        <f aca="false">MAX($D$3,(1+P835-VLOOKUP(VALUE(D836),$J$18:$Q835,7,TRUE()))*$D$3)</f>
        <v>#N/A</v>
      </c>
      <c r="F836" s="47" t="e">
        <f aca="false">MAX($D$4,(1+Q835-VLOOKUP(VALUE(D836),$M$18:$Q835,5,TRUE()))*$D$4)</f>
        <v>#N/A</v>
      </c>
      <c r="G836" s="48" t="n">
        <v>0.5</v>
      </c>
      <c r="H836" s="46" t="e">
        <f aca="true">IF((B836=1),(IF((F836&lt;E836),1,(IF((F836=E836),(IF(RAND()&lt;G836,1,0)),0)))),(IF((RAND()&lt;G836),1,0)))</f>
        <v>#N/A</v>
      </c>
      <c r="I836" s="46" t="e">
        <f aca="true">IF((H836=1),0,$D$3+$D$5*(RAND()-0.5))</f>
        <v>#N/A</v>
      </c>
      <c r="J836" s="46" t="e">
        <f aca="false">I836+MAX(D836,J835)</f>
        <v>#N/A</v>
      </c>
      <c r="K836" s="46" t="e">
        <f aca="false">IF((H836=0),J836-D836,0)</f>
        <v>#N/A</v>
      </c>
      <c r="L836" s="46" t="e">
        <f aca="true">IF(($H836=0),0,$D$4+$D$5*(RAND()-0.5))</f>
        <v>#N/A</v>
      </c>
      <c r="M836" s="46" t="e">
        <f aca="false">L836+MAX(D836,M835)</f>
        <v>#N/A</v>
      </c>
      <c r="N836" s="46" t="e">
        <f aca="false">IF((H836=1),M836-D836,0)</f>
        <v>#N/A</v>
      </c>
      <c r="O836" s="29" t="n">
        <v>819</v>
      </c>
      <c r="P836" s="49" t="e">
        <f aca="false">IF((Arterial=0),P835+1,P835)</f>
        <v>#N/A</v>
      </c>
      <c r="Q836" s="49" t="e">
        <f aca="false">IF((Arterial=1),Q835+1,Q835)</f>
        <v>#N/A</v>
      </c>
      <c r="R836" s="50" t="n">
        <f aca="false">IF((RESET=1),0,R836+K836)</f>
        <v>0</v>
      </c>
      <c r="S836" s="19" t="n">
        <f aca="false">IF(RESET=1,0,S836+N836)</f>
        <v>0</v>
      </c>
      <c r="T836" s="0" t="n">
        <f aca="false">IF(RESET=1,0,T836+IF(H836=0,1,0))</f>
        <v>0</v>
      </c>
      <c r="U836" s="0" t="n">
        <f aca="false">IF(RESET=1,0,U836+H836)</f>
        <v>0</v>
      </c>
      <c r="V836" s="19" t="n">
        <f aca="false">R836/(T836+0.00001)</f>
        <v>0</v>
      </c>
      <c r="W836" s="19" t="n">
        <f aca="false">S836/(U836+0.0001)</f>
        <v>0</v>
      </c>
      <c r="X836" s="47" t="e">
        <f aca="false">IF(Informed=1,K836,0)</f>
        <v>#N/A</v>
      </c>
      <c r="Y836" s="47" t="n">
        <f aca="false">IF(Informed=0,K836,0)</f>
        <v>0</v>
      </c>
      <c r="Z836" s="47" t="e">
        <f aca="false">IF(Informed=1,N836,0)</f>
        <v>#N/A</v>
      </c>
      <c r="AA836" s="47" t="n">
        <f aca="false">IF(Informed=0,N836,0)</f>
        <v>0</v>
      </c>
      <c r="AB836" s="51" t="e">
        <f aca="false">IF(Arterial=0,IF(Informed=1,1,0),0)</f>
        <v>#N/A</v>
      </c>
      <c r="AC836" s="51" t="e">
        <f aca="false">IF(Arterial=0,IF(Informed=0,1,0),0)</f>
        <v>#N/A</v>
      </c>
      <c r="AD836" s="51" t="e">
        <f aca="false">IF(Arterial=1,IF(Informed=1,1,0),0)</f>
        <v>#N/A</v>
      </c>
      <c r="AE836" s="51" t="e">
        <f aca="false">IF(Arterial=1,IF(Informed=0,1,0),0)</f>
        <v>#N/A</v>
      </c>
      <c r="AF836" s="44" t="e">
        <f aca="false">IF(AB836=1,(X836-G$1030)^2,0)</f>
        <v>#N/A</v>
      </c>
      <c r="AG836" s="44" t="e">
        <f aca="false">IF(AC836=1,(Y836-H$1030)^2,0)</f>
        <v>#N/A</v>
      </c>
      <c r="AH836" s="44" t="e">
        <f aca="false">IF(AD836=1,(Z836-I$1030)^2,0)</f>
        <v>#N/A</v>
      </c>
      <c r="AI836" s="44" t="e">
        <f aca="false">IF(AE836=1,(AA836-J$1030)^2,0)</f>
        <v>#N/A</v>
      </c>
    </row>
    <row r="837" customFormat="false" ht="12" hidden="false" customHeight="false" outlineLevel="0" collapsed="false">
      <c r="A837" s="29" t="n">
        <v>820</v>
      </c>
      <c r="B837" s="45" t="n">
        <f aca="true">IF(RAND()&lt;$D$8,1,0)</f>
        <v>1</v>
      </c>
      <c r="C837" s="34" t="n">
        <f aca="true">-LN(RAND())/$D$2</f>
        <v>0.735146390394626</v>
      </c>
      <c r="D837" s="46" t="n">
        <f aca="false">D836+C837</f>
        <v>1252.04692895962</v>
      </c>
      <c r="E837" s="47" t="e">
        <f aca="false">MAX($D$3,(1+P836-VLOOKUP(VALUE(D837),$J$18:$Q836,7,TRUE()))*$D$3)</f>
        <v>#N/A</v>
      </c>
      <c r="F837" s="47" t="e">
        <f aca="false">MAX($D$4,(1+Q836-VLOOKUP(VALUE(D837),$M$18:$Q836,5,TRUE()))*$D$4)</f>
        <v>#N/A</v>
      </c>
      <c r="G837" s="48" t="n">
        <v>0.5</v>
      </c>
      <c r="H837" s="46" t="e">
        <f aca="true">IF((B837=1),(IF((F837&lt;E837),1,(IF((F837=E837),(IF(RAND()&lt;G837,1,0)),0)))),(IF((RAND()&lt;G837),1,0)))</f>
        <v>#N/A</v>
      </c>
      <c r="I837" s="46" t="e">
        <f aca="true">IF((H837=1),0,$D$3+$D$5*(RAND()-0.5))</f>
        <v>#N/A</v>
      </c>
      <c r="J837" s="46" t="e">
        <f aca="false">I837+MAX(D837,J836)</f>
        <v>#N/A</v>
      </c>
      <c r="K837" s="46" t="e">
        <f aca="false">IF((H837=0),J837-D837,0)</f>
        <v>#N/A</v>
      </c>
      <c r="L837" s="46" t="e">
        <f aca="true">IF(($H837=0),0,$D$4+$D$5*(RAND()-0.5))</f>
        <v>#N/A</v>
      </c>
      <c r="M837" s="46" t="e">
        <f aca="false">L837+MAX(D837,M836)</f>
        <v>#N/A</v>
      </c>
      <c r="N837" s="46" t="e">
        <f aca="false">IF((H837=1),M837-D837,0)</f>
        <v>#N/A</v>
      </c>
      <c r="O837" s="29" t="n">
        <v>820</v>
      </c>
      <c r="P837" s="49" t="e">
        <f aca="false">IF((Arterial=0),P836+1,P836)</f>
        <v>#N/A</v>
      </c>
      <c r="Q837" s="49" t="e">
        <f aca="false">IF((Arterial=1),Q836+1,Q836)</f>
        <v>#N/A</v>
      </c>
      <c r="R837" s="50" t="n">
        <f aca="false">IF((RESET=1),0,R837+K837)</f>
        <v>0</v>
      </c>
      <c r="S837" s="19" t="n">
        <f aca="false">IF(RESET=1,0,S837+N837)</f>
        <v>0</v>
      </c>
      <c r="T837" s="0" t="n">
        <f aca="false">IF(RESET=1,0,T837+IF(H837=0,1,0))</f>
        <v>0</v>
      </c>
      <c r="U837" s="0" t="n">
        <f aca="false">IF(RESET=1,0,U837+H837)</f>
        <v>0</v>
      </c>
      <c r="V837" s="19" t="n">
        <f aca="false">R837/(T837+0.00001)</f>
        <v>0</v>
      </c>
      <c r="W837" s="19" t="n">
        <f aca="false">S837/(U837+0.0001)</f>
        <v>0</v>
      </c>
      <c r="X837" s="47" t="e">
        <f aca="false">IF(Informed=1,K837,0)</f>
        <v>#N/A</v>
      </c>
      <c r="Y837" s="47" t="n">
        <f aca="false">IF(Informed=0,K837,0)</f>
        <v>0</v>
      </c>
      <c r="Z837" s="47" t="e">
        <f aca="false">IF(Informed=1,N837,0)</f>
        <v>#N/A</v>
      </c>
      <c r="AA837" s="47" t="n">
        <f aca="false">IF(Informed=0,N837,0)</f>
        <v>0</v>
      </c>
      <c r="AB837" s="51" t="e">
        <f aca="false">IF(Arterial=0,IF(Informed=1,1,0),0)</f>
        <v>#N/A</v>
      </c>
      <c r="AC837" s="51" t="e">
        <f aca="false">IF(Arterial=0,IF(Informed=0,1,0),0)</f>
        <v>#N/A</v>
      </c>
      <c r="AD837" s="51" t="e">
        <f aca="false">IF(Arterial=1,IF(Informed=1,1,0),0)</f>
        <v>#N/A</v>
      </c>
      <c r="AE837" s="51" t="e">
        <f aca="false">IF(Arterial=1,IF(Informed=0,1,0),0)</f>
        <v>#N/A</v>
      </c>
      <c r="AF837" s="44" t="e">
        <f aca="false">IF(AB837=1,(X837-G$1030)^2,0)</f>
        <v>#N/A</v>
      </c>
      <c r="AG837" s="44" t="e">
        <f aca="false">IF(AC837=1,(Y837-H$1030)^2,0)</f>
        <v>#N/A</v>
      </c>
      <c r="AH837" s="44" t="e">
        <f aca="false">IF(AD837=1,(Z837-I$1030)^2,0)</f>
        <v>#N/A</v>
      </c>
      <c r="AI837" s="44" t="e">
        <f aca="false">IF(AE837=1,(AA837-J$1030)^2,0)</f>
        <v>#N/A</v>
      </c>
    </row>
    <row r="838" customFormat="false" ht="12" hidden="false" customHeight="false" outlineLevel="0" collapsed="false">
      <c r="A838" s="29" t="n">
        <v>821</v>
      </c>
      <c r="B838" s="45" t="n">
        <f aca="true">IF(RAND()&lt;$D$8,1,0)</f>
        <v>1</v>
      </c>
      <c r="C838" s="34" t="n">
        <f aca="true">-LN(RAND())/$D$2</f>
        <v>0.525030353221162</v>
      </c>
      <c r="D838" s="46" t="n">
        <f aca="false">D837+C838</f>
        <v>1252.57195931284</v>
      </c>
      <c r="E838" s="47" t="e">
        <f aca="false">MAX($D$3,(1+P837-VLOOKUP(VALUE(D838),$J$18:$Q837,7,TRUE()))*$D$3)</f>
        <v>#N/A</v>
      </c>
      <c r="F838" s="47" t="e">
        <f aca="false">MAX($D$4,(1+Q837-VLOOKUP(VALUE(D838),$M$18:$Q837,5,TRUE()))*$D$4)</f>
        <v>#N/A</v>
      </c>
      <c r="G838" s="48" t="n">
        <v>0.5</v>
      </c>
      <c r="H838" s="46" t="e">
        <f aca="true">IF((B838=1),(IF((F838&lt;E838),1,(IF((F838=E838),(IF(RAND()&lt;G838,1,0)),0)))),(IF((RAND()&lt;G838),1,0)))</f>
        <v>#N/A</v>
      </c>
      <c r="I838" s="46" t="e">
        <f aca="true">IF((H838=1),0,$D$3+$D$5*(RAND()-0.5))</f>
        <v>#N/A</v>
      </c>
      <c r="J838" s="46" t="e">
        <f aca="false">I838+MAX(D838,J837)</f>
        <v>#N/A</v>
      </c>
      <c r="K838" s="46" t="e">
        <f aca="false">IF((H838=0),J838-D838,0)</f>
        <v>#N/A</v>
      </c>
      <c r="L838" s="46" t="e">
        <f aca="true">IF(($H838=0),0,$D$4+$D$5*(RAND()-0.5))</f>
        <v>#N/A</v>
      </c>
      <c r="M838" s="46" t="e">
        <f aca="false">L838+MAX(D838,M837)</f>
        <v>#N/A</v>
      </c>
      <c r="N838" s="46" t="e">
        <f aca="false">IF((H838=1),M838-D838,0)</f>
        <v>#N/A</v>
      </c>
      <c r="O838" s="29" t="n">
        <v>821</v>
      </c>
      <c r="P838" s="49" t="e">
        <f aca="false">IF((Arterial=0),P837+1,P837)</f>
        <v>#N/A</v>
      </c>
      <c r="Q838" s="49" t="e">
        <f aca="false">IF((Arterial=1),Q837+1,Q837)</f>
        <v>#N/A</v>
      </c>
      <c r="R838" s="50" t="n">
        <f aca="false">IF((RESET=1),0,R838+K838)</f>
        <v>0</v>
      </c>
      <c r="S838" s="19" t="n">
        <f aca="false">IF(RESET=1,0,S838+N838)</f>
        <v>0</v>
      </c>
      <c r="T838" s="0" t="n">
        <f aca="false">IF(RESET=1,0,T838+IF(H838=0,1,0))</f>
        <v>0</v>
      </c>
      <c r="U838" s="0" t="n">
        <f aca="false">IF(RESET=1,0,U838+H838)</f>
        <v>0</v>
      </c>
      <c r="V838" s="19" t="n">
        <f aca="false">R838/(T838+0.00001)</f>
        <v>0</v>
      </c>
      <c r="W838" s="19" t="n">
        <f aca="false">S838/(U838+0.0001)</f>
        <v>0</v>
      </c>
      <c r="X838" s="47" t="e">
        <f aca="false">IF(Informed=1,K838,0)</f>
        <v>#N/A</v>
      </c>
      <c r="Y838" s="47" t="n">
        <f aca="false">IF(Informed=0,K838,0)</f>
        <v>0</v>
      </c>
      <c r="Z838" s="47" t="e">
        <f aca="false">IF(Informed=1,N838,0)</f>
        <v>#N/A</v>
      </c>
      <c r="AA838" s="47" t="n">
        <f aca="false">IF(Informed=0,N838,0)</f>
        <v>0</v>
      </c>
      <c r="AB838" s="51" t="e">
        <f aca="false">IF(Arterial=0,IF(Informed=1,1,0),0)</f>
        <v>#N/A</v>
      </c>
      <c r="AC838" s="51" t="e">
        <f aca="false">IF(Arterial=0,IF(Informed=0,1,0),0)</f>
        <v>#N/A</v>
      </c>
      <c r="AD838" s="51" t="e">
        <f aca="false">IF(Arterial=1,IF(Informed=1,1,0),0)</f>
        <v>#N/A</v>
      </c>
      <c r="AE838" s="51" t="e">
        <f aca="false">IF(Arterial=1,IF(Informed=0,1,0),0)</f>
        <v>#N/A</v>
      </c>
      <c r="AF838" s="44" t="e">
        <f aca="false">IF(AB838=1,(X838-G$1030)^2,0)</f>
        <v>#N/A</v>
      </c>
      <c r="AG838" s="44" t="e">
        <f aca="false">IF(AC838=1,(Y838-H$1030)^2,0)</f>
        <v>#N/A</v>
      </c>
      <c r="AH838" s="44" t="e">
        <f aca="false">IF(AD838=1,(Z838-I$1030)^2,0)</f>
        <v>#N/A</v>
      </c>
      <c r="AI838" s="44" t="e">
        <f aca="false">IF(AE838=1,(AA838-J$1030)^2,0)</f>
        <v>#N/A</v>
      </c>
    </row>
    <row r="839" customFormat="false" ht="12" hidden="false" customHeight="false" outlineLevel="0" collapsed="false">
      <c r="A839" s="29" t="n">
        <v>822</v>
      </c>
      <c r="B839" s="45" t="n">
        <f aca="true">IF(RAND()&lt;$D$8,1,0)</f>
        <v>1</v>
      </c>
      <c r="C839" s="34" t="n">
        <f aca="true">-LN(RAND())/$D$2</f>
        <v>0.595911171045492</v>
      </c>
      <c r="D839" s="46" t="n">
        <f aca="false">D838+C839</f>
        <v>1253.16787048389</v>
      </c>
      <c r="E839" s="47" t="e">
        <f aca="false">MAX($D$3,(1+P838-VLOOKUP(VALUE(D839),$J$18:$Q838,7,TRUE()))*$D$3)</f>
        <v>#N/A</v>
      </c>
      <c r="F839" s="47" t="e">
        <f aca="false">MAX($D$4,(1+Q838-VLOOKUP(VALUE(D839),$M$18:$Q838,5,TRUE()))*$D$4)</f>
        <v>#N/A</v>
      </c>
      <c r="G839" s="48" t="n">
        <v>0.5</v>
      </c>
      <c r="H839" s="46" t="e">
        <f aca="true">IF((B839=1),(IF((F839&lt;E839),1,(IF((F839=E839),(IF(RAND()&lt;G839,1,0)),0)))),(IF((RAND()&lt;G839),1,0)))</f>
        <v>#N/A</v>
      </c>
      <c r="I839" s="46" t="e">
        <f aca="true">IF((H839=1),0,$D$3+$D$5*(RAND()-0.5))</f>
        <v>#N/A</v>
      </c>
      <c r="J839" s="46" t="e">
        <f aca="false">I839+MAX(D839,J838)</f>
        <v>#N/A</v>
      </c>
      <c r="K839" s="46" t="e">
        <f aca="false">IF((H839=0),J839-D839,0)</f>
        <v>#N/A</v>
      </c>
      <c r="L839" s="46" t="e">
        <f aca="true">IF(($H839=0),0,$D$4+$D$5*(RAND()-0.5))</f>
        <v>#N/A</v>
      </c>
      <c r="M839" s="46" t="e">
        <f aca="false">L839+MAX(D839,M838)</f>
        <v>#N/A</v>
      </c>
      <c r="N839" s="46" t="e">
        <f aca="false">IF((H839=1),M839-D839,0)</f>
        <v>#N/A</v>
      </c>
      <c r="O839" s="29" t="n">
        <v>822</v>
      </c>
      <c r="P839" s="49" t="e">
        <f aca="false">IF((Arterial=0),P838+1,P838)</f>
        <v>#N/A</v>
      </c>
      <c r="Q839" s="49" t="e">
        <f aca="false">IF((Arterial=1),Q838+1,Q838)</f>
        <v>#N/A</v>
      </c>
      <c r="R839" s="50" t="n">
        <f aca="false">IF((RESET=1),0,R839+K839)</f>
        <v>0</v>
      </c>
      <c r="S839" s="19" t="n">
        <f aca="false">IF(RESET=1,0,S839+N839)</f>
        <v>0</v>
      </c>
      <c r="T839" s="0" t="n">
        <f aca="false">IF(RESET=1,0,T839+IF(H839=0,1,0))</f>
        <v>0</v>
      </c>
      <c r="U839" s="0" t="n">
        <f aca="false">IF(RESET=1,0,U839+H839)</f>
        <v>0</v>
      </c>
      <c r="V839" s="19" t="n">
        <f aca="false">R839/(T839+0.00001)</f>
        <v>0</v>
      </c>
      <c r="W839" s="19" t="n">
        <f aca="false">S839/(U839+0.0001)</f>
        <v>0</v>
      </c>
      <c r="X839" s="47" t="e">
        <f aca="false">IF(Informed=1,K839,0)</f>
        <v>#N/A</v>
      </c>
      <c r="Y839" s="47" t="n">
        <f aca="false">IF(Informed=0,K839,0)</f>
        <v>0</v>
      </c>
      <c r="Z839" s="47" t="e">
        <f aca="false">IF(Informed=1,N839,0)</f>
        <v>#N/A</v>
      </c>
      <c r="AA839" s="47" t="n">
        <f aca="false">IF(Informed=0,N839,0)</f>
        <v>0</v>
      </c>
      <c r="AB839" s="51" t="e">
        <f aca="false">IF(Arterial=0,IF(Informed=1,1,0),0)</f>
        <v>#N/A</v>
      </c>
      <c r="AC839" s="51" t="e">
        <f aca="false">IF(Arterial=0,IF(Informed=0,1,0),0)</f>
        <v>#N/A</v>
      </c>
      <c r="AD839" s="51" t="e">
        <f aca="false">IF(Arterial=1,IF(Informed=1,1,0),0)</f>
        <v>#N/A</v>
      </c>
      <c r="AE839" s="51" t="e">
        <f aca="false">IF(Arterial=1,IF(Informed=0,1,0),0)</f>
        <v>#N/A</v>
      </c>
      <c r="AF839" s="44" t="e">
        <f aca="false">IF(AB839=1,(X839-G$1030)^2,0)</f>
        <v>#N/A</v>
      </c>
      <c r="AG839" s="44" t="e">
        <f aca="false">IF(AC839=1,(Y839-H$1030)^2,0)</f>
        <v>#N/A</v>
      </c>
      <c r="AH839" s="44" t="e">
        <f aca="false">IF(AD839=1,(Z839-I$1030)^2,0)</f>
        <v>#N/A</v>
      </c>
      <c r="AI839" s="44" t="e">
        <f aca="false">IF(AE839=1,(AA839-J$1030)^2,0)</f>
        <v>#N/A</v>
      </c>
    </row>
    <row r="840" customFormat="false" ht="12" hidden="false" customHeight="false" outlineLevel="0" collapsed="false">
      <c r="A840" s="29" t="n">
        <v>823</v>
      </c>
      <c r="B840" s="45" t="n">
        <f aca="true">IF(RAND()&lt;$D$8,1,0)</f>
        <v>1</v>
      </c>
      <c r="C840" s="34" t="n">
        <f aca="true">-LN(RAND())/$D$2</f>
        <v>1.9054506822085</v>
      </c>
      <c r="D840" s="46" t="n">
        <f aca="false">D839+C840</f>
        <v>1255.0733211661</v>
      </c>
      <c r="E840" s="47" t="e">
        <f aca="false">MAX($D$3,(1+P839-VLOOKUP(VALUE(D840),$J$18:$Q839,7,TRUE()))*$D$3)</f>
        <v>#N/A</v>
      </c>
      <c r="F840" s="47" t="e">
        <f aca="false">MAX($D$4,(1+Q839-VLOOKUP(VALUE(D840),$M$18:$Q839,5,TRUE()))*$D$4)</f>
        <v>#N/A</v>
      </c>
      <c r="G840" s="48" t="n">
        <v>0.5</v>
      </c>
      <c r="H840" s="46" t="e">
        <f aca="true">IF((B840=1),(IF((F840&lt;E840),1,(IF((F840=E840),(IF(RAND()&lt;G840,1,0)),0)))),(IF((RAND()&lt;G840),1,0)))</f>
        <v>#N/A</v>
      </c>
      <c r="I840" s="46" t="e">
        <f aca="true">IF((H840=1),0,$D$3+$D$5*(RAND()-0.5))</f>
        <v>#N/A</v>
      </c>
      <c r="J840" s="46" t="e">
        <f aca="false">I840+MAX(D840,J839)</f>
        <v>#N/A</v>
      </c>
      <c r="K840" s="46" t="e">
        <f aca="false">IF((H840=0),J840-D840,0)</f>
        <v>#N/A</v>
      </c>
      <c r="L840" s="46" t="e">
        <f aca="true">IF(($H840=0),0,$D$4+$D$5*(RAND()-0.5))</f>
        <v>#N/A</v>
      </c>
      <c r="M840" s="46" t="e">
        <f aca="false">L840+MAX(D840,M839)</f>
        <v>#N/A</v>
      </c>
      <c r="N840" s="46" t="e">
        <f aca="false">IF((H840=1),M840-D840,0)</f>
        <v>#N/A</v>
      </c>
      <c r="O840" s="29" t="n">
        <v>823</v>
      </c>
      <c r="P840" s="49" t="e">
        <f aca="false">IF((Arterial=0),P839+1,P839)</f>
        <v>#N/A</v>
      </c>
      <c r="Q840" s="49" t="e">
        <f aca="false">IF((Arterial=1),Q839+1,Q839)</f>
        <v>#N/A</v>
      </c>
      <c r="R840" s="50" t="n">
        <f aca="false">IF((RESET=1),0,R840+K840)</f>
        <v>0</v>
      </c>
      <c r="S840" s="19" t="n">
        <f aca="false">IF(RESET=1,0,S840+N840)</f>
        <v>0</v>
      </c>
      <c r="T840" s="0" t="n">
        <f aca="false">IF(RESET=1,0,T840+IF(H840=0,1,0))</f>
        <v>0</v>
      </c>
      <c r="U840" s="0" t="n">
        <f aca="false">IF(RESET=1,0,U840+H840)</f>
        <v>0</v>
      </c>
      <c r="V840" s="19" t="n">
        <f aca="false">R840/(T840+0.00001)</f>
        <v>0</v>
      </c>
      <c r="W840" s="19" t="n">
        <f aca="false">S840/(U840+0.0001)</f>
        <v>0</v>
      </c>
      <c r="X840" s="47" t="e">
        <f aca="false">IF(Informed=1,K840,0)</f>
        <v>#N/A</v>
      </c>
      <c r="Y840" s="47" t="n">
        <f aca="false">IF(Informed=0,K840,0)</f>
        <v>0</v>
      </c>
      <c r="Z840" s="47" t="e">
        <f aca="false">IF(Informed=1,N840,0)</f>
        <v>#N/A</v>
      </c>
      <c r="AA840" s="47" t="n">
        <f aca="false">IF(Informed=0,N840,0)</f>
        <v>0</v>
      </c>
      <c r="AB840" s="51" t="e">
        <f aca="false">IF(Arterial=0,IF(Informed=1,1,0),0)</f>
        <v>#N/A</v>
      </c>
      <c r="AC840" s="51" t="e">
        <f aca="false">IF(Arterial=0,IF(Informed=0,1,0),0)</f>
        <v>#N/A</v>
      </c>
      <c r="AD840" s="51" t="e">
        <f aca="false">IF(Arterial=1,IF(Informed=1,1,0),0)</f>
        <v>#N/A</v>
      </c>
      <c r="AE840" s="51" t="e">
        <f aca="false">IF(Arterial=1,IF(Informed=0,1,0),0)</f>
        <v>#N/A</v>
      </c>
      <c r="AF840" s="44" t="e">
        <f aca="false">IF(AB840=1,(X840-G$1030)^2,0)</f>
        <v>#N/A</v>
      </c>
      <c r="AG840" s="44" t="e">
        <f aca="false">IF(AC840=1,(Y840-H$1030)^2,0)</f>
        <v>#N/A</v>
      </c>
      <c r="AH840" s="44" t="e">
        <f aca="false">IF(AD840=1,(Z840-I$1030)^2,0)</f>
        <v>#N/A</v>
      </c>
      <c r="AI840" s="44" t="e">
        <f aca="false">IF(AE840=1,(AA840-J$1030)^2,0)</f>
        <v>#N/A</v>
      </c>
    </row>
    <row r="841" customFormat="false" ht="12" hidden="false" customHeight="false" outlineLevel="0" collapsed="false">
      <c r="A841" s="29" t="n">
        <v>824</v>
      </c>
      <c r="B841" s="45" t="n">
        <f aca="true">IF(RAND()&lt;$D$8,1,0)</f>
        <v>1</v>
      </c>
      <c r="C841" s="34" t="n">
        <f aca="true">-LN(RAND())/$D$2</f>
        <v>4.63277865024591</v>
      </c>
      <c r="D841" s="46" t="n">
        <f aca="false">D840+C841</f>
        <v>1259.70609981634</v>
      </c>
      <c r="E841" s="47" t="e">
        <f aca="false">MAX($D$3,(1+P840-VLOOKUP(VALUE(D841),$J$18:$Q840,7,TRUE()))*$D$3)</f>
        <v>#N/A</v>
      </c>
      <c r="F841" s="47" t="e">
        <f aca="false">MAX($D$4,(1+Q840-VLOOKUP(VALUE(D841),$M$18:$Q840,5,TRUE()))*$D$4)</f>
        <v>#N/A</v>
      </c>
      <c r="G841" s="48" t="n">
        <v>0.5</v>
      </c>
      <c r="H841" s="46" t="e">
        <f aca="true">IF((B841=1),(IF((F841&lt;E841),1,(IF((F841=E841),(IF(RAND()&lt;G841,1,0)),0)))),(IF((RAND()&lt;G841),1,0)))</f>
        <v>#N/A</v>
      </c>
      <c r="I841" s="46" t="e">
        <f aca="true">IF((H841=1),0,$D$3+$D$5*(RAND()-0.5))</f>
        <v>#N/A</v>
      </c>
      <c r="J841" s="46" t="e">
        <f aca="false">I841+MAX(D841,J840)</f>
        <v>#N/A</v>
      </c>
      <c r="K841" s="46" t="e">
        <f aca="false">IF((H841=0),J841-D841,0)</f>
        <v>#N/A</v>
      </c>
      <c r="L841" s="46" t="e">
        <f aca="true">IF(($H841=0),0,$D$4+$D$5*(RAND()-0.5))</f>
        <v>#N/A</v>
      </c>
      <c r="M841" s="46" t="e">
        <f aca="false">L841+MAX(D841,M840)</f>
        <v>#N/A</v>
      </c>
      <c r="N841" s="46" t="e">
        <f aca="false">IF((H841=1),M841-D841,0)</f>
        <v>#N/A</v>
      </c>
      <c r="O841" s="29" t="n">
        <v>824</v>
      </c>
      <c r="P841" s="49" t="e">
        <f aca="false">IF((Arterial=0),P840+1,P840)</f>
        <v>#N/A</v>
      </c>
      <c r="Q841" s="49" t="e">
        <f aca="false">IF((Arterial=1),Q840+1,Q840)</f>
        <v>#N/A</v>
      </c>
      <c r="R841" s="50" t="n">
        <f aca="false">IF((RESET=1),0,R841+K841)</f>
        <v>0</v>
      </c>
      <c r="S841" s="19" t="n">
        <f aca="false">IF(RESET=1,0,S841+N841)</f>
        <v>0</v>
      </c>
      <c r="T841" s="0" t="n">
        <f aca="false">IF(RESET=1,0,T841+IF(H841=0,1,0))</f>
        <v>0</v>
      </c>
      <c r="U841" s="0" t="n">
        <f aca="false">IF(RESET=1,0,U841+H841)</f>
        <v>0</v>
      </c>
      <c r="V841" s="19" t="n">
        <f aca="false">R841/(T841+0.00001)</f>
        <v>0</v>
      </c>
      <c r="W841" s="19" t="n">
        <f aca="false">S841/(U841+0.0001)</f>
        <v>0</v>
      </c>
      <c r="X841" s="47" t="e">
        <f aca="false">IF(Informed=1,K841,0)</f>
        <v>#N/A</v>
      </c>
      <c r="Y841" s="47" t="n">
        <f aca="false">IF(Informed=0,K841,0)</f>
        <v>0</v>
      </c>
      <c r="Z841" s="47" t="e">
        <f aca="false">IF(Informed=1,N841,0)</f>
        <v>#N/A</v>
      </c>
      <c r="AA841" s="47" t="n">
        <f aca="false">IF(Informed=0,N841,0)</f>
        <v>0</v>
      </c>
      <c r="AB841" s="51" t="e">
        <f aca="false">IF(Arterial=0,IF(Informed=1,1,0),0)</f>
        <v>#N/A</v>
      </c>
      <c r="AC841" s="51" t="e">
        <f aca="false">IF(Arterial=0,IF(Informed=0,1,0),0)</f>
        <v>#N/A</v>
      </c>
      <c r="AD841" s="51" t="e">
        <f aca="false">IF(Arterial=1,IF(Informed=1,1,0),0)</f>
        <v>#N/A</v>
      </c>
      <c r="AE841" s="51" t="e">
        <f aca="false">IF(Arterial=1,IF(Informed=0,1,0),0)</f>
        <v>#N/A</v>
      </c>
      <c r="AF841" s="44" t="e">
        <f aca="false">IF(AB841=1,(X841-G$1030)^2,0)</f>
        <v>#N/A</v>
      </c>
      <c r="AG841" s="44" t="e">
        <f aca="false">IF(AC841=1,(Y841-H$1030)^2,0)</f>
        <v>#N/A</v>
      </c>
      <c r="AH841" s="44" t="e">
        <f aca="false">IF(AD841=1,(Z841-I$1030)^2,0)</f>
        <v>#N/A</v>
      </c>
      <c r="AI841" s="44" t="e">
        <f aca="false">IF(AE841=1,(AA841-J$1030)^2,0)</f>
        <v>#N/A</v>
      </c>
    </row>
    <row r="842" customFormat="false" ht="12" hidden="false" customHeight="false" outlineLevel="0" collapsed="false">
      <c r="A842" s="29" t="n">
        <v>825</v>
      </c>
      <c r="B842" s="45" t="n">
        <f aca="true">IF(RAND()&lt;$D$8,1,0)</f>
        <v>1</v>
      </c>
      <c r="C842" s="34" t="n">
        <f aca="true">-LN(RAND())/$D$2</f>
        <v>1.69705018775383</v>
      </c>
      <c r="D842" s="46" t="n">
        <f aca="false">D841+C842</f>
        <v>1261.4031500041</v>
      </c>
      <c r="E842" s="47" t="e">
        <f aca="false">MAX($D$3,(1+P841-VLOOKUP(VALUE(D842),$J$18:$Q841,7,TRUE()))*$D$3)</f>
        <v>#N/A</v>
      </c>
      <c r="F842" s="47" t="e">
        <f aca="false">MAX($D$4,(1+Q841-VLOOKUP(VALUE(D842),$M$18:$Q841,5,TRUE()))*$D$4)</f>
        <v>#N/A</v>
      </c>
      <c r="G842" s="48" t="n">
        <v>0.5</v>
      </c>
      <c r="H842" s="46" t="e">
        <f aca="true">IF((B842=1),(IF((F842&lt;E842),1,(IF((F842=E842),(IF(RAND()&lt;G842,1,0)),0)))),(IF((RAND()&lt;G842),1,0)))</f>
        <v>#N/A</v>
      </c>
      <c r="I842" s="46" t="e">
        <f aca="true">IF((H842=1),0,$D$3+$D$5*(RAND()-0.5))</f>
        <v>#N/A</v>
      </c>
      <c r="J842" s="46" t="e">
        <f aca="false">I842+MAX(D842,J841)</f>
        <v>#N/A</v>
      </c>
      <c r="K842" s="46" t="e">
        <f aca="false">IF((H842=0),J842-D842,0)</f>
        <v>#N/A</v>
      </c>
      <c r="L842" s="46" t="e">
        <f aca="true">IF(($H842=0),0,$D$4+$D$5*(RAND()-0.5))</f>
        <v>#N/A</v>
      </c>
      <c r="M842" s="46" t="e">
        <f aca="false">L842+MAX(D842,M841)</f>
        <v>#N/A</v>
      </c>
      <c r="N842" s="46" t="e">
        <f aca="false">IF((H842=1),M842-D842,0)</f>
        <v>#N/A</v>
      </c>
      <c r="O842" s="29" t="n">
        <v>825</v>
      </c>
      <c r="P842" s="49" t="e">
        <f aca="false">IF((Arterial=0),P841+1,P841)</f>
        <v>#N/A</v>
      </c>
      <c r="Q842" s="49" t="e">
        <f aca="false">IF((Arterial=1),Q841+1,Q841)</f>
        <v>#N/A</v>
      </c>
      <c r="R842" s="50" t="n">
        <f aca="false">IF((RESET=1),0,R842+K842)</f>
        <v>0</v>
      </c>
      <c r="S842" s="19" t="n">
        <f aca="false">IF(RESET=1,0,S842+N842)</f>
        <v>0</v>
      </c>
      <c r="T842" s="0" t="n">
        <f aca="false">IF(RESET=1,0,T842+IF(H842=0,1,0))</f>
        <v>0</v>
      </c>
      <c r="U842" s="0" t="n">
        <f aca="false">IF(RESET=1,0,U842+H842)</f>
        <v>0</v>
      </c>
      <c r="V842" s="19" t="n">
        <f aca="false">R842/(T842+0.00001)</f>
        <v>0</v>
      </c>
      <c r="W842" s="19" t="n">
        <f aca="false">S842/(U842+0.0001)</f>
        <v>0</v>
      </c>
      <c r="X842" s="47" t="e">
        <f aca="false">IF(Informed=1,K842,0)</f>
        <v>#N/A</v>
      </c>
      <c r="Y842" s="47" t="n">
        <f aca="false">IF(Informed=0,K842,0)</f>
        <v>0</v>
      </c>
      <c r="Z842" s="47" t="e">
        <f aca="false">IF(Informed=1,N842,0)</f>
        <v>#N/A</v>
      </c>
      <c r="AA842" s="47" t="n">
        <f aca="false">IF(Informed=0,N842,0)</f>
        <v>0</v>
      </c>
      <c r="AB842" s="51" t="e">
        <f aca="false">IF(Arterial=0,IF(Informed=1,1,0),0)</f>
        <v>#N/A</v>
      </c>
      <c r="AC842" s="51" t="e">
        <f aca="false">IF(Arterial=0,IF(Informed=0,1,0),0)</f>
        <v>#N/A</v>
      </c>
      <c r="AD842" s="51" t="e">
        <f aca="false">IF(Arterial=1,IF(Informed=1,1,0),0)</f>
        <v>#N/A</v>
      </c>
      <c r="AE842" s="51" t="e">
        <f aca="false">IF(Arterial=1,IF(Informed=0,1,0),0)</f>
        <v>#N/A</v>
      </c>
      <c r="AF842" s="44" t="e">
        <f aca="false">IF(AB842=1,(X842-G$1030)^2,0)</f>
        <v>#N/A</v>
      </c>
      <c r="AG842" s="44" t="e">
        <f aca="false">IF(AC842=1,(Y842-H$1030)^2,0)</f>
        <v>#N/A</v>
      </c>
      <c r="AH842" s="44" t="e">
        <f aca="false">IF(AD842=1,(Z842-I$1030)^2,0)</f>
        <v>#N/A</v>
      </c>
      <c r="AI842" s="44" t="e">
        <f aca="false">IF(AE842=1,(AA842-J$1030)^2,0)</f>
        <v>#N/A</v>
      </c>
    </row>
    <row r="843" customFormat="false" ht="12" hidden="false" customHeight="false" outlineLevel="0" collapsed="false">
      <c r="A843" s="29" t="n">
        <v>826</v>
      </c>
      <c r="B843" s="45" t="n">
        <f aca="true">IF(RAND()&lt;$D$8,1,0)</f>
        <v>1</v>
      </c>
      <c r="C843" s="34" t="n">
        <f aca="true">-LN(RAND())/$D$2</f>
        <v>0.695601858637071</v>
      </c>
      <c r="D843" s="46" t="n">
        <f aca="false">D842+C843</f>
        <v>1262.09875186273</v>
      </c>
      <c r="E843" s="47" t="e">
        <f aca="false">MAX($D$3,(1+P842-VLOOKUP(VALUE(D843),$J$18:$Q842,7,TRUE()))*$D$3)</f>
        <v>#N/A</v>
      </c>
      <c r="F843" s="47" t="e">
        <f aca="false">MAX($D$4,(1+Q842-VLOOKUP(VALUE(D843),$M$18:$Q842,5,TRUE()))*$D$4)</f>
        <v>#N/A</v>
      </c>
      <c r="G843" s="48" t="n">
        <v>0.5</v>
      </c>
      <c r="H843" s="46" t="e">
        <f aca="true">IF((B843=1),(IF((F843&lt;E843),1,(IF((F843=E843),(IF(RAND()&lt;G843,1,0)),0)))),(IF((RAND()&lt;G843),1,0)))</f>
        <v>#N/A</v>
      </c>
      <c r="I843" s="46" t="e">
        <f aca="true">IF((H843=1),0,$D$3+$D$5*(RAND()-0.5))</f>
        <v>#N/A</v>
      </c>
      <c r="J843" s="46" t="e">
        <f aca="false">I843+MAX(D843,J842)</f>
        <v>#N/A</v>
      </c>
      <c r="K843" s="46" t="e">
        <f aca="false">IF((H843=0),J843-D843,0)</f>
        <v>#N/A</v>
      </c>
      <c r="L843" s="46" t="e">
        <f aca="true">IF(($H843=0),0,$D$4+$D$5*(RAND()-0.5))</f>
        <v>#N/A</v>
      </c>
      <c r="M843" s="46" t="e">
        <f aca="false">L843+MAX(D843,M842)</f>
        <v>#N/A</v>
      </c>
      <c r="N843" s="46" t="e">
        <f aca="false">IF((H843=1),M843-D843,0)</f>
        <v>#N/A</v>
      </c>
      <c r="O843" s="29" t="n">
        <v>826</v>
      </c>
      <c r="P843" s="49" t="e">
        <f aca="false">IF((Arterial=0),P842+1,P842)</f>
        <v>#N/A</v>
      </c>
      <c r="Q843" s="49" t="e">
        <f aca="false">IF((Arterial=1),Q842+1,Q842)</f>
        <v>#N/A</v>
      </c>
      <c r="R843" s="50" t="n">
        <f aca="false">IF((RESET=1),0,R843+K843)</f>
        <v>0</v>
      </c>
      <c r="S843" s="19" t="n">
        <f aca="false">IF(RESET=1,0,S843+N843)</f>
        <v>0</v>
      </c>
      <c r="T843" s="0" t="n">
        <f aca="false">IF(RESET=1,0,T843+IF(H843=0,1,0))</f>
        <v>0</v>
      </c>
      <c r="U843" s="0" t="n">
        <f aca="false">IF(RESET=1,0,U843+H843)</f>
        <v>0</v>
      </c>
      <c r="V843" s="19" t="n">
        <f aca="false">R843/(T843+0.00001)</f>
        <v>0</v>
      </c>
      <c r="W843" s="19" t="n">
        <f aca="false">S843/(U843+0.0001)</f>
        <v>0</v>
      </c>
      <c r="X843" s="47" t="e">
        <f aca="false">IF(Informed=1,K843,0)</f>
        <v>#N/A</v>
      </c>
      <c r="Y843" s="47" t="n">
        <f aca="false">IF(Informed=0,K843,0)</f>
        <v>0</v>
      </c>
      <c r="Z843" s="47" t="e">
        <f aca="false">IF(Informed=1,N843,0)</f>
        <v>#N/A</v>
      </c>
      <c r="AA843" s="47" t="n">
        <f aca="false">IF(Informed=0,N843,0)</f>
        <v>0</v>
      </c>
      <c r="AB843" s="51" t="e">
        <f aca="false">IF(Arterial=0,IF(Informed=1,1,0),0)</f>
        <v>#N/A</v>
      </c>
      <c r="AC843" s="51" t="e">
        <f aca="false">IF(Arterial=0,IF(Informed=0,1,0),0)</f>
        <v>#N/A</v>
      </c>
      <c r="AD843" s="51" t="e">
        <f aca="false">IF(Arterial=1,IF(Informed=1,1,0),0)</f>
        <v>#N/A</v>
      </c>
      <c r="AE843" s="51" t="e">
        <f aca="false">IF(Arterial=1,IF(Informed=0,1,0),0)</f>
        <v>#N/A</v>
      </c>
      <c r="AF843" s="44" t="e">
        <f aca="false">IF(AB843=1,(X843-G$1030)^2,0)</f>
        <v>#N/A</v>
      </c>
      <c r="AG843" s="44" t="e">
        <f aca="false">IF(AC843=1,(Y843-H$1030)^2,0)</f>
        <v>#N/A</v>
      </c>
      <c r="AH843" s="44" t="e">
        <f aca="false">IF(AD843=1,(Z843-I$1030)^2,0)</f>
        <v>#N/A</v>
      </c>
      <c r="AI843" s="44" t="e">
        <f aca="false">IF(AE843=1,(AA843-J$1030)^2,0)</f>
        <v>#N/A</v>
      </c>
    </row>
    <row r="844" customFormat="false" ht="12" hidden="false" customHeight="false" outlineLevel="0" collapsed="false">
      <c r="A844" s="29" t="n">
        <v>827</v>
      </c>
      <c r="B844" s="45" t="n">
        <f aca="true">IF(RAND()&lt;$D$8,1,0)</f>
        <v>1</v>
      </c>
      <c r="C844" s="34" t="n">
        <f aca="true">-LN(RAND())/$D$2</f>
        <v>0.0179656828413155</v>
      </c>
      <c r="D844" s="46" t="n">
        <f aca="false">D843+C844</f>
        <v>1262.11671754558</v>
      </c>
      <c r="E844" s="47" t="e">
        <f aca="false">MAX($D$3,(1+P843-VLOOKUP(VALUE(D844),$J$18:$Q843,7,TRUE()))*$D$3)</f>
        <v>#N/A</v>
      </c>
      <c r="F844" s="47" t="e">
        <f aca="false">MAX($D$4,(1+Q843-VLOOKUP(VALUE(D844),$M$18:$Q843,5,TRUE()))*$D$4)</f>
        <v>#N/A</v>
      </c>
      <c r="G844" s="48" t="n">
        <v>0.5</v>
      </c>
      <c r="H844" s="46" t="e">
        <f aca="true">IF((B844=1),(IF((F844&lt;E844),1,(IF((F844=E844),(IF(RAND()&lt;G844,1,0)),0)))),(IF((RAND()&lt;G844),1,0)))</f>
        <v>#N/A</v>
      </c>
      <c r="I844" s="46" t="e">
        <f aca="true">IF((H844=1),0,$D$3+$D$5*(RAND()-0.5))</f>
        <v>#N/A</v>
      </c>
      <c r="J844" s="46" t="e">
        <f aca="false">I844+MAX(D844,J843)</f>
        <v>#N/A</v>
      </c>
      <c r="K844" s="46" t="e">
        <f aca="false">IF((H844=0),J844-D844,0)</f>
        <v>#N/A</v>
      </c>
      <c r="L844" s="46" t="e">
        <f aca="true">IF(($H844=0),0,$D$4+$D$5*(RAND()-0.5))</f>
        <v>#N/A</v>
      </c>
      <c r="M844" s="46" t="e">
        <f aca="false">L844+MAX(D844,M843)</f>
        <v>#N/A</v>
      </c>
      <c r="N844" s="46" t="e">
        <f aca="false">IF((H844=1),M844-D844,0)</f>
        <v>#N/A</v>
      </c>
      <c r="O844" s="29" t="n">
        <v>827</v>
      </c>
      <c r="P844" s="49" t="e">
        <f aca="false">IF((Arterial=0),P843+1,P843)</f>
        <v>#N/A</v>
      </c>
      <c r="Q844" s="49" t="e">
        <f aca="false">IF((Arterial=1),Q843+1,Q843)</f>
        <v>#N/A</v>
      </c>
      <c r="R844" s="50" t="n">
        <f aca="false">IF((RESET=1),0,R844+K844)</f>
        <v>0</v>
      </c>
      <c r="S844" s="19" t="n">
        <f aca="false">IF(RESET=1,0,S844+N844)</f>
        <v>0</v>
      </c>
      <c r="T844" s="0" t="n">
        <f aca="false">IF(RESET=1,0,T844+IF(H844=0,1,0))</f>
        <v>0</v>
      </c>
      <c r="U844" s="0" t="n">
        <f aca="false">IF(RESET=1,0,U844+H844)</f>
        <v>0</v>
      </c>
      <c r="V844" s="19" t="n">
        <f aca="false">R844/(T844+0.00001)</f>
        <v>0</v>
      </c>
      <c r="W844" s="19" t="n">
        <f aca="false">S844/(U844+0.0001)</f>
        <v>0</v>
      </c>
      <c r="X844" s="47" t="e">
        <f aca="false">IF(Informed=1,K844,0)</f>
        <v>#N/A</v>
      </c>
      <c r="Y844" s="47" t="n">
        <f aca="false">IF(Informed=0,K844,0)</f>
        <v>0</v>
      </c>
      <c r="Z844" s="47" t="e">
        <f aca="false">IF(Informed=1,N844,0)</f>
        <v>#N/A</v>
      </c>
      <c r="AA844" s="47" t="n">
        <f aca="false">IF(Informed=0,N844,0)</f>
        <v>0</v>
      </c>
      <c r="AB844" s="51" t="e">
        <f aca="false">IF(Arterial=0,IF(Informed=1,1,0),0)</f>
        <v>#N/A</v>
      </c>
      <c r="AC844" s="51" t="e">
        <f aca="false">IF(Arterial=0,IF(Informed=0,1,0),0)</f>
        <v>#N/A</v>
      </c>
      <c r="AD844" s="51" t="e">
        <f aca="false">IF(Arterial=1,IF(Informed=1,1,0),0)</f>
        <v>#N/A</v>
      </c>
      <c r="AE844" s="51" t="e">
        <f aca="false">IF(Arterial=1,IF(Informed=0,1,0),0)</f>
        <v>#N/A</v>
      </c>
      <c r="AF844" s="44" t="e">
        <f aca="false">IF(AB844=1,(X844-G$1030)^2,0)</f>
        <v>#N/A</v>
      </c>
      <c r="AG844" s="44" t="e">
        <f aca="false">IF(AC844=1,(Y844-H$1030)^2,0)</f>
        <v>#N/A</v>
      </c>
      <c r="AH844" s="44" t="e">
        <f aca="false">IF(AD844=1,(Z844-I$1030)^2,0)</f>
        <v>#N/A</v>
      </c>
      <c r="AI844" s="44" t="e">
        <f aca="false">IF(AE844=1,(AA844-J$1030)^2,0)</f>
        <v>#N/A</v>
      </c>
    </row>
    <row r="845" customFormat="false" ht="12" hidden="false" customHeight="false" outlineLevel="0" collapsed="false">
      <c r="A845" s="29" t="n">
        <v>828</v>
      </c>
      <c r="B845" s="45" t="n">
        <f aca="true">IF(RAND()&lt;$D$8,1,0)</f>
        <v>1</v>
      </c>
      <c r="C845" s="34" t="n">
        <f aca="true">-LN(RAND())/$D$2</f>
        <v>0.651933031828169</v>
      </c>
      <c r="D845" s="46" t="n">
        <f aca="false">D844+C845</f>
        <v>1262.7686505774</v>
      </c>
      <c r="E845" s="47" t="e">
        <f aca="false">MAX($D$3,(1+P844-VLOOKUP(VALUE(D845),$J$18:$Q844,7,TRUE()))*$D$3)</f>
        <v>#N/A</v>
      </c>
      <c r="F845" s="47" t="e">
        <f aca="false">MAX($D$4,(1+Q844-VLOOKUP(VALUE(D845),$M$18:$Q844,5,TRUE()))*$D$4)</f>
        <v>#N/A</v>
      </c>
      <c r="G845" s="48" t="n">
        <v>0.5</v>
      </c>
      <c r="H845" s="46" t="e">
        <f aca="true">IF((B845=1),(IF((F845&lt;E845),1,(IF((F845=E845),(IF(RAND()&lt;G845,1,0)),0)))),(IF((RAND()&lt;G845),1,0)))</f>
        <v>#N/A</v>
      </c>
      <c r="I845" s="46" t="e">
        <f aca="true">IF((H845=1),0,$D$3+$D$5*(RAND()-0.5))</f>
        <v>#N/A</v>
      </c>
      <c r="J845" s="46" t="e">
        <f aca="false">I845+MAX(D845,J844)</f>
        <v>#N/A</v>
      </c>
      <c r="K845" s="46" t="e">
        <f aca="false">IF((H845=0),J845-D845,0)</f>
        <v>#N/A</v>
      </c>
      <c r="L845" s="46" t="e">
        <f aca="true">IF(($H845=0),0,$D$4+$D$5*(RAND()-0.5))</f>
        <v>#N/A</v>
      </c>
      <c r="M845" s="46" t="e">
        <f aca="false">L845+MAX(D845,M844)</f>
        <v>#N/A</v>
      </c>
      <c r="N845" s="46" t="e">
        <f aca="false">IF((H845=1),M845-D845,0)</f>
        <v>#N/A</v>
      </c>
      <c r="O845" s="29" t="n">
        <v>828</v>
      </c>
      <c r="P845" s="49" t="e">
        <f aca="false">IF((Arterial=0),P844+1,P844)</f>
        <v>#N/A</v>
      </c>
      <c r="Q845" s="49" t="e">
        <f aca="false">IF((Arterial=1),Q844+1,Q844)</f>
        <v>#N/A</v>
      </c>
      <c r="R845" s="50" t="n">
        <f aca="false">IF((RESET=1),0,R845+K845)</f>
        <v>0</v>
      </c>
      <c r="S845" s="19" t="n">
        <f aca="false">IF(RESET=1,0,S845+N845)</f>
        <v>0</v>
      </c>
      <c r="T845" s="0" t="n">
        <f aca="false">IF(RESET=1,0,T845+IF(H845=0,1,0))</f>
        <v>0</v>
      </c>
      <c r="U845" s="0" t="n">
        <f aca="false">IF(RESET=1,0,U845+H845)</f>
        <v>0</v>
      </c>
      <c r="V845" s="19" t="n">
        <f aca="false">R845/(T845+0.00001)</f>
        <v>0</v>
      </c>
      <c r="W845" s="19" t="n">
        <f aca="false">S845/(U845+0.0001)</f>
        <v>0</v>
      </c>
      <c r="X845" s="47" t="e">
        <f aca="false">IF(Informed=1,K845,0)</f>
        <v>#N/A</v>
      </c>
      <c r="Y845" s="47" t="n">
        <f aca="false">IF(Informed=0,K845,0)</f>
        <v>0</v>
      </c>
      <c r="Z845" s="47" t="e">
        <f aca="false">IF(Informed=1,N845,0)</f>
        <v>#N/A</v>
      </c>
      <c r="AA845" s="47" t="n">
        <f aca="false">IF(Informed=0,N845,0)</f>
        <v>0</v>
      </c>
      <c r="AB845" s="51" t="e">
        <f aca="false">IF(Arterial=0,IF(Informed=1,1,0),0)</f>
        <v>#N/A</v>
      </c>
      <c r="AC845" s="51" t="e">
        <f aca="false">IF(Arterial=0,IF(Informed=0,1,0),0)</f>
        <v>#N/A</v>
      </c>
      <c r="AD845" s="51" t="e">
        <f aca="false">IF(Arterial=1,IF(Informed=1,1,0),0)</f>
        <v>#N/A</v>
      </c>
      <c r="AE845" s="51" t="e">
        <f aca="false">IF(Arterial=1,IF(Informed=0,1,0),0)</f>
        <v>#N/A</v>
      </c>
      <c r="AF845" s="44" t="e">
        <f aca="false">IF(AB845=1,(X845-G$1030)^2,0)</f>
        <v>#N/A</v>
      </c>
      <c r="AG845" s="44" t="e">
        <f aca="false">IF(AC845=1,(Y845-H$1030)^2,0)</f>
        <v>#N/A</v>
      </c>
      <c r="AH845" s="44" t="e">
        <f aca="false">IF(AD845=1,(Z845-I$1030)^2,0)</f>
        <v>#N/A</v>
      </c>
      <c r="AI845" s="44" t="e">
        <f aca="false">IF(AE845=1,(AA845-J$1030)^2,0)</f>
        <v>#N/A</v>
      </c>
    </row>
    <row r="846" customFormat="false" ht="12" hidden="false" customHeight="false" outlineLevel="0" collapsed="false">
      <c r="A846" s="29" t="n">
        <v>829</v>
      </c>
      <c r="B846" s="45" t="n">
        <f aca="true">IF(RAND()&lt;$D$8,1,0)</f>
        <v>1</v>
      </c>
      <c r="C846" s="34" t="n">
        <f aca="true">-LN(RAND())/$D$2</f>
        <v>0.581619617228397</v>
      </c>
      <c r="D846" s="46" t="n">
        <f aca="false">D845+C846</f>
        <v>1263.35027019463</v>
      </c>
      <c r="E846" s="47" t="e">
        <f aca="false">MAX($D$3,(1+P845-VLOOKUP(VALUE(D846),$J$18:$Q845,7,TRUE()))*$D$3)</f>
        <v>#N/A</v>
      </c>
      <c r="F846" s="47" t="e">
        <f aca="false">MAX($D$4,(1+Q845-VLOOKUP(VALUE(D846),$M$18:$Q845,5,TRUE()))*$D$4)</f>
        <v>#N/A</v>
      </c>
      <c r="G846" s="48" t="n">
        <v>0.5</v>
      </c>
      <c r="H846" s="46" t="e">
        <f aca="true">IF((B846=1),(IF((F846&lt;E846),1,(IF((F846=E846),(IF(RAND()&lt;G846,1,0)),0)))),(IF((RAND()&lt;G846),1,0)))</f>
        <v>#N/A</v>
      </c>
      <c r="I846" s="46" t="e">
        <f aca="true">IF((H846=1),0,$D$3+$D$5*(RAND()-0.5))</f>
        <v>#N/A</v>
      </c>
      <c r="J846" s="46" t="e">
        <f aca="false">I846+MAX(D846,J845)</f>
        <v>#N/A</v>
      </c>
      <c r="K846" s="46" t="e">
        <f aca="false">IF((H846=0),J846-D846,0)</f>
        <v>#N/A</v>
      </c>
      <c r="L846" s="46" t="e">
        <f aca="true">IF(($H846=0),0,$D$4+$D$5*(RAND()-0.5))</f>
        <v>#N/A</v>
      </c>
      <c r="M846" s="46" t="e">
        <f aca="false">L846+MAX(D846,M845)</f>
        <v>#N/A</v>
      </c>
      <c r="N846" s="46" t="e">
        <f aca="false">IF((H846=1),M846-D846,0)</f>
        <v>#N/A</v>
      </c>
      <c r="O846" s="29" t="n">
        <v>829</v>
      </c>
      <c r="P846" s="49" t="e">
        <f aca="false">IF((Arterial=0),P845+1,P845)</f>
        <v>#N/A</v>
      </c>
      <c r="Q846" s="49" t="e">
        <f aca="false">IF((Arterial=1),Q845+1,Q845)</f>
        <v>#N/A</v>
      </c>
      <c r="R846" s="50" t="n">
        <f aca="false">IF((RESET=1),0,R846+K846)</f>
        <v>0</v>
      </c>
      <c r="S846" s="19" t="n">
        <f aca="false">IF(RESET=1,0,S846+N846)</f>
        <v>0</v>
      </c>
      <c r="T846" s="0" t="n">
        <f aca="false">IF(RESET=1,0,T846+IF(H846=0,1,0))</f>
        <v>0</v>
      </c>
      <c r="U846" s="0" t="n">
        <f aca="false">IF(RESET=1,0,U846+H846)</f>
        <v>0</v>
      </c>
      <c r="V846" s="19" t="n">
        <f aca="false">R846/(T846+0.00001)</f>
        <v>0</v>
      </c>
      <c r="W846" s="19" t="n">
        <f aca="false">S846/(U846+0.0001)</f>
        <v>0</v>
      </c>
      <c r="X846" s="47" t="e">
        <f aca="false">IF(Informed=1,K846,0)</f>
        <v>#N/A</v>
      </c>
      <c r="Y846" s="47" t="n">
        <f aca="false">IF(Informed=0,K846,0)</f>
        <v>0</v>
      </c>
      <c r="Z846" s="47" t="e">
        <f aca="false">IF(Informed=1,N846,0)</f>
        <v>#N/A</v>
      </c>
      <c r="AA846" s="47" t="n">
        <f aca="false">IF(Informed=0,N846,0)</f>
        <v>0</v>
      </c>
      <c r="AB846" s="51" t="e">
        <f aca="false">IF(Arterial=0,IF(Informed=1,1,0),0)</f>
        <v>#N/A</v>
      </c>
      <c r="AC846" s="51" t="e">
        <f aca="false">IF(Arterial=0,IF(Informed=0,1,0),0)</f>
        <v>#N/A</v>
      </c>
      <c r="AD846" s="51" t="e">
        <f aca="false">IF(Arterial=1,IF(Informed=1,1,0),0)</f>
        <v>#N/A</v>
      </c>
      <c r="AE846" s="51" t="e">
        <f aca="false">IF(Arterial=1,IF(Informed=0,1,0),0)</f>
        <v>#N/A</v>
      </c>
      <c r="AF846" s="44" t="e">
        <f aca="false">IF(AB846=1,(X846-G$1030)^2,0)</f>
        <v>#N/A</v>
      </c>
      <c r="AG846" s="44" t="e">
        <f aca="false">IF(AC846=1,(Y846-H$1030)^2,0)</f>
        <v>#N/A</v>
      </c>
      <c r="AH846" s="44" t="e">
        <f aca="false">IF(AD846=1,(Z846-I$1030)^2,0)</f>
        <v>#N/A</v>
      </c>
      <c r="AI846" s="44" t="e">
        <f aca="false">IF(AE846=1,(AA846-J$1030)^2,0)</f>
        <v>#N/A</v>
      </c>
    </row>
    <row r="847" customFormat="false" ht="12" hidden="false" customHeight="false" outlineLevel="0" collapsed="false">
      <c r="A847" s="29" t="n">
        <v>830</v>
      </c>
      <c r="B847" s="45" t="n">
        <f aca="true">IF(RAND()&lt;$D$8,1,0)</f>
        <v>1</v>
      </c>
      <c r="C847" s="34" t="n">
        <f aca="true">-LN(RAND())/$D$2</f>
        <v>0.977021952328896</v>
      </c>
      <c r="D847" s="46" t="n">
        <f aca="false">D846+C847</f>
        <v>1264.32729214696</v>
      </c>
      <c r="E847" s="47" t="e">
        <f aca="false">MAX($D$3,(1+P846-VLOOKUP(VALUE(D847),$J$18:$Q846,7,TRUE()))*$D$3)</f>
        <v>#N/A</v>
      </c>
      <c r="F847" s="47" t="e">
        <f aca="false">MAX($D$4,(1+Q846-VLOOKUP(VALUE(D847),$M$18:$Q846,5,TRUE()))*$D$4)</f>
        <v>#N/A</v>
      </c>
      <c r="G847" s="48" t="n">
        <v>0.5</v>
      </c>
      <c r="H847" s="46" t="e">
        <f aca="true">IF((B847=1),(IF((F847&lt;E847),1,(IF((F847=E847),(IF(RAND()&lt;G847,1,0)),0)))),(IF((RAND()&lt;G847),1,0)))</f>
        <v>#N/A</v>
      </c>
      <c r="I847" s="46" t="e">
        <f aca="true">IF((H847=1),0,$D$3+$D$5*(RAND()-0.5))</f>
        <v>#N/A</v>
      </c>
      <c r="J847" s="46" t="e">
        <f aca="false">I847+MAX(D847,J846)</f>
        <v>#N/A</v>
      </c>
      <c r="K847" s="46" t="e">
        <f aca="false">IF((H847=0),J847-D847,0)</f>
        <v>#N/A</v>
      </c>
      <c r="L847" s="46" t="e">
        <f aca="true">IF(($H847=0),0,$D$4+$D$5*(RAND()-0.5))</f>
        <v>#N/A</v>
      </c>
      <c r="M847" s="46" t="e">
        <f aca="false">L847+MAX(D847,M846)</f>
        <v>#N/A</v>
      </c>
      <c r="N847" s="46" t="e">
        <f aca="false">IF((H847=1),M847-D847,0)</f>
        <v>#N/A</v>
      </c>
      <c r="O847" s="29" t="n">
        <v>830</v>
      </c>
      <c r="P847" s="49" t="e">
        <f aca="false">IF((Arterial=0),P846+1,P846)</f>
        <v>#N/A</v>
      </c>
      <c r="Q847" s="49" t="e">
        <f aca="false">IF((Arterial=1),Q846+1,Q846)</f>
        <v>#N/A</v>
      </c>
      <c r="R847" s="50" t="n">
        <f aca="false">IF((RESET=1),0,R847+K847)</f>
        <v>0</v>
      </c>
      <c r="S847" s="19" t="n">
        <f aca="false">IF(RESET=1,0,S847+N847)</f>
        <v>0</v>
      </c>
      <c r="T847" s="0" t="n">
        <f aca="false">IF(RESET=1,0,T847+IF(H847=0,1,0))</f>
        <v>0</v>
      </c>
      <c r="U847" s="0" t="n">
        <f aca="false">IF(RESET=1,0,U847+H847)</f>
        <v>0</v>
      </c>
      <c r="V847" s="19" t="n">
        <f aca="false">R847/(T847+0.00001)</f>
        <v>0</v>
      </c>
      <c r="W847" s="19" t="n">
        <f aca="false">S847/(U847+0.0001)</f>
        <v>0</v>
      </c>
      <c r="X847" s="47" t="e">
        <f aca="false">IF(Informed=1,K847,0)</f>
        <v>#N/A</v>
      </c>
      <c r="Y847" s="47" t="n">
        <f aca="false">IF(Informed=0,K847,0)</f>
        <v>0</v>
      </c>
      <c r="Z847" s="47" t="e">
        <f aca="false">IF(Informed=1,N847,0)</f>
        <v>#N/A</v>
      </c>
      <c r="AA847" s="47" t="n">
        <f aca="false">IF(Informed=0,N847,0)</f>
        <v>0</v>
      </c>
      <c r="AB847" s="51" t="e">
        <f aca="false">IF(Arterial=0,IF(Informed=1,1,0),0)</f>
        <v>#N/A</v>
      </c>
      <c r="AC847" s="51" t="e">
        <f aca="false">IF(Arterial=0,IF(Informed=0,1,0),0)</f>
        <v>#N/A</v>
      </c>
      <c r="AD847" s="51" t="e">
        <f aca="false">IF(Arterial=1,IF(Informed=1,1,0),0)</f>
        <v>#N/A</v>
      </c>
      <c r="AE847" s="51" t="e">
        <f aca="false">IF(Arterial=1,IF(Informed=0,1,0),0)</f>
        <v>#N/A</v>
      </c>
      <c r="AF847" s="44" t="e">
        <f aca="false">IF(AB847=1,(X847-G$1030)^2,0)</f>
        <v>#N/A</v>
      </c>
      <c r="AG847" s="44" t="e">
        <f aca="false">IF(AC847=1,(Y847-H$1030)^2,0)</f>
        <v>#N/A</v>
      </c>
      <c r="AH847" s="44" t="e">
        <f aca="false">IF(AD847=1,(Z847-I$1030)^2,0)</f>
        <v>#N/A</v>
      </c>
      <c r="AI847" s="44" t="e">
        <f aca="false">IF(AE847=1,(AA847-J$1030)^2,0)</f>
        <v>#N/A</v>
      </c>
    </row>
    <row r="848" customFormat="false" ht="12" hidden="false" customHeight="false" outlineLevel="0" collapsed="false">
      <c r="A848" s="29" t="n">
        <v>831</v>
      </c>
      <c r="B848" s="45" t="n">
        <f aca="true">IF(RAND()&lt;$D$8,1,0)</f>
        <v>1</v>
      </c>
      <c r="C848" s="34" t="n">
        <f aca="true">-LN(RAND())/$D$2</f>
        <v>2.51444288776022</v>
      </c>
      <c r="D848" s="46" t="n">
        <f aca="false">D847+C848</f>
        <v>1266.84173503472</v>
      </c>
      <c r="E848" s="47" t="e">
        <f aca="false">MAX($D$3,(1+P847-VLOOKUP(VALUE(D848),$J$18:$Q847,7,TRUE()))*$D$3)</f>
        <v>#N/A</v>
      </c>
      <c r="F848" s="47" t="e">
        <f aca="false">MAX($D$4,(1+Q847-VLOOKUP(VALUE(D848),$M$18:$Q847,5,TRUE()))*$D$4)</f>
        <v>#N/A</v>
      </c>
      <c r="G848" s="48" t="n">
        <v>0.5</v>
      </c>
      <c r="H848" s="46" t="e">
        <f aca="true">IF((B848=1),(IF((F848&lt;E848),1,(IF((F848=E848),(IF(RAND()&lt;G848,1,0)),0)))),(IF((RAND()&lt;G848),1,0)))</f>
        <v>#N/A</v>
      </c>
      <c r="I848" s="46" t="e">
        <f aca="true">IF((H848=1),0,$D$3+$D$5*(RAND()-0.5))</f>
        <v>#N/A</v>
      </c>
      <c r="J848" s="46" t="e">
        <f aca="false">I848+MAX(D848,J847)</f>
        <v>#N/A</v>
      </c>
      <c r="K848" s="46" t="e">
        <f aca="false">IF((H848=0),J848-D848,0)</f>
        <v>#N/A</v>
      </c>
      <c r="L848" s="46" t="e">
        <f aca="true">IF(($H848=0),0,$D$4+$D$5*(RAND()-0.5))</f>
        <v>#N/A</v>
      </c>
      <c r="M848" s="46" t="e">
        <f aca="false">L848+MAX(D848,M847)</f>
        <v>#N/A</v>
      </c>
      <c r="N848" s="46" t="e">
        <f aca="false">IF((H848=1),M848-D848,0)</f>
        <v>#N/A</v>
      </c>
      <c r="O848" s="29" t="n">
        <v>831</v>
      </c>
      <c r="P848" s="49" t="e">
        <f aca="false">IF((Arterial=0),P847+1,P847)</f>
        <v>#N/A</v>
      </c>
      <c r="Q848" s="49" t="e">
        <f aca="false">IF((Arterial=1),Q847+1,Q847)</f>
        <v>#N/A</v>
      </c>
      <c r="R848" s="50" t="n">
        <f aca="false">IF((RESET=1),0,R848+K848)</f>
        <v>0</v>
      </c>
      <c r="S848" s="19" t="n">
        <f aca="false">IF(RESET=1,0,S848+N848)</f>
        <v>0</v>
      </c>
      <c r="T848" s="0" t="n">
        <f aca="false">IF(RESET=1,0,T848+IF(H848=0,1,0))</f>
        <v>0</v>
      </c>
      <c r="U848" s="0" t="n">
        <f aca="false">IF(RESET=1,0,U848+H848)</f>
        <v>0</v>
      </c>
      <c r="V848" s="19" t="n">
        <f aca="false">R848/(T848+0.00001)</f>
        <v>0</v>
      </c>
      <c r="W848" s="19" t="n">
        <f aca="false">S848/(U848+0.0001)</f>
        <v>0</v>
      </c>
      <c r="X848" s="47" t="e">
        <f aca="false">IF(Informed=1,K848,0)</f>
        <v>#N/A</v>
      </c>
      <c r="Y848" s="47" t="n">
        <f aca="false">IF(Informed=0,K848,0)</f>
        <v>0</v>
      </c>
      <c r="Z848" s="47" t="e">
        <f aca="false">IF(Informed=1,N848,0)</f>
        <v>#N/A</v>
      </c>
      <c r="AA848" s="47" t="n">
        <f aca="false">IF(Informed=0,N848,0)</f>
        <v>0</v>
      </c>
      <c r="AB848" s="51" t="e">
        <f aca="false">IF(Arterial=0,IF(Informed=1,1,0),0)</f>
        <v>#N/A</v>
      </c>
      <c r="AC848" s="51" t="e">
        <f aca="false">IF(Arterial=0,IF(Informed=0,1,0),0)</f>
        <v>#N/A</v>
      </c>
      <c r="AD848" s="51" t="e">
        <f aca="false">IF(Arterial=1,IF(Informed=1,1,0),0)</f>
        <v>#N/A</v>
      </c>
      <c r="AE848" s="51" t="e">
        <f aca="false">IF(Arterial=1,IF(Informed=0,1,0),0)</f>
        <v>#N/A</v>
      </c>
      <c r="AF848" s="44" t="e">
        <f aca="false">IF(AB848=1,(X848-G$1030)^2,0)</f>
        <v>#N/A</v>
      </c>
      <c r="AG848" s="44" t="e">
        <f aca="false">IF(AC848=1,(Y848-H$1030)^2,0)</f>
        <v>#N/A</v>
      </c>
      <c r="AH848" s="44" t="e">
        <f aca="false">IF(AD848=1,(Z848-I$1030)^2,0)</f>
        <v>#N/A</v>
      </c>
      <c r="AI848" s="44" t="e">
        <f aca="false">IF(AE848=1,(AA848-J$1030)^2,0)</f>
        <v>#N/A</v>
      </c>
    </row>
    <row r="849" customFormat="false" ht="12" hidden="false" customHeight="false" outlineLevel="0" collapsed="false">
      <c r="A849" s="29" t="n">
        <v>832</v>
      </c>
      <c r="B849" s="45" t="n">
        <f aca="true">IF(RAND()&lt;$D$8,1,0)</f>
        <v>1</v>
      </c>
      <c r="C849" s="34" t="n">
        <f aca="true">-LN(RAND())/$D$2</f>
        <v>0.151796686321707</v>
      </c>
      <c r="D849" s="46" t="n">
        <f aca="false">D848+C849</f>
        <v>1266.99353172104</v>
      </c>
      <c r="E849" s="47" t="e">
        <f aca="false">MAX($D$3,(1+P848-VLOOKUP(VALUE(D849),$J$18:$Q848,7,TRUE()))*$D$3)</f>
        <v>#N/A</v>
      </c>
      <c r="F849" s="47" t="e">
        <f aca="false">MAX($D$4,(1+Q848-VLOOKUP(VALUE(D849),$M$18:$Q848,5,TRUE()))*$D$4)</f>
        <v>#N/A</v>
      </c>
      <c r="G849" s="48" t="n">
        <v>0.5</v>
      </c>
      <c r="H849" s="46" t="e">
        <f aca="true">IF((B849=1),(IF((F849&lt;E849),1,(IF((F849=E849),(IF(RAND()&lt;G849,1,0)),0)))),(IF((RAND()&lt;G849),1,0)))</f>
        <v>#N/A</v>
      </c>
      <c r="I849" s="46" t="e">
        <f aca="true">IF((H849=1),0,$D$3+$D$5*(RAND()-0.5))</f>
        <v>#N/A</v>
      </c>
      <c r="J849" s="46" t="e">
        <f aca="false">I849+MAX(D849,J848)</f>
        <v>#N/A</v>
      </c>
      <c r="K849" s="46" t="e">
        <f aca="false">IF((H849=0),J849-D849,0)</f>
        <v>#N/A</v>
      </c>
      <c r="L849" s="46" t="e">
        <f aca="true">IF(($H849=0),0,$D$4+$D$5*(RAND()-0.5))</f>
        <v>#N/A</v>
      </c>
      <c r="M849" s="46" t="e">
        <f aca="false">L849+MAX(D849,M848)</f>
        <v>#N/A</v>
      </c>
      <c r="N849" s="46" t="e">
        <f aca="false">IF((H849=1),M849-D849,0)</f>
        <v>#N/A</v>
      </c>
      <c r="O849" s="29" t="n">
        <v>832</v>
      </c>
      <c r="P849" s="49" t="e">
        <f aca="false">IF((Arterial=0),P848+1,P848)</f>
        <v>#N/A</v>
      </c>
      <c r="Q849" s="49" t="e">
        <f aca="false">IF((Arterial=1),Q848+1,Q848)</f>
        <v>#N/A</v>
      </c>
      <c r="R849" s="50" t="n">
        <f aca="false">IF((RESET=1),0,R849+K849)</f>
        <v>0</v>
      </c>
      <c r="S849" s="19" t="n">
        <f aca="false">IF(RESET=1,0,S849+N849)</f>
        <v>0</v>
      </c>
      <c r="T849" s="0" t="n">
        <f aca="false">IF(RESET=1,0,T849+IF(H849=0,1,0))</f>
        <v>0</v>
      </c>
      <c r="U849" s="0" t="n">
        <f aca="false">IF(RESET=1,0,U849+H849)</f>
        <v>0</v>
      </c>
      <c r="V849" s="19" t="n">
        <f aca="false">R849/(T849+0.00001)</f>
        <v>0</v>
      </c>
      <c r="W849" s="19" t="n">
        <f aca="false">S849/(U849+0.0001)</f>
        <v>0</v>
      </c>
      <c r="X849" s="47" t="e">
        <f aca="false">IF(Informed=1,K849,0)</f>
        <v>#N/A</v>
      </c>
      <c r="Y849" s="47" t="n">
        <f aca="false">IF(Informed=0,K849,0)</f>
        <v>0</v>
      </c>
      <c r="Z849" s="47" t="e">
        <f aca="false">IF(Informed=1,N849,0)</f>
        <v>#N/A</v>
      </c>
      <c r="AA849" s="47" t="n">
        <f aca="false">IF(Informed=0,N849,0)</f>
        <v>0</v>
      </c>
      <c r="AB849" s="51" t="e">
        <f aca="false">IF(Arterial=0,IF(Informed=1,1,0),0)</f>
        <v>#N/A</v>
      </c>
      <c r="AC849" s="51" t="e">
        <f aca="false">IF(Arterial=0,IF(Informed=0,1,0),0)</f>
        <v>#N/A</v>
      </c>
      <c r="AD849" s="51" t="e">
        <f aca="false">IF(Arterial=1,IF(Informed=1,1,0),0)</f>
        <v>#N/A</v>
      </c>
      <c r="AE849" s="51" t="e">
        <f aca="false">IF(Arterial=1,IF(Informed=0,1,0),0)</f>
        <v>#N/A</v>
      </c>
      <c r="AF849" s="44" t="e">
        <f aca="false">IF(AB849=1,(X849-G$1030)^2,0)</f>
        <v>#N/A</v>
      </c>
      <c r="AG849" s="44" t="e">
        <f aca="false">IF(AC849=1,(Y849-H$1030)^2,0)</f>
        <v>#N/A</v>
      </c>
      <c r="AH849" s="44" t="e">
        <f aca="false">IF(AD849=1,(Z849-I$1030)^2,0)</f>
        <v>#N/A</v>
      </c>
      <c r="AI849" s="44" t="e">
        <f aca="false">IF(AE849=1,(AA849-J$1030)^2,0)</f>
        <v>#N/A</v>
      </c>
    </row>
    <row r="850" customFormat="false" ht="12" hidden="false" customHeight="false" outlineLevel="0" collapsed="false">
      <c r="A850" s="29" t="n">
        <v>833</v>
      </c>
      <c r="B850" s="45" t="n">
        <f aca="true">IF(RAND()&lt;$D$8,1,0)</f>
        <v>1</v>
      </c>
      <c r="C850" s="34" t="n">
        <f aca="true">-LN(RAND())/$D$2</f>
        <v>0.458802082520987</v>
      </c>
      <c r="D850" s="46" t="n">
        <f aca="false">D849+C850</f>
        <v>1267.45233380356</v>
      </c>
      <c r="E850" s="47" t="e">
        <f aca="false">MAX($D$3,(1+P849-VLOOKUP(VALUE(D850),$J$18:$Q849,7,TRUE()))*$D$3)</f>
        <v>#N/A</v>
      </c>
      <c r="F850" s="47" t="e">
        <f aca="false">MAX($D$4,(1+Q849-VLOOKUP(VALUE(D850),$M$18:$Q849,5,TRUE()))*$D$4)</f>
        <v>#N/A</v>
      </c>
      <c r="G850" s="48" t="n">
        <v>0.5</v>
      </c>
      <c r="H850" s="46" t="e">
        <f aca="true">IF((B850=1),(IF((F850&lt;E850),1,(IF((F850=E850),(IF(RAND()&lt;G850,1,0)),0)))),(IF((RAND()&lt;G850),1,0)))</f>
        <v>#N/A</v>
      </c>
      <c r="I850" s="46" t="e">
        <f aca="true">IF((H850=1),0,$D$3+$D$5*(RAND()-0.5))</f>
        <v>#N/A</v>
      </c>
      <c r="J850" s="46" t="e">
        <f aca="false">I850+MAX(D850,J849)</f>
        <v>#N/A</v>
      </c>
      <c r="K850" s="46" t="e">
        <f aca="false">IF((H850=0),J850-D850,0)</f>
        <v>#N/A</v>
      </c>
      <c r="L850" s="46" t="e">
        <f aca="true">IF(($H850=0),0,$D$4+$D$5*(RAND()-0.5))</f>
        <v>#N/A</v>
      </c>
      <c r="M850" s="46" t="e">
        <f aca="false">L850+MAX(D850,M849)</f>
        <v>#N/A</v>
      </c>
      <c r="N850" s="46" t="e">
        <f aca="false">IF((H850=1),M850-D850,0)</f>
        <v>#N/A</v>
      </c>
      <c r="O850" s="29" t="n">
        <v>833</v>
      </c>
      <c r="P850" s="49" t="e">
        <f aca="false">IF((Arterial=0),P849+1,P849)</f>
        <v>#N/A</v>
      </c>
      <c r="Q850" s="49" t="e">
        <f aca="false">IF((Arterial=1),Q849+1,Q849)</f>
        <v>#N/A</v>
      </c>
      <c r="R850" s="50" t="n">
        <f aca="false">IF((RESET=1),0,R850+K850)</f>
        <v>0</v>
      </c>
      <c r="S850" s="19" t="n">
        <f aca="false">IF(RESET=1,0,S850+N850)</f>
        <v>0</v>
      </c>
      <c r="T850" s="0" t="n">
        <f aca="false">IF(RESET=1,0,T850+IF(H850=0,1,0))</f>
        <v>0</v>
      </c>
      <c r="U850" s="0" t="n">
        <f aca="false">IF(RESET=1,0,U850+H850)</f>
        <v>0</v>
      </c>
      <c r="V850" s="19" t="n">
        <f aca="false">R850/(T850+0.00001)</f>
        <v>0</v>
      </c>
      <c r="W850" s="19" t="n">
        <f aca="false">S850/(U850+0.0001)</f>
        <v>0</v>
      </c>
      <c r="X850" s="47" t="e">
        <f aca="false">IF(Informed=1,K850,0)</f>
        <v>#N/A</v>
      </c>
      <c r="Y850" s="47" t="n">
        <f aca="false">IF(Informed=0,K850,0)</f>
        <v>0</v>
      </c>
      <c r="Z850" s="47" t="e">
        <f aca="false">IF(Informed=1,N850,0)</f>
        <v>#N/A</v>
      </c>
      <c r="AA850" s="47" t="n">
        <f aca="false">IF(Informed=0,N850,0)</f>
        <v>0</v>
      </c>
      <c r="AB850" s="51" t="e">
        <f aca="false">IF(Arterial=0,IF(Informed=1,1,0),0)</f>
        <v>#N/A</v>
      </c>
      <c r="AC850" s="51" t="e">
        <f aca="false">IF(Arterial=0,IF(Informed=0,1,0),0)</f>
        <v>#N/A</v>
      </c>
      <c r="AD850" s="51" t="e">
        <f aca="false">IF(Arterial=1,IF(Informed=1,1,0),0)</f>
        <v>#N/A</v>
      </c>
      <c r="AE850" s="51" t="e">
        <f aca="false">IF(Arterial=1,IF(Informed=0,1,0),0)</f>
        <v>#N/A</v>
      </c>
      <c r="AF850" s="44" t="e">
        <f aca="false">IF(AB850=1,(X850-G$1030)^2,0)</f>
        <v>#N/A</v>
      </c>
      <c r="AG850" s="44" t="e">
        <f aca="false">IF(AC850=1,(Y850-H$1030)^2,0)</f>
        <v>#N/A</v>
      </c>
      <c r="AH850" s="44" t="e">
        <f aca="false">IF(AD850=1,(Z850-I$1030)^2,0)</f>
        <v>#N/A</v>
      </c>
      <c r="AI850" s="44" t="e">
        <f aca="false">IF(AE850=1,(AA850-J$1030)^2,0)</f>
        <v>#N/A</v>
      </c>
    </row>
    <row r="851" customFormat="false" ht="12" hidden="false" customHeight="false" outlineLevel="0" collapsed="false">
      <c r="A851" s="29" t="n">
        <v>834</v>
      </c>
      <c r="B851" s="45" t="n">
        <f aca="true">IF(RAND()&lt;$D$8,1,0)</f>
        <v>1</v>
      </c>
      <c r="C851" s="34" t="n">
        <f aca="true">-LN(RAND())/$D$2</f>
        <v>3.66997783451905</v>
      </c>
      <c r="D851" s="46" t="n">
        <f aca="false">D850+C851</f>
        <v>1271.12231163808</v>
      </c>
      <c r="E851" s="47" t="e">
        <f aca="false">MAX($D$3,(1+P850-VLOOKUP(VALUE(D851),$J$18:$Q850,7,TRUE()))*$D$3)</f>
        <v>#N/A</v>
      </c>
      <c r="F851" s="47" t="e">
        <f aca="false">MAX($D$4,(1+Q850-VLOOKUP(VALUE(D851),$M$18:$Q850,5,TRUE()))*$D$4)</f>
        <v>#N/A</v>
      </c>
      <c r="G851" s="48" t="n">
        <v>0.5</v>
      </c>
      <c r="H851" s="46" t="e">
        <f aca="true">IF((B851=1),(IF((F851&lt;E851),1,(IF((F851=E851),(IF(RAND()&lt;G851,1,0)),0)))),(IF((RAND()&lt;G851),1,0)))</f>
        <v>#N/A</v>
      </c>
      <c r="I851" s="46" t="e">
        <f aca="true">IF((H851=1),0,$D$3+$D$5*(RAND()-0.5))</f>
        <v>#N/A</v>
      </c>
      <c r="J851" s="46" t="e">
        <f aca="false">I851+MAX(D851,J850)</f>
        <v>#N/A</v>
      </c>
      <c r="K851" s="46" t="e">
        <f aca="false">IF((H851=0),J851-D851,0)</f>
        <v>#N/A</v>
      </c>
      <c r="L851" s="46" t="e">
        <f aca="true">IF(($H851=0),0,$D$4+$D$5*(RAND()-0.5))</f>
        <v>#N/A</v>
      </c>
      <c r="M851" s="46" t="e">
        <f aca="false">L851+MAX(D851,M850)</f>
        <v>#N/A</v>
      </c>
      <c r="N851" s="46" t="e">
        <f aca="false">IF((H851=1),M851-D851,0)</f>
        <v>#N/A</v>
      </c>
      <c r="O851" s="29" t="n">
        <v>834</v>
      </c>
      <c r="P851" s="49" t="e">
        <f aca="false">IF((Arterial=0),P850+1,P850)</f>
        <v>#N/A</v>
      </c>
      <c r="Q851" s="49" t="e">
        <f aca="false">IF((Arterial=1),Q850+1,Q850)</f>
        <v>#N/A</v>
      </c>
      <c r="R851" s="50" t="n">
        <f aca="false">IF((RESET=1),0,R851+K851)</f>
        <v>0</v>
      </c>
      <c r="S851" s="19" t="n">
        <f aca="false">IF(RESET=1,0,S851+N851)</f>
        <v>0</v>
      </c>
      <c r="T851" s="0" t="n">
        <f aca="false">IF(RESET=1,0,T851+IF(H851=0,1,0))</f>
        <v>0</v>
      </c>
      <c r="U851" s="0" t="n">
        <f aca="false">IF(RESET=1,0,U851+H851)</f>
        <v>0</v>
      </c>
      <c r="V851" s="19" t="n">
        <f aca="false">R851/(T851+0.00001)</f>
        <v>0</v>
      </c>
      <c r="W851" s="19" t="n">
        <f aca="false">S851/(U851+0.0001)</f>
        <v>0</v>
      </c>
      <c r="X851" s="47" t="e">
        <f aca="false">IF(Informed=1,K851,0)</f>
        <v>#N/A</v>
      </c>
      <c r="Y851" s="47" t="n">
        <f aca="false">IF(Informed=0,K851,0)</f>
        <v>0</v>
      </c>
      <c r="Z851" s="47" t="e">
        <f aca="false">IF(Informed=1,N851,0)</f>
        <v>#N/A</v>
      </c>
      <c r="AA851" s="47" t="n">
        <f aca="false">IF(Informed=0,N851,0)</f>
        <v>0</v>
      </c>
      <c r="AB851" s="51" t="e">
        <f aca="false">IF(Arterial=0,IF(Informed=1,1,0),0)</f>
        <v>#N/A</v>
      </c>
      <c r="AC851" s="51" t="e">
        <f aca="false">IF(Arterial=0,IF(Informed=0,1,0),0)</f>
        <v>#N/A</v>
      </c>
      <c r="AD851" s="51" t="e">
        <f aca="false">IF(Arterial=1,IF(Informed=1,1,0),0)</f>
        <v>#N/A</v>
      </c>
      <c r="AE851" s="51" t="e">
        <f aca="false">IF(Arterial=1,IF(Informed=0,1,0),0)</f>
        <v>#N/A</v>
      </c>
      <c r="AF851" s="44" t="e">
        <f aca="false">IF(AB851=1,(X851-G$1030)^2,0)</f>
        <v>#N/A</v>
      </c>
      <c r="AG851" s="44" t="e">
        <f aca="false">IF(AC851=1,(Y851-H$1030)^2,0)</f>
        <v>#N/A</v>
      </c>
      <c r="AH851" s="44" t="e">
        <f aca="false">IF(AD851=1,(Z851-I$1030)^2,0)</f>
        <v>#N/A</v>
      </c>
      <c r="AI851" s="44" t="e">
        <f aca="false">IF(AE851=1,(AA851-J$1030)^2,0)</f>
        <v>#N/A</v>
      </c>
    </row>
    <row r="852" customFormat="false" ht="12" hidden="false" customHeight="false" outlineLevel="0" collapsed="false">
      <c r="A852" s="29" t="n">
        <v>835</v>
      </c>
      <c r="B852" s="45" t="n">
        <f aca="true">IF(RAND()&lt;$D$8,1,0)</f>
        <v>1</v>
      </c>
      <c r="C852" s="34" t="n">
        <f aca="true">-LN(RAND())/$D$2</f>
        <v>1.71038105526433</v>
      </c>
      <c r="D852" s="46" t="n">
        <f aca="false">D851+C852</f>
        <v>1272.83269269335</v>
      </c>
      <c r="E852" s="47" t="e">
        <f aca="false">MAX($D$3,(1+P851-VLOOKUP(VALUE(D852),$J$18:$Q851,7,TRUE()))*$D$3)</f>
        <v>#N/A</v>
      </c>
      <c r="F852" s="47" t="e">
        <f aca="false">MAX($D$4,(1+Q851-VLOOKUP(VALUE(D852),$M$18:$Q851,5,TRUE()))*$D$4)</f>
        <v>#N/A</v>
      </c>
      <c r="G852" s="48" t="n">
        <v>0.5</v>
      </c>
      <c r="H852" s="46" t="e">
        <f aca="true">IF((B852=1),(IF((F852&lt;E852),1,(IF((F852=E852),(IF(RAND()&lt;G852,1,0)),0)))),(IF((RAND()&lt;G852),1,0)))</f>
        <v>#N/A</v>
      </c>
      <c r="I852" s="46" t="e">
        <f aca="true">IF((H852=1),0,$D$3+$D$5*(RAND()-0.5))</f>
        <v>#N/A</v>
      </c>
      <c r="J852" s="46" t="e">
        <f aca="false">I852+MAX(D852,J851)</f>
        <v>#N/A</v>
      </c>
      <c r="K852" s="46" t="e">
        <f aca="false">IF((H852=0),J852-D852,0)</f>
        <v>#N/A</v>
      </c>
      <c r="L852" s="46" t="e">
        <f aca="true">IF(($H852=0),0,$D$4+$D$5*(RAND()-0.5))</f>
        <v>#N/A</v>
      </c>
      <c r="M852" s="46" t="e">
        <f aca="false">L852+MAX(D852,M851)</f>
        <v>#N/A</v>
      </c>
      <c r="N852" s="46" t="e">
        <f aca="false">IF((H852=1),M852-D852,0)</f>
        <v>#N/A</v>
      </c>
      <c r="O852" s="29" t="n">
        <v>835</v>
      </c>
      <c r="P852" s="49" t="e">
        <f aca="false">IF((Arterial=0),P851+1,P851)</f>
        <v>#N/A</v>
      </c>
      <c r="Q852" s="49" t="e">
        <f aca="false">IF((Arterial=1),Q851+1,Q851)</f>
        <v>#N/A</v>
      </c>
      <c r="R852" s="50" t="n">
        <f aca="false">IF((RESET=1),0,R852+K852)</f>
        <v>0</v>
      </c>
      <c r="S852" s="19" t="n">
        <f aca="false">IF(RESET=1,0,S852+N852)</f>
        <v>0</v>
      </c>
      <c r="T852" s="0" t="n">
        <f aca="false">IF(RESET=1,0,T852+IF(H852=0,1,0))</f>
        <v>0</v>
      </c>
      <c r="U852" s="0" t="n">
        <f aca="false">IF(RESET=1,0,U852+H852)</f>
        <v>0</v>
      </c>
      <c r="V852" s="19" t="n">
        <f aca="false">R852/(T852+0.00001)</f>
        <v>0</v>
      </c>
      <c r="W852" s="19" t="n">
        <f aca="false">S852/(U852+0.0001)</f>
        <v>0</v>
      </c>
      <c r="X852" s="47" t="e">
        <f aca="false">IF(Informed=1,K852,0)</f>
        <v>#N/A</v>
      </c>
      <c r="Y852" s="47" t="n">
        <f aca="false">IF(Informed=0,K852,0)</f>
        <v>0</v>
      </c>
      <c r="Z852" s="47" t="e">
        <f aca="false">IF(Informed=1,N852,0)</f>
        <v>#N/A</v>
      </c>
      <c r="AA852" s="47" t="n">
        <f aca="false">IF(Informed=0,N852,0)</f>
        <v>0</v>
      </c>
      <c r="AB852" s="51" t="e">
        <f aca="false">IF(Arterial=0,IF(Informed=1,1,0),0)</f>
        <v>#N/A</v>
      </c>
      <c r="AC852" s="51" t="e">
        <f aca="false">IF(Arterial=0,IF(Informed=0,1,0),0)</f>
        <v>#N/A</v>
      </c>
      <c r="AD852" s="51" t="e">
        <f aca="false">IF(Arterial=1,IF(Informed=1,1,0),0)</f>
        <v>#N/A</v>
      </c>
      <c r="AE852" s="51" t="e">
        <f aca="false">IF(Arterial=1,IF(Informed=0,1,0),0)</f>
        <v>#N/A</v>
      </c>
      <c r="AF852" s="44" t="e">
        <f aca="false">IF(AB852=1,(X852-G$1030)^2,0)</f>
        <v>#N/A</v>
      </c>
      <c r="AG852" s="44" t="e">
        <f aca="false">IF(AC852=1,(Y852-H$1030)^2,0)</f>
        <v>#N/A</v>
      </c>
      <c r="AH852" s="44" t="e">
        <f aca="false">IF(AD852=1,(Z852-I$1030)^2,0)</f>
        <v>#N/A</v>
      </c>
      <c r="AI852" s="44" t="e">
        <f aca="false">IF(AE852=1,(AA852-J$1030)^2,0)</f>
        <v>#N/A</v>
      </c>
    </row>
    <row r="853" customFormat="false" ht="12" hidden="false" customHeight="false" outlineLevel="0" collapsed="false">
      <c r="A853" s="29" t="n">
        <v>836</v>
      </c>
      <c r="B853" s="45" t="n">
        <f aca="true">IF(RAND()&lt;$D$8,1,0)</f>
        <v>1</v>
      </c>
      <c r="C853" s="34" t="n">
        <f aca="true">-LN(RAND())/$D$2</f>
        <v>2.02963893425447</v>
      </c>
      <c r="D853" s="46" t="n">
        <f aca="false">D852+C853</f>
        <v>1274.8623316276</v>
      </c>
      <c r="E853" s="47" t="e">
        <f aca="false">MAX($D$3,(1+P852-VLOOKUP(VALUE(D853),$J$18:$Q852,7,TRUE()))*$D$3)</f>
        <v>#N/A</v>
      </c>
      <c r="F853" s="47" t="e">
        <f aca="false">MAX($D$4,(1+Q852-VLOOKUP(VALUE(D853),$M$18:$Q852,5,TRUE()))*$D$4)</f>
        <v>#N/A</v>
      </c>
      <c r="G853" s="48" t="n">
        <v>0.5</v>
      </c>
      <c r="H853" s="46" t="e">
        <f aca="true">IF((B853=1),(IF((F853&lt;E853),1,(IF((F853=E853),(IF(RAND()&lt;G853,1,0)),0)))),(IF((RAND()&lt;G853),1,0)))</f>
        <v>#N/A</v>
      </c>
      <c r="I853" s="46" t="e">
        <f aca="true">IF((H853=1),0,$D$3+$D$5*(RAND()-0.5))</f>
        <v>#N/A</v>
      </c>
      <c r="J853" s="46" t="e">
        <f aca="false">I853+MAX(D853,J852)</f>
        <v>#N/A</v>
      </c>
      <c r="K853" s="46" t="e">
        <f aca="false">IF((H853=0),J853-D853,0)</f>
        <v>#N/A</v>
      </c>
      <c r="L853" s="46" t="e">
        <f aca="true">IF(($H853=0),0,$D$4+$D$5*(RAND()-0.5))</f>
        <v>#N/A</v>
      </c>
      <c r="M853" s="46" t="e">
        <f aca="false">L853+MAX(D853,M852)</f>
        <v>#N/A</v>
      </c>
      <c r="N853" s="46" t="e">
        <f aca="false">IF((H853=1),M853-D853,0)</f>
        <v>#N/A</v>
      </c>
      <c r="O853" s="29" t="n">
        <v>836</v>
      </c>
      <c r="P853" s="49" t="e">
        <f aca="false">IF((Arterial=0),P852+1,P852)</f>
        <v>#N/A</v>
      </c>
      <c r="Q853" s="49" t="e">
        <f aca="false">IF((Arterial=1),Q852+1,Q852)</f>
        <v>#N/A</v>
      </c>
      <c r="R853" s="50" t="n">
        <f aca="false">IF((RESET=1),0,R853+K853)</f>
        <v>0</v>
      </c>
      <c r="S853" s="19" t="n">
        <f aca="false">IF(RESET=1,0,S853+N853)</f>
        <v>0</v>
      </c>
      <c r="T853" s="0" t="n">
        <f aca="false">IF(RESET=1,0,T853+IF(H853=0,1,0))</f>
        <v>0</v>
      </c>
      <c r="U853" s="0" t="n">
        <f aca="false">IF(RESET=1,0,U853+H853)</f>
        <v>0</v>
      </c>
      <c r="V853" s="19" t="n">
        <f aca="false">R853/(T853+0.00001)</f>
        <v>0</v>
      </c>
      <c r="W853" s="19" t="n">
        <f aca="false">S853/(U853+0.0001)</f>
        <v>0</v>
      </c>
      <c r="X853" s="47" t="e">
        <f aca="false">IF(Informed=1,K853,0)</f>
        <v>#N/A</v>
      </c>
      <c r="Y853" s="47" t="n">
        <f aca="false">IF(Informed=0,K853,0)</f>
        <v>0</v>
      </c>
      <c r="Z853" s="47" t="e">
        <f aca="false">IF(Informed=1,N853,0)</f>
        <v>#N/A</v>
      </c>
      <c r="AA853" s="47" t="n">
        <f aca="false">IF(Informed=0,N853,0)</f>
        <v>0</v>
      </c>
      <c r="AB853" s="51" t="e">
        <f aca="false">IF(Arterial=0,IF(Informed=1,1,0),0)</f>
        <v>#N/A</v>
      </c>
      <c r="AC853" s="51" t="e">
        <f aca="false">IF(Arterial=0,IF(Informed=0,1,0),0)</f>
        <v>#N/A</v>
      </c>
      <c r="AD853" s="51" t="e">
        <f aca="false">IF(Arterial=1,IF(Informed=1,1,0),0)</f>
        <v>#N/A</v>
      </c>
      <c r="AE853" s="51" t="e">
        <f aca="false">IF(Arterial=1,IF(Informed=0,1,0),0)</f>
        <v>#N/A</v>
      </c>
      <c r="AF853" s="44" t="e">
        <f aca="false">IF(AB853=1,(X853-G$1030)^2,0)</f>
        <v>#N/A</v>
      </c>
      <c r="AG853" s="44" t="e">
        <f aca="false">IF(AC853=1,(Y853-H$1030)^2,0)</f>
        <v>#N/A</v>
      </c>
      <c r="AH853" s="44" t="e">
        <f aca="false">IF(AD853=1,(Z853-I$1030)^2,0)</f>
        <v>#N/A</v>
      </c>
      <c r="AI853" s="44" t="e">
        <f aca="false">IF(AE853=1,(AA853-J$1030)^2,0)</f>
        <v>#N/A</v>
      </c>
    </row>
    <row r="854" customFormat="false" ht="12" hidden="false" customHeight="false" outlineLevel="0" collapsed="false">
      <c r="A854" s="29" t="n">
        <v>837</v>
      </c>
      <c r="B854" s="45" t="n">
        <f aca="true">IF(RAND()&lt;$D$8,1,0)</f>
        <v>1</v>
      </c>
      <c r="C854" s="34" t="n">
        <f aca="true">-LN(RAND())/$D$2</f>
        <v>0.552532270619076</v>
      </c>
      <c r="D854" s="46" t="n">
        <f aca="false">D853+C854</f>
        <v>1275.41486389822</v>
      </c>
      <c r="E854" s="47" t="e">
        <f aca="false">MAX($D$3,(1+P853-VLOOKUP(VALUE(D854),$J$18:$Q853,7,TRUE()))*$D$3)</f>
        <v>#N/A</v>
      </c>
      <c r="F854" s="47" t="e">
        <f aca="false">MAX($D$4,(1+Q853-VLOOKUP(VALUE(D854),$M$18:$Q853,5,TRUE()))*$D$4)</f>
        <v>#N/A</v>
      </c>
      <c r="G854" s="48" t="n">
        <v>0.5</v>
      </c>
      <c r="H854" s="46" t="e">
        <f aca="true">IF((B854=1),(IF((F854&lt;E854),1,(IF((F854=E854),(IF(RAND()&lt;G854,1,0)),0)))),(IF((RAND()&lt;G854),1,0)))</f>
        <v>#N/A</v>
      </c>
      <c r="I854" s="46" t="e">
        <f aca="true">IF((H854=1),0,$D$3+$D$5*(RAND()-0.5))</f>
        <v>#N/A</v>
      </c>
      <c r="J854" s="46" t="e">
        <f aca="false">I854+MAX(D854,J853)</f>
        <v>#N/A</v>
      </c>
      <c r="K854" s="46" t="e">
        <f aca="false">IF((H854=0),J854-D854,0)</f>
        <v>#N/A</v>
      </c>
      <c r="L854" s="46" t="e">
        <f aca="true">IF(($H854=0),0,$D$4+$D$5*(RAND()-0.5))</f>
        <v>#N/A</v>
      </c>
      <c r="M854" s="46" t="e">
        <f aca="false">L854+MAX(D854,M853)</f>
        <v>#N/A</v>
      </c>
      <c r="N854" s="46" t="e">
        <f aca="false">IF((H854=1),M854-D854,0)</f>
        <v>#N/A</v>
      </c>
      <c r="O854" s="29" t="n">
        <v>837</v>
      </c>
      <c r="P854" s="49" t="e">
        <f aca="false">IF((Arterial=0),P853+1,P853)</f>
        <v>#N/A</v>
      </c>
      <c r="Q854" s="49" t="e">
        <f aca="false">IF((Arterial=1),Q853+1,Q853)</f>
        <v>#N/A</v>
      </c>
      <c r="R854" s="50" t="n">
        <f aca="false">IF((RESET=1),0,R854+K854)</f>
        <v>0</v>
      </c>
      <c r="S854" s="19" t="n">
        <f aca="false">IF(RESET=1,0,S854+N854)</f>
        <v>0</v>
      </c>
      <c r="T854" s="0" t="n">
        <f aca="false">IF(RESET=1,0,T854+IF(H854=0,1,0))</f>
        <v>0</v>
      </c>
      <c r="U854" s="0" t="n">
        <f aca="false">IF(RESET=1,0,U854+H854)</f>
        <v>0</v>
      </c>
      <c r="V854" s="19" t="n">
        <f aca="false">R854/(T854+0.00001)</f>
        <v>0</v>
      </c>
      <c r="W854" s="19" t="n">
        <f aca="false">S854/(U854+0.0001)</f>
        <v>0</v>
      </c>
      <c r="X854" s="47" t="e">
        <f aca="false">IF(Informed=1,K854,0)</f>
        <v>#N/A</v>
      </c>
      <c r="Y854" s="47" t="n">
        <f aca="false">IF(Informed=0,K854,0)</f>
        <v>0</v>
      </c>
      <c r="Z854" s="47" t="e">
        <f aca="false">IF(Informed=1,N854,0)</f>
        <v>#N/A</v>
      </c>
      <c r="AA854" s="47" t="n">
        <f aca="false">IF(Informed=0,N854,0)</f>
        <v>0</v>
      </c>
      <c r="AB854" s="51" t="e">
        <f aca="false">IF(Arterial=0,IF(Informed=1,1,0),0)</f>
        <v>#N/A</v>
      </c>
      <c r="AC854" s="51" t="e">
        <f aca="false">IF(Arterial=0,IF(Informed=0,1,0),0)</f>
        <v>#N/A</v>
      </c>
      <c r="AD854" s="51" t="e">
        <f aca="false">IF(Arterial=1,IF(Informed=1,1,0),0)</f>
        <v>#N/A</v>
      </c>
      <c r="AE854" s="51" t="e">
        <f aca="false">IF(Arterial=1,IF(Informed=0,1,0),0)</f>
        <v>#N/A</v>
      </c>
      <c r="AF854" s="44" t="e">
        <f aca="false">IF(AB854=1,(X854-G$1030)^2,0)</f>
        <v>#N/A</v>
      </c>
      <c r="AG854" s="44" t="e">
        <f aca="false">IF(AC854=1,(Y854-H$1030)^2,0)</f>
        <v>#N/A</v>
      </c>
      <c r="AH854" s="44" t="e">
        <f aca="false">IF(AD854=1,(Z854-I$1030)^2,0)</f>
        <v>#N/A</v>
      </c>
      <c r="AI854" s="44" t="e">
        <f aca="false">IF(AE854=1,(AA854-J$1030)^2,0)</f>
        <v>#N/A</v>
      </c>
    </row>
    <row r="855" customFormat="false" ht="12" hidden="false" customHeight="false" outlineLevel="0" collapsed="false">
      <c r="A855" s="29" t="n">
        <v>838</v>
      </c>
      <c r="B855" s="45" t="n">
        <f aca="true">IF(RAND()&lt;$D$8,1,0)</f>
        <v>1</v>
      </c>
      <c r="C855" s="34" t="n">
        <f aca="true">-LN(RAND())/$D$2</f>
        <v>0.583024884521455</v>
      </c>
      <c r="D855" s="46" t="n">
        <f aca="false">D854+C855</f>
        <v>1275.99788878274</v>
      </c>
      <c r="E855" s="47" t="e">
        <f aca="false">MAX($D$3,(1+P854-VLOOKUP(VALUE(D855),$J$18:$Q854,7,TRUE()))*$D$3)</f>
        <v>#N/A</v>
      </c>
      <c r="F855" s="47" t="e">
        <f aca="false">MAX($D$4,(1+Q854-VLOOKUP(VALUE(D855),$M$18:$Q854,5,TRUE()))*$D$4)</f>
        <v>#N/A</v>
      </c>
      <c r="G855" s="48" t="n">
        <v>0.5</v>
      </c>
      <c r="H855" s="46" t="e">
        <f aca="true">IF((B855=1),(IF((F855&lt;E855),1,(IF((F855=E855),(IF(RAND()&lt;G855,1,0)),0)))),(IF((RAND()&lt;G855),1,0)))</f>
        <v>#N/A</v>
      </c>
      <c r="I855" s="46" t="e">
        <f aca="true">IF((H855=1),0,$D$3+$D$5*(RAND()-0.5))</f>
        <v>#N/A</v>
      </c>
      <c r="J855" s="46" t="e">
        <f aca="false">I855+MAX(D855,J854)</f>
        <v>#N/A</v>
      </c>
      <c r="K855" s="46" t="e">
        <f aca="false">IF((H855=0),J855-D855,0)</f>
        <v>#N/A</v>
      </c>
      <c r="L855" s="46" t="e">
        <f aca="true">IF(($H855=0),0,$D$4+$D$5*(RAND()-0.5))</f>
        <v>#N/A</v>
      </c>
      <c r="M855" s="46" t="e">
        <f aca="false">L855+MAX(D855,M854)</f>
        <v>#N/A</v>
      </c>
      <c r="N855" s="46" t="e">
        <f aca="false">IF((H855=1),M855-D855,0)</f>
        <v>#N/A</v>
      </c>
      <c r="O855" s="29" t="n">
        <v>838</v>
      </c>
      <c r="P855" s="49" t="e">
        <f aca="false">IF((Arterial=0),P854+1,P854)</f>
        <v>#N/A</v>
      </c>
      <c r="Q855" s="49" t="e">
        <f aca="false">IF((Arterial=1),Q854+1,Q854)</f>
        <v>#N/A</v>
      </c>
      <c r="R855" s="50" t="n">
        <f aca="false">IF((RESET=1),0,R855+K855)</f>
        <v>0</v>
      </c>
      <c r="S855" s="19" t="n">
        <f aca="false">IF(RESET=1,0,S855+N855)</f>
        <v>0</v>
      </c>
      <c r="T855" s="0" t="n">
        <f aca="false">IF(RESET=1,0,T855+IF(H855=0,1,0))</f>
        <v>0</v>
      </c>
      <c r="U855" s="0" t="n">
        <f aca="false">IF(RESET=1,0,U855+H855)</f>
        <v>0</v>
      </c>
      <c r="V855" s="19" t="n">
        <f aca="false">R855/(T855+0.00001)</f>
        <v>0</v>
      </c>
      <c r="W855" s="19" t="n">
        <f aca="false">S855/(U855+0.0001)</f>
        <v>0</v>
      </c>
      <c r="X855" s="47" t="e">
        <f aca="false">IF(Informed=1,K855,0)</f>
        <v>#N/A</v>
      </c>
      <c r="Y855" s="47" t="n">
        <f aca="false">IF(Informed=0,K855,0)</f>
        <v>0</v>
      </c>
      <c r="Z855" s="47" t="e">
        <f aca="false">IF(Informed=1,N855,0)</f>
        <v>#N/A</v>
      </c>
      <c r="AA855" s="47" t="n">
        <f aca="false">IF(Informed=0,N855,0)</f>
        <v>0</v>
      </c>
      <c r="AB855" s="51" t="e">
        <f aca="false">IF(Arterial=0,IF(Informed=1,1,0),0)</f>
        <v>#N/A</v>
      </c>
      <c r="AC855" s="51" t="e">
        <f aca="false">IF(Arterial=0,IF(Informed=0,1,0),0)</f>
        <v>#N/A</v>
      </c>
      <c r="AD855" s="51" t="e">
        <f aca="false">IF(Arterial=1,IF(Informed=1,1,0),0)</f>
        <v>#N/A</v>
      </c>
      <c r="AE855" s="51" t="e">
        <f aca="false">IF(Arterial=1,IF(Informed=0,1,0),0)</f>
        <v>#N/A</v>
      </c>
      <c r="AF855" s="44" t="e">
        <f aca="false">IF(AB855=1,(X855-G$1030)^2,0)</f>
        <v>#N/A</v>
      </c>
      <c r="AG855" s="44" t="e">
        <f aca="false">IF(AC855=1,(Y855-H$1030)^2,0)</f>
        <v>#N/A</v>
      </c>
      <c r="AH855" s="44" t="e">
        <f aca="false">IF(AD855=1,(Z855-I$1030)^2,0)</f>
        <v>#N/A</v>
      </c>
      <c r="AI855" s="44" t="e">
        <f aca="false">IF(AE855=1,(AA855-J$1030)^2,0)</f>
        <v>#N/A</v>
      </c>
    </row>
    <row r="856" customFormat="false" ht="12" hidden="false" customHeight="false" outlineLevel="0" collapsed="false">
      <c r="A856" s="29" t="n">
        <v>839</v>
      </c>
      <c r="B856" s="45" t="n">
        <f aca="true">IF(RAND()&lt;$D$8,1,0)</f>
        <v>1</v>
      </c>
      <c r="C856" s="34" t="n">
        <f aca="true">-LN(RAND())/$D$2</f>
        <v>2.66060845282987</v>
      </c>
      <c r="D856" s="46" t="n">
        <f aca="false">D855+C856</f>
        <v>1278.65849723557</v>
      </c>
      <c r="E856" s="47" t="e">
        <f aca="false">MAX($D$3,(1+P855-VLOOKUP(VALUE(D856),$J$18:$Q855,7,TRUE()))*$D$3)</f>
        <v>#N/A</v>
      </c>
      <c r="F856" s="47" t="e">
        <f aca="false">MAX($D$4,(1+Q855-VLOOKUP(VALUE(D856),$M$18:$Q855,5,TRUE()))*$D$4)</f>
        <v>#N/A</v>
      </c>
      <c r="G856" s="48" t="n">
        <v>0.5</v>
      </c>
      <c r="H856" s="46" t="e">
        <f aca="true">IF((B856=1),(IF((F856&lt;E856),1,(IF((F856=E856),(IF(RAND()&lt;G856,1,0)),0)))),(IF((RAND()&lt;G856),1,0)))</f>
        <v>#N/A</v>
      </c>
      <c r="I856" s="46" t="e">
        <f aca="true">IF((H856=1),0,$D$3+$D$5*(RAND()-0.5))</f>
        <v>#N/A</v>
      </c>
      <c r="J856" s="46" t="e">
        <f aca="false">I856+MAX(D856,J855)</f>
        <v>#N/A</v>
      </c>
      <c r="K856" s="46" t="e">
        <f aca="false">IF((H856=0),J856-D856,0)</f>
        <v>#N/A</v>
      </c>
      <c r="L856" s="46" t="e">
        <f aca="true">IF(($H856=0),0,$D$4+$D$5*(RAND()-0.5))</f>
        <v>#N/A</v>
      </c>
      <c r="M856" s="46" t="e">
        <f aca="false">L856+MAX(D856,M855)</f>
        <v>#N/A</v>
      </c>
      <c r="N856" s="46" t="e">
        <f aca="false">IF((H856=1),M856-D856,0)</f>
        <v>#N/A</v>
      </c>
      <c r="O856" s="29" t="n">
        <v>839</v>
      </c>
      <c r="P856" s="49" t="e">
        <f aca="false">IF((Arterial=0),P855+1,P855)</f>
        <v>#N/A</v>
      </c>
      <c r="Q856" s="49" t="e">
        <f aca="false">IF((Arterial=1),Q855+1,Q855)</f>
        <v>#N/A</v>
      </c>
      <c r="R856" s="50" t="n">
        <f aca="false">IF((RESET=1),0,R856+K856)</f>
        <v>0</v>
      </c>
      <c r="S856" s="19" t="n">
        <f aca="false">IF(RESET=1,0,S856+N856)</f>
        <v>0</v>
      </c>
      <c r="T856" s="0" t="n">
        <f aca="false">IF(RESET=1,0,T856+IF(H856=0,1,0))</f>
        <v>0</v>
      </c>
      <c r="U856" s="0" t="n">
        <f aca="false">IF(RESET=1,0,U856+H856)</f>
        <v>0</v>
      </c>
      <c r="V856" s="19" t="n">
        <f aca="false">R856/(T856+0.00001)</f>
        <v>0</v>
      </c>
      <c r="W856" s="19" t="n">
        <f aca="false">S856/(U856+0.0001)</f>
        <v>0</v>
      </c>
      <c r="X856" s="47" t="e">
        <f aca="false">IF(Informed=1,K856,0)</f>
        <v>#N/A</v>
      </c>
      <c r="Y856" s="47" t="n">
        <f aca="false">IF(Informed=0,K856,0)</f>
        <v>0</v>
      </c>
      <c r="Z856" s="47" t="e">
        <f aca="false">IF(Informed=1,N856,0)</f>
        <v>#N/A</v>
      </c>
      <c r="AA856" s="47" t="n">
        <f aca="false">IF(Informed=0,N856,0)</f>
        <v>0</v>
      </c>
      <c r="AB856" s="51" t="e">
        <f aca="false">IF(Arterial=0,IF(Informed=1,1,0),0)</f>
        <v>#N/A</v>
      </c>
      <c r="AC856" s="51" t="e">
        <f aca="false">IF(Arterial=0,IF(Informed=0,1,0),0)</f>
        <v>#N/A</v>
      </c>
      <c r="AD856" s="51" t="e">
        <f aca="false">IF(Arterial=1,IF(Informed=1,1,0),0)</f>
        <v>#N/A</v>
      </c>
      <c r="AE856" s="51" t="e">
        <f aca="false">IF(Arterial=1,IF(Informed=0,1,0),0)</f>
        <v>#N/A</v>
      </c>
      <c r="AF856" s="44" t="e">
        <f aca="false">IF(AB856=1,(X856-G$1030)^2,0)</f>
        <v>#N/A</v>
      </c>
      <c r="AG856" s="44" t="e">
        <f aca="false">IF(AC856=1,(Y856-H$1030)^2,0)</f>
        <v>#N/A</v>
      </c>
      <c r="AH856" s="44" t="e">
        <f aca="false">IF(AD856=1,(Z856-I$1030)^2,0)</f>
        <v>#N/A</v>
      </c>
      <c r="AI856" s="44" t="e">
        <f aca="false">IF(AE856=1,(AA856-J$1030)^2,0)</f>
        <v>#N/A</v>
      </c>
    </row>
    <row r="857" customFormat="false" ht="12" hidden="false" customHeight="false" outlineLevel="0" collapsed="false">
      <c r="A857" s="29" t="n">
        <v>840</v>
      </c>
      <c r="B857" s="45" t="n">
        <f aca="true">IF(RAND()&lt;$D$8,1,0)</f>
        <v>1</v>
      </c>
      <c r="C857" s="34" t="n">
        <f aca="true">-LN(RAND())/$D$2</f>
        <v>0.0706426359076128</v>
      </c>
      <c r="D857" s="46" t="n">
        <f aca="false">D856+C857</f>
        <v>1278.72913987148</v>
      </c>
      <c r="E857" s="47" t="e">
        <f aca="false">MAX($D$3,(1+P856-VLOOKUP(VALUE(D857),$J$18:$Q856,7,TRUE()))*$D$3)</f>
        <v>#N/A</v>
      </c>
      <c r="F857" s="47" t="e">
        <f aca="false">MAX($D$4,(1+Q856-VLOOKUP(VALUE(D857),$M$18:$Q856,5,TRUE()))*$D$4)</f>
        <v>#N/A</v>
      </c>
      <c r="G857" s="48" t="n">
        <v>0.5</v>
      </c>
      <c r="H857" s="46" t="e">
        <f aca="true">IF((B857=1),(IF((F857&lt;E857),1,(IF((F857=E857),(IF(RAND()&lt;G857,1,0)),0)))),(IF((RAND()&lt;G857),1,0)))</f>
        <v>#N/A</v>
      </c>
      <c r="I857" s="46" t="e">
        <f aca="true">IF((H857=1),0,$D$3+$D$5*(RAND()-0.5))</f>
        <v>#N/A</v>
      </c>
      <c r="J857" s="46" t="e">
        <f aca="false">I857+MAX(D857,J856)</f>
        <v>#N/A</v>
      </c>
      <c r="K857" s="46" t="e">
        <f aca="false">IF((H857=0),J857-D857,0)</f>
        <v>#N/A</v>
      </c>
      <c r="L857" s="46" t="e">
        <f aca="true">IF(($H857=0),0,$D$4+$D$5*(RAND()-0.5))</f>
        <v>#N/A</v>
      </c>
      <c r="M857" s="46" t="e">
        <f aca="false">L857+MAX(D857,M856)</f>
        <v>#N/A</v>
      </c>
      <c r="N857" s="46" t="e">
        <f aca="false">IF((H857=1),M857-D857,0)</f>
        <v>#N/A</v>
      </c>
      <c r="O857" s="29" t="n">
        <v>840</v>
      </c>
      <c r="P857" s="49" t="e">
        <f aca="false">IF((Arterial=0),P856+1,P856)</f>
        <v>#N/A</v>
      </c>
      <c r="Q857" s="49" t="e">
        <f aca="false">IF((Arterial=1),Q856+1,Q856)</f>
        <v>#N/A</v>
      </c>
      <c r="R857" s="50" t="n">
        <f aca="false">IF((RESET=1),0,R857+K857)</f>
        <v>0</v>
      </c>
      <c r="S857" s="19" t="n">
        <f aca="false">IF(RESET=1,0,S857+N857)</f>
        <v>0</v>
      </c>
      <c r="T857" s="0" t="n">
        <f aca="false">IF(RESET=1,0,T857+IF(H857=0,1,0))</f>
        <v>0</v>
      </c>
      <c r="U857" s="0" t="n">
        <f aca="false">IF(RESET=1,0,U857+H857)</f>
        <v>0</v>
      </c>
      <c r="V857" s="19" t="n">
        <f aca="false">R857/(T857+0.00001)</f>
        <v>0</v>
      </c>
      <c r="W857" s="19" t="n">
        <f aca="false">S857/(U857+0.0001)</f>
        <v>0</v>
      </c>
      <c r="X857" s="47" t="e">
        <f aca="false">IF(Informed=1,K857,0)</f>
        <v>#N/A</v>
      </c>
      <c r="Y857" s="47" t="n">
        <f aca="false">IF(Informed=0,K857,0)</f>
        <v>0</v>
      </c>
      <c r="Z857" s="47" t="e">
        <f aca="false">IF(Informed=1,N857,0)</f>
        <v>#N/A</v>
      </c>
      <c r="AA857" s="47" t="n">
        <f aca="false">IF(Informed=0,N857,0)</f>
        <v>0</v>
      </c>
      <c r="AB857" s="51" t="e">
        <f aca="false">IF(Arterial=0,IF(Informed=1,1,0),0)</f>
        <v>#N/A</v>
      </c>
      <c r="AC857" s="51" t="e">
        <f aca="false">IF(Arterial=0,IF(Informed=0,1,0),0)</f>
        <v>#N/A</v>
      </c>
      <c r="AD857" s="51" t="e">
        <f aca="false">IF(Arterial=1,IF(Informed=1,1,0),0)</f>
        <v>#N/A</v>
      </c>
      <c r="AE857" s="51" t="e">
        <f aca="false">IF(Arterial=1,IF(Informed=0,1,0),0)</f>
        <v>#N/A</v>
      </c>
      <c r="AF857" s="44" t="e">
        <f aca="false">IF(AB857=1,(X857-G$1030)^2,0)</f>
        <v>#N/A</v>
      </c>
      <c r="AG857" s="44" t="e">
        <f aca="false">IF(AC857=1,(Y857-H$1030)^2,0)</f>
        <v>#N/A</v>
      </c>
      <c r="AH857" s="44" t="e">
        <f aca="false">IF(AD857=1,(Z857-I$1030)^2,0)</f>
        <v>#N/A</v>
      </c>
      <c r="AI857" s="44" t="e">
        <f aca="false">IF(AE857=1,(AA857-J$1030)^2,0)</f>
        <v>#N/A</v>
      </c>
    </row>
    <row r="858" customFormat="false" ht="12" hidden="false" customHeight="false" outlineLevel="0" collapsed="false">
      <c r="A858" s="29" t="n">
        <v>841</v>
      </c>
      <c r="B858" s="45" t="n">
        <f aca="true">IF(RAND()&lt;$D$8,1,0)</f>
        <v>1</v>
      </c>
      <c r="C858" s="34" t="n">
        <f aca="true">-LN(RAND())/$D$2</f>
        <v>1.98886709432241</v>
      </c>
      <c r="D858" s="46" t="n">
        <f aca="false">D857+C858</f>
        <v>1280.7180069658</v>
      </c>
      <c r="E858" s="47" t="e">
        <f aca="false">MAX($D$3,(1+P857-VLOOKUP(VALUE(D858),$J$18:$Q857,7,TRUE()))*$D$3)</f>
        <v>#N/A</v>
      </c>
      <c r="F858" s="47" t="e">
        <f aca="false">MAX($D$4,(1+Q857-VLOOKUP(VALUE(D858),$M$18:$Q857,5,TRUE()))*$D$4)</f>
        <v>#N/A</v>
      </c>
      <c r="G858" s="48" t="n">
        <v>0.5</v>
      </c>
      <c r="H858" s="46" t="e">
        <f aca="true">IF((B858=1),(IF((F858&lt;E858),1,(IF((F858=E858),(IF(RAND()&lt;G858,1,0)),0)))),(IF((RAND()&lt;G858),1,0)))</f>
        <v>#N/A</v>
      </c>
      <c r="I858" s="46" t="e">
        <f aca="true">IF((H858=1),0,$D$3+$D$5*(RAND()-0.5))</f>
        <v>#N/A</v>
      </c>
      <c r="J858" s="46" t="e">
        <f aca="false">I858+MAX(D858,J857)</f>
        <v>#N/A</v>
      </c>
      <c r="K858" s="46" t="e">
        <f aca="false">IF((H858=0),J858-D858,0)</f>
        <v>#N/A</v>
      </c>
      <c r="L858" s="46" t="e">
        <f aca="true">IF(($H858=0),0,$D$4+$D$5*(RAND()-0.5))</f>
        <v>#N/A</v>
      </c>
      <c r="M858" s="46" t="e">
        <f aca="false">L858+MAX(D858,M857)</f>
        <v>#N/A</v>
      </c>
      <c r="N858" s="46" t="e">
        <f aca="false">IF((H858=1),M858-D858,0)</f>
        <v>#N/A</v>
      </c>
      <c r="O858" s="29" t="n">
        <v>841</v>
      </c>
      <c r="P858" s="49" t="e">
        <f aca="false">IF((Arterial=0),P857+1,P857)</f>
        <v>#N/A</v>
      </c>
      <c r="Q858" s="49" t="e">
        <f aca="false">IF((Arterial=1),Q857+1,Q857)</f>
        <v>#N/A</v>
      </c>
      <c r="R858" s="50" t="n">
        <f aca="false">IF((RESET=1),0,R858+K858)</f>
        <v>0</v>
      </c>
      <c r="S858" s="19" t="n">
        <f aca="false">IF(RESET=1,0,S858+N858)</f>
        <v>0</v>
      </c>
      <c r="T858" s="0" t="n">
        <f aca="false">IF(RESET=1,0,T858+IF(H858=0,1,0))</f>
        <v>0</v>
      </c>
      <c r="U858" s="0" t="n">
        <f aca="false">IF(RESET=1,0,U858+H858)</f>
        <v>0</v>
      </c>
      <c r="V858" s="19" t="n">
        <f aca="false">R858/(T858+0.00001)</f>
        <v>0</v>
      </c>
      <c r="W858" s="19" t="n">
        <f aca="false">S858/(U858+0.0001)</f>
        <v>0</v>
      </c>
      <c r="X858" s="47" t="e">
        <f aca="false">IF(Informed=1,K858,0)</f>
        <v>#N/A</v>
      </c>
      <c r="Y858" s="47" t="n">
        <f aca="false">IF(Informed=0,K858,0)</f>
        <v>0</v>
      </c>
      <c r="Z858" s="47" t="e">
        <f aca="false">IF(Informed=1,N858,0)</f>
        <v>#N/A</v>
      </c>
      <c r="AA858" s="47" t="n">
        <f aca="false">IF(Informed=0,N858,0)</f>
        <v>0</v>
      </c>
      <c r="AB858" s="51" t="e">
        <f aca="false">IF(Arterial=0,IF(Informed=1,1,0),0)</f>
        <v>#N/A</v>
      </c>
      <c r="AC858" s="51" t="e">
        <f aca="false">IF(Arterial=0,IF(Informed=0,1,0),0)</f>
        <v>#N/A</v>
      </c>
      <c r="AD858" s="51" t="e">
        <f aca="false">IF(Arterial=1,IF(Informed=1,1,0),0)</f>
        <v>#N/A</v>
      </c>
      <c r="AE858" s="51" t="e">
        <f aca="false">IF(Arterial=1,IF(Informed=0,1,0),0)</f>
        <v>#N/A</v>
      </c>
      <c r="AF858" s="44" t="e">
        <f aca="false">IF(AB858=1,(X858-G$1030)^2,0)</f>
        <v>#N/A</v>
      </c>
      <c r="AG858" s="44" t="e">
        <f aca="false">IF(AC858=1,(Y858-H$1030)^2,0)</f>
        <v>#N/A</v>
      </c>
      <c r="AH858" s="44" t="e">
        <f aca="false">IF(AD858=1,(Z858-I$1030)^2,0)</f>
        <v>#N/A</v>
      </c>
      <c r="AI858" s="44" t="e">
        <f aca="false">IF(AE858=1,(AA858-J$1030)^2,0)</f>
        <v>#N/A</v>
      </c>
    </row>
    <row r="859" customFormat="false" ht="12" hidden="false" customHeight="false" outlineLevel="0" collapsed="false">
      <c r="A859" s="29" t="n">
        <v>842</v>
      </c>
      <c r="B859" s="45" t="n">
        <f aca="true">IF(RAND()&lt;$D$8,1,0)</f>
        <v>1</v>
      </c>
      <c r="C859" s="34" t="n">
        <f aca="true">-LN(RAND())/$D$2</f>
        <v>2.31021805340747</v>
      </c>
      <c r="D859" s="46" t="n">
        <f aca="false">D858+C859</f>
        <v>1283.02822501921</v>
      </c>
      <c r="E859" s="47" t="e">
        <f aca="false">MAX($D$3,(1+P858-VLOOKUP(VALUE(D859),$J$18:$Q858,7,TRUE()))*$D$3)</f>
        <v>#N/A</v>
      </c>
      <c r="F859" s="47" t="e">
        <f aca="false">MAX($D$4,(1+Q858-VLOOKUP(VALUE(D859),$M$18:$Q858,5,TRUE()))*$D$4)</f>
        <v>#N/A</v>
      </c>
      <c r="G859" s="48" t="n">
        <v>0.5</v>
      </c>
      <c r="H859" s="46" t="e">
        <f aca="true">IF((B859=1),(IF((F859&lt;E859),1,(IF((F859=E859),(IF(RAND()&lt;G859,1,0)),0)))),(IF((RAND()&lt;G859),1,0)))</f>
        <v>#N/A</v>
      </c>
      <c r="I859" s="46" t="e">
        <f aca="true">IF((H859=1),0,$D$3+$D$5*(RAND()-0.5))</f>
        <v>#N/A</v>
      </c>
      <c r="J859" s="46" t="e">
        <f aca="false">I859+MAX(D859,J858)</f>
        <v>#N/A</v>
      </c>
      <c r="K859" s="46" t="e">
        <f aca="false">IF((H859=0),J859-D859,0)</f>
        <v>#N/A</v>
      </c>
      <c r="L859" s="46" t="e">
        <f aca="true">IF(($H859=0),0,$D$4+$D$5*(RAND()-0.5))</f>
        <v>#N/A</v>
      </c>
      <c r="M859" s="46" t="e">
        <f aca="false">L859+MAX(D859,M858)</f>
        <v>#N/A</v>
      </c>
      <c r="N859" s="46" t="e">
        <f aca="false">IF((H859=1),M859-D859,0)</f>
        <v>#N/A</v>
      </c>
      <c r="O859" s="29" t="n">
        <v>842</v>
      </c>
      <c r="P859" s="49" t="e">
        <f aca="false">IF((Arterial=0),P858+1,P858)</f>
        <v>#N/A</v>
      </c>
      <c r="Q859" s="49" t="e">
        <f aca="false">IF((Arterial=1),Q858+1,Q858)</f>
        <v>#N/A</v>
      </c>
      <c r="R859" s="50" t="n">
        <f aca="false">IF((RESET=1),0,R859+K859)</f>
        <v>0</v>
      </c>
      <c r="S859" s="19" t="n">
        <f aca="false">IF(RESET=1,0,S859+N859)</f>
        <v>0</v>
      </c>
      <c r="T859" s="0" t="n">
        <f aca="false">IF(RESET=1,0,T859+IF(H859=0,1,0))</f>
        <v>0</v>
      </c>
      <c r="U859" s="0" t="n">
        <f aca="false">IF(RESET=1,0,U859+H859)</f>
        <v>0</v>
      </c>
      <c r="V859" s="19" t="n">
        <f aca="false">R859/(T859+0.00001)</f>
        <v>0</v>
      </c>
      <c r="W859" s="19" t="n">
        <f aca="false">S859/(U859+0.0001)</f>
        <v>0</v>
      </c>
      <c r="X859" s="47" t="e">
        <f aca="false">IF(Informed=1,K859,0)</f>
        <v>#N/A</v>
      </c>
      <c r="Y859" s="47" t="n">
        <f aca="false">IF(Informed=0,K859,0)</f>
        <v>0</v>
      </c>
      <c r="Z859" s="47" t="e">
        <f aca="false">IF(Informed=1,N859,0)</f>
        <v>#N/A</v>
      </c>
      <c r="AA859" s="47" t="n">
        <f aca="false">IF(Informed=0,N859,0)</f>
        <v>0</v>
      </c>
      <c r="AB859" s="51" t="e">
        <f aca="false">IF(Arterial=0,IF(Informed=1,1,0),0)</f>
        <v>#N/A</v>
      </c>
      <c r="AC859" s="51" t="e">
        <f aca="false">IF(Arterial=0,IF(Informed=0,1,0),0)</f>
        <v>#N/A</v>
      </c>
      <c r="AD859" s="51" t="e">
        <f aca="false">IF(Arterial=1,IF(Informed=1,1,0),0)</f>
        <v>#N/A</v>
      </c>
      <c r="AE859" s="51" t="e">
        <f aca="false">IF(Arterial=1,IF(Informed=0,1,0),0)</f>
        <v>#N/A</v>
      </c>
      <c r="AF859" s="44" t="e">
        <f aca="false">IF(AB859=1,(X859-G$1030)^2,0)</f>
        <v>#N/A</v>
      </c>
      <c r="AG859" s="44" t="e">
        <f aca="false">IF(AC859=1,(Y859-H$1030)^2,0)</f>
        <v>#N/A</v>
      </c>
      <c r="AH859" s="44" t="e">
        <f aca="false">IF(AD859=1,(Z859-I$1030)^2,0)</f>
        <v>#N/A</v>
      </c>
      <c r="AI859" s="44" t="e">
        <f aca="false">IF(AE859=1,(AA859-J$1030)^2,0)</f>
        <v>#N/A</v>
      </c>
    </row>
    <row r="860" customFormat="false" ht="12" hidden="false" customHeight="false" outlineLevel="0" collapsed="false">
      <c r="A860" s="29" t="n">
        <v>843</v>
      </c>
      <c r="B860" s="45" t="n">
        <f aca="true">IF(RAND()&lt;$D$8,1,0)</f>
        <v>1</v>
      </c>
      <c r="C860" s="34" t="n">
        <f aca="true">-LN(RAND())/$D$2</f>
        <v>1.90532184301278</v>
      </c>
      <c r="D860" s="46" t="n">
        <f aca="false">D859+C860</f>
        <v>1284.93354686222</v>
      </c>
      <c r="E860" s="47" t="e">
        <f aca="false">MAX($D$3,(1+P859-VLOOKUP(VALUE(D860),$J$18:$Q859,7,TRUE()))*$D$3)</f>
        <v>#N/A</v>
      </c>
      <c r="F860" s="47" t="e">
        <f aca="false">MAX($D$4,(1+Q859-VLOOKUP(VALUE(D860),$M$18:$Q859,5,TRUE()))*$D$4)</f>
        <v>#N/A</v>
      </c>
      <c r="G860" s="48" t="n">
        <v>0.5</v>
      </c>
      <c r="H860" s="46" t="e">
        <f aca="true">IF((B860=1),(IF((F860&lt;E860),1,(IF((F860=E860),(IF(RAND()&lt;G860,1,0)),0)))),(IF((RAND()&lt;G860),1,0)))</f>
        <v>#N/A</v>
      </c>
      <c r="I860" s="46" t="e">
        <f aca="true">IF((H860=1),0,$D$3+$D$5*(RAND()-0.5))</f>
        <v>#N/A</v>
      </c>
      <c r="J860" s="46" t="e">
        <f aca="false">I860+MAX(D860,J859)</f>
        <v>#N/A</v>
      </c>
      <c r="K860" s="46" t="e">
        <f aca="false">IF((H860=0),J860-D860,0)</f>
        <v>#N/A</v>
      </c>
      <c r="L860" s="46" t="e">
        <f aca="true">IF(($H860=0),0,$D$4+$D$5*(RAND()-0.5))</f>
        <v>#N/A</v>
      </c>
      <c r="M860" s="46" t="e">
        <f aca="false">L860+MAX(D860,M859)</f>
        <v>#N/A</v>
      </c>
      <c r="N860" s="46" t="e">
        <f aca="false">IF((H860=1),M860-D860,0)</f>
        <v>#N/A</v>
      </c>
      <c r="O860" s="29" t="n">
        <v>843</v>
      </c>
      <c r="P860" s="49" t="e">
        <f aca="false">IF((Arterial=0),P859+1,P859)</f>
        <v>#N/A</v>
      </c>
      <c r="Q860" s="49" t="e">
        <f aca="false">IF((Arterial=1),Q859+1,Q859)</f>
        <v>#N/A</v>
      </c>
      <c r="R860" s="50" t="n">
        <f aca="false">IF((RESET=1),0,R860+K860)</f>
        <v>0</v>
      </c>
      <c r="S860" s="19" t="n">
        <f aca="false">IF(RESET=1,0,S860+N860)</f>
        <v>0</v>
      </c>
      <c r="T860" s="0" t="n">
        <f aca="false">IF(RESET=1,0,T860+IF(H860=0,1,0))</f>
        <v>0</v>
      </c>
      <c r="U860" s="0" t="n">
        <f aca="false">IF(RESET=1,0,U860+H860)</f>
        <v>0</v>
      </c>
      <c r="V860" s="19" t="n">
        <f aca="false">R860/(T860+0.00001)</f>
        <v>0</v>
      </c>
      <c r="W860" s="19" t="n">
        <f aca="false">S860/(U860+0.0001)</f>
        <v>0</v>
      </c>
      <c r="X860" s="47" t="e">
        <f aca="false">IF(Informed=1,K860,0)</f>
        <v>#N/A</v>
      </c>
      <c r="Y860" s="47" t="n">
        <f aca="false">IF(Informed=0,K860,0)</f>
        <v>0</v>
      </c>
      <c r="Z860" s="47" t="e">
        <f aca="false">IF(Informed=1,N860,0)</f>
        <v>#N/A</v>
      </c>
      <c r="AA860" s="47" t="n">
        <f aca="false">IF(Informed=0,N860,0)</f>
        <v>0</v>
      </c>
      <c r="AB860" s="51" t="e">
        <f aca="false">IF(Arterial=0,IF(Informed=1,1,0),0)</f>
        <v>#N/A</v>
      </c>
      <c r="AC860" s="51" t="e">
        <f aca="false">IF(Arterial=0,IF(Informed=0,1,0),0)</f>
        <v>#N/A</v>
      </c>
      <c r="AD860" s="51" t="e">
        <f aca="false">IF(Arterial=1,IF(Informed=1,1,0),0)</f>
        <v>#N/A</v>
      </c>
      <c r="AE860" s="51" t="e">
        <f aca="false">IF(Arterial=1,IF(Informed=0,1,0),0)</f>
        <v>#N/A</v>
      </c>
      <c r="AF860" s="44" t="e">
        <f aca="false">IF(AB860=1,(X860-G$1030)^2,0)</f>
        <v>#N/A</v>
      </c>
      <c r="AG860" s="44" t="e">
        <f aca="false">IF(AC860=1,(Y860-H$1030)^2,0)</f>
        <v>#N/A</v>
      </c>
      <c r="AH860" s="44" t="e">
        <f aca="false">IF(AD860=1,(Z860-I$1030)^2,0)</f>
        <v>#N/A</v>
      </c>
      <c r="AI860" s="44" t="e">
        <f aca="false">IF(AE860=1,(AA860-J$1030)^2,0)</f>
        <v>#N/A</v>
      </c>
    </row>
    <row r="861" customFormat="false" ht="12" hidden="false" customHeight="false" outlineLevel="0" collapsed="false">
      <c r="A861" s="29" t="n">
        <v>844</v>
      </c>
      <c r="B861" s="45" t="n">
        <f aca="true">IF(RAND()&lt;$D$8,1,0)</f>
        <v>1</v>
      </c>
      <c r="C861" s="34" t="n">
        <f aca="true">-LN(RAND())/$D$2</f>
        <v>1.26551430960088</v>
      </c>
      <c r="D861" s="46" t="n">
        <f aca="false">D860+C861</f>
        <v>1286.19906117182</v>
      </c>
      <c r="E861" s="47" t="e">
        <f aca="false">MAX($D$3,(1+P860-VLOOKUP(VALUE(D861),$J$18:$Q860,7,TRUE()))*$D$3)</f>
        <v>#N/A</v>
      </c>
      <c r="F861" s="47" t="e">
        <f aca="false">MAX($D$4,(1+Q860-VLOOKUP(VALUE(D861),$M$18:$Q860,5,TRUE()))*$D$4)</f>
        <v>#N/A</v>
      </c>
      <c r="G861" s="48" t="n">
        <v>0.5</v>
      </c>
      <c r="H861" s="46" t="e">
        <f aca="true">IF((B861=1),(IF((F861&lt;E861),1,(IF((F861=E861),(IF(RAND()&lt;G861,1,0)),0)))),(IF((RAND()&lt;G861),1,0)))</f>
        <v>#N/A</v>
      </c>
      <c r="I861" s="46" t="e">
        <f aca="true">IF((H861=1),0,$D$3+$D$5*(RAND()-0.5))</f>
        <v>#N/A</v>
      </c>
      <c r="J861" s="46" t="e">
        <f aca="false">I861+MAX(D861,J860)</f>
        <v>#N/A</v>
      </c>
      <c r="K861" s="46" t="e">
        <f aca="false">IF((H861=0),J861-D861,0)</f>
        <v>#N/A</v>
      </c>
      <c r="L861" s="46" t="e">
        <f aca="true">IF(($H861=0),0,$D$4+$D$5*(RAND()-0.5))</f>
        <v>#N/A</v>
      </c>
      <c r="M861" s="46" t="e">
        <f aca="false">L861+MAX(D861,M860)</f>
        <v>#N/A</v>
      </c>
      <c r="N861" s="46" t="e">
        <f aca="false">IF((H861=1),M861-D861,0)</f>
        <v>#N/A</v>
      </c>
      <c r="O861" s="29" t="n">
        <v>844</v>
      </c>
      <c r="P861" s="49" t="e">
        <f aca="false">IF((Arterial=0),P860+1,P860)</f>
        <v>#N/A</v>
      </c>
      <c r="Q861" s="49" t="e">
        <f aca="false">IF((Arterial=1),Q860+1,Q860)</f>
        <v>#N/A</v>
      </c>
      <c r="R861" s="50" t="n">
        <f aca="false">IF((RESET=1),0,R861+K861)</f>
        <v>0</v>
      </c>
      <c r="S861" s="19" t="n">
        <f aca="false">IF(RESET=1,0,S861+N861)</f>
        <v>0</v>
      </c>
      <c r="T861" s="0" t="n">
        <f aca="false">IF(RESET=1,0,T861+IF(H861=0,1,0))</f>
        <v>0</v>
      </c>
      <c r="U861" s="0" t="n">
        <f aca="false">IF(RESET=1,0,U861+H861)</f>
        <v>0</v>
      </c>
      <c r="V861" s="19" t="n">
        <f aca="false">R861/(T861+0.00001)</f>
        <v>0</v>
      </c>
      <c r="W861" s="19" t="n">
        <f aca="false">S861/(U861+0.0001)</f>
        <v>0</v>
      </c>
      <c r="X861" s="47" t="e">
        <f aca="false">IF(Informed=1,K861,0)</f>
        <v>#N/A</v>
      </c>
      <c r="Y861" s="47" t="n">
        <f aca="false">IF(Informed=0,K861,0)</f>
        <v>0</v>
      </c>
      <c r="Z861" s="47" t="e">
        <f aca="false">IF(Informed=1,N861,0)</f>
        <v>#N/A</v>
      </c>
      <c r="AA861" s="47" t="n">
        <f aca="false">IF(Informed=0,N861,0)</f>
        <v>0</v>
      </c>
      <c r="AB861" s="51" t="e">
        <f aca="false">IF(Arterial=0,IF(Informed=1,1,0),0)</f>
        <v>#N/A</v>
      </c>
      <c r="AC861" s="51" t="e">
        <f aca="false">IF(Arterial=0,IF(Informed=0,1,0),0)</f>
        <v>#N/A</v>
      </c>
      <c r="AD861" s="51" t="e">
        <f aca="false">IF(Arterial=1,IF(Informed=1,1,0),0)</f>
        <v>#N/A</v>
      </c>
      <c r="AE861" s="51" t="e">
        <f aca="false">IF(Arterial=1,IF(Informed=0,1,0),0)</f>
        <v>#N/A</v>
      </c>
      <c r="AF861" s="44" t="e">
        <f aca="false">IF(AB861=1,(X861-G$1030)^2,0)</f>
        <v>#N/A</v>
      </c>
      <c r="AG861" s="44" t="e">
        <f aca="false">IF(AC861=1,(Y861-H$1030)^2,0)</f>
        <v>#N/A</v>
      </c>
      <c r="AH861" s="44" t="e">
        <f aca="false">IF(AD861=1,(Z861-I$1030)^2,0)</f>
        <v>#N/A</v>
      </c>
      <c r="AI861" s="44" t="e">
        <f aca="false">IF(AE861=1,(AA861-J$1030)^2,0)</f>
        <v>#N/A</v>
      </c>
    </row>
    <row r="862" customFormat="false" ht="12" hidden="false" customHeight="false" outlineLevel="0" collapsed="false">
      <c r="A862" s="29" t="n">
        <v>845</v>
      </c>
      <c r="B862" s="45" t="n">
        <f aca="true">IF(RAND()&lt;$D$8,1,0)</f>
        <v>1</v>
      </c>
      <c r="C862" s="34" t="n">
        <f aca="true">-LN(RAND())/$D$2</f>
        <v>2.39452174499681</v>
      </c>
      <c r="D862" s="46" t="n">
        <f aca="false">D861+C862</f>
        <v>1288.59358291682</v>
      </c>
      <c r="E862" s="47" t="e">
        <f aca="false">MAX($D$3,(1+P861-VLOOKUP(VALUE(D862),$J$18:$Q861,7,TRUE()))*$D$3)</f>
        <v>#N/A</v>
      </c>
      <c r="F862" s="47" t="e">
        <f aca="false">MAX($D$4,(1+Q861-VLOOKUP(VALUE(D862),$M$18:$Q861,5,TRUE()))*$D$4)</f>
        <v>#N/A</v>
      </c>
      <c r="G862" s="48" t="n">
        <v>0.5</v>
      </c>
      <c r="H862" s="46" t="e">
        <f aca="true">IF((B862=1),(IF((F862&lt;E862),1,(IF((F862=E862),(IF(RAND()&lt;G862,1,0)),0)))),(IF((RAND()&lt;G862),1,0)))</f>
        <v>#N/A</v>
      </c>
      <c r="I862" s="46" t="e">
        <f aca="true">IF((H862=1),0,$D$3+$D$5*(RAND()-0.5))</f>
        <v>#N/A</v>
      </c>
      <c r="J862" s="46" t="e">
        <f aca="false">I862+MAX(D862,J861)</f>
        <v>#N/A</v>
      </c>
      <c r="K862" s="46" t="e">
        <f aca="false">IF((H862=0),J862-D862,0)</f>
        <v>#N/A</v>
      </c>
      <c r="L862" s="46" t="e">
        <f aca="true">IF(($H862=0),0,$D$4+$D$5*(RAND()-0.5))</f>
        <v>#N/A</v>
      </c>
      <c r="M862" s="46" t="e">
        <f aca="false">L862+MAX(D862,M861)</f>
        <v>#N/A</v>
      </c>
      <c r="N862" s="46" t="e">
        <f aca="false">IF((H862=1),M862-D862,0)</f>
        <v>#N/A</v>
      </c>
      <c r="O862" s="29" t="n">
        <v>845</v>
      </c>
      <c r="P862" s="49" t="e">
        <f aca="false">IF((Arterial=0),P861+1,P861)</f>
        <v>#N/A</v>
      </c>
      <c r="Q862" s="49" t="e">
        <f aca="false">IF((Arterial=1),Q861+1,Q861)</f>
        <v>#N/A</v>
      </c>
      <c r="R862" s="50" t="n">
        <f aca="false">IF((RESET=1),0,R862+K862)</f>
        <v>0</v>
      </c>
      <c r="S862" s="19" t="n">
        <f aca="false">IF(RESET=1,0,S862+N862)</f>
        <v>0</v>
      </c>
      <c r="T862" s="0" t="n">
        <f aca="false">IF(RESET=1,0,T862+IF(H862=0,1,0))</f>
        <v>0</v>
      </c>
      <c r="U862" s="0" t="n">
        <f aca="false">IF(RESET=1,0,U862+H862)</f>
        <v>0</v>
      </c>
      <c r="V862" s="19" t="n">
        <f aca="false">R862/(T862+0.00001)</f>
        <v>0</v>
      </c>
      <c r="W862" s="19" t="n">
        <f aca="false">S862/(U862+0.0001)</f>
        <v>0</v>
      </c>
      <c r="X862" s="47" t="e">
        <f aca="false">IF(Informed=1,K862,0)</f>
        <v>#N/A</v>
      </c>
      <c r="Y862" s="47" t="n">
        <f aca="false">IF(Informed=0,K862,0)</f>
        <v>0</v>
      </c>
      <c r="Z862" s="47" t="e">
        <f aca="false">IF(Informed=1,N862,0)</f>
        <v>#N/A</v>
      </c>
      <c r="AA862" s="47" t="n">
        <f aca="false">IF(Informed=0,N862,0)</f>
        <v>0</v>
      </c>
      <c r="AB862" s="51" t="e">
        <f aca="false">IF(Arterial=0,IF(Informed=1,1,0),0)</f>
        <v>#N/A</v>
      </c>
      <c r="AC862" s="51" t="e">
        <f aca="false">IF(Arterial=0,IF(Informed=0,1,0),0)</f>
        <v>#N/A</v>
      </c>
      <c r="AD862" s="51" t="e">
        <f aca="false">IF(Arterial=1,IF(Informed=1,1,0),0)</f>
        <v>#N/A</v>
      </c>
      <c r="AE862" s="51" t="e">
        <f aca="false">IF(Arterial=1,IF(Informed=0,1,0),0)</f>
        <v>#N/A</v>
      </c>
      <c r="AF862" s="44" t="e">
        <f aca="false">IF(AB862=1,(X862-G$1030)^2,0)</f>
        <v>#N/A</v>
      </c>
      <c r="AG862" s="44" t="e">
        <f aca="false">IF(AC862=1,(Y862-H$1030)^2,0)</f>
        <v>#N/A</v>
      </c>
      <c r="AH862" s="44" t="e">
        <f aca="false">IF(AD862=1,(Z862-I$1030)^2,0)</f>
        <v>#N/A</v>
      </c>
      <c r="AI862" s="44" t="e">
        <f aca="false">IF(AE862=1,(AA862-J$1030)^2,0)</f>
        <v>#N/A</v>
      </c>
    </row>
    <row r="863" customFormat="false" ht="12" hidden="false" customHeight="false" outlineLevel="0" collapsed="false">
      <c r="A863" s="29" t="n">
        <v>846</v>
      </c>
      <c r="B863" s="45" t="n">
        <f aca="true">IF(RAND()&lt;$D$8,1,0)</f>
        <v>1</v>
      </c>
      <c r="C863" s="34" t="n">
        <f aca="true">-LN(RAND())/$D$2</f>
        <v>5.53702298548961</v>
      </c>
      <c r="D863" s="46" t="n">
        <f aca="false">D862+C863</f>
        <v>1294.13060590231</v>
      </c>
      <c r="E863" s="47" t="e">
        <f aca="false">MAX($D$3,(1+P862-VLOOKUP(VALUE(D863),$J$18:$Q862,7,TRUE()))*$D$3)</f>
        <v>#N/A</v>
      </c>
      <c r="F863" s="47" t="e">
        <f aca="false">MAX($D$4,(1+Q862-VLOOKUP(VALUE(D863),$M$18:$Q862,5,TRUE()))*$D$4)</f>
        <v>#N/A</v>
      </c>
      <c r="G863" s="48" t="n">
        <v>0.5</v>
      </c>
      <c r="H863" s="46" t="e">
        <f aca="true">IF((B863=1),(IF((F863&lt;E863),1,(IF((F863=E863),(IF(RAND()&lt;G863,1,0)),0)))),(IF((RAND()&lt;G863),1,0)))</f>
        <v>#N/A</v>
      </c>
      <c r="I863" s="46" t="e">
        <f aca="true">IF((H863=1),0,$D$3+$D$5*(RAND()-0.5))</f>
        <v>#N/A</v>
      </c>
      <c r="J863" s="46" t="e">
        <f aca="false">I863+MAX(D863,J862)</f>
        <v>#N/A</v>
      </c>
      <c r="K863" s="46" t="e">
        <f aca="false">IF((H863=0),J863-D863,0)</f>
        <v>#N/A</v>
      </c>
      <c r="L863" s="46" t="e">
        <f aca="true">IF(($H863=0),0,$D$4+$D$5*(RAND()-0.5))</f>
        <v>#N/A</v>
      </c>
      <c r="M863" s="46" t="e">
        <f aca="false">L863+MAX(D863,M862)</f>
        <v>#N/A</v>
      </c>
      <c r="N863" s="46" t="e">
        <f aca="false">IF((H863=1),M863-D863,0)</f>
        <v>#N/A</v>
      </c>
      <c r="O863" s="29" t="n">
        <v>846</v>
      </c>
      <c r="P863" s="49" t="e">
        <f aca="false">IF((Arterial=0),P862+1,P862)</f>
        <v>#N/A</v>
      </c>
      <c r="Q863" s="49" t="e">
        <f aca="false">IF((Arterial=1),Q862+1,Q862)</f>
        <v>#N/A</v>
      </c>
      <c r="R863" s="50" t="n">
        <f aca="false">IF((RESET=1),0,R863+K863)</f>
        <v>0</v>
      </c>
      <c r="S863" s="19" t="n">
        <f aca="false">IF(RESET=1,0,S863+N863)</f>
        <v>0</v>
      </c>
      <c r="T863" s="0" t="n">
        <f aca="false">IF(RESET=1,0,T863+IF(H863=0,1,0))</f>
        <v>0</v>
      </c>
      <c r="U863" s="0" t="n">
        <f aca="false">IF(RESET=1,0,U863+H863)</f>
        <v>0</v>
      </c>
      <c r="V863" s="19" t="n">
        <f aca="false">R863/(T863+0.00001)</f>
        <v>0</v>
      </c>
      <c r="W863" s="19" t="n">
        <f aca="false">S863/(U863+0.0001)</f>
        <v>0</v>
      </c>
      <c r="X863" s="47" t="e">
        <f aca="false">IF(Informed=1,K863,0)</f>
        <v>#N/A</v>
      </c>
      <c r="Y863" s="47" t="n">
        <f aca="false">IF(Informed=0,K863,0)</f>
        <v>0</v>
      </c>
      <c r="Z863" s="47" t="e">
        <f aca="false">IF(Informed=1,N863,0)</f>
        <v>#N/A</v>
      </c>
      <c r="AA863" s="47" t="n">
        <f aca="false">IF(Informed=0,N863,0)</f>
        <v>0</v>
      </c>
      <c r="AB863" s="51" t="e">
        <f aca="false">IF(Arterial=0,IF(Informed=1,1,0),0)</f>
        <v>#N/A</v>
      </c>
      <c r="AC863" s="51" t="e">
        <f aca="false">IF(Arterial=0,IF(Informed=0,1,0),0)</f>
        <v>#N/A</v>
      </c>
      <c r="AD863" s="51" t="e">
        <f aca="false">IF(Arterial=1,IF(Informed=1,1,0),0)</f>
        <v>#N/A</v>
      </c>
      <c r="AE863" s="51" t="e">
        <f aca="false">IF(Arterial=1,IF(Informed=0,1,0),0)</f>
        <v>#N/A</v>
      </c>
      <c r="AF863" s="44" t="e">
        <f aca="false">IF(AB863=1,(X863-G$1030)^2,0)</f>
        <v>#N/A</v>
      </c>
      <c r="AG863" s="44" t="e">
        <f aca="false">IF(AC863=1,(Y863-H$1030)^2,0)</f>
        <v>#N/A</v>
      </c>
      <c r="AH863" s="44" t="e">
        <f aca="false">IF(AD863=1,(Z863-I$1030)^2,0)</f>
        <v>#N/A</v>
      </c>
      <c r="AI863" s="44" t="e">
        <f aca="false">IF(AE863=1,(AA863-J$1030)^2,0)</f>
        <v>#N/A</v>
      </c>
    </row>
    <row r="864" customFormat="false" ht="12" hidden="false" customHeight="false" outlineLevel="0" collapsed="false">
      <c r="A864" s="29" t="n">
        <v>847</v>
      </c>
      <c r="B864" s="45" t="n">
        <f aca="true">IF(RAND()&lt;$D$8,1,0)</f>
        <v>1</v>
      </c>
      <c r="C864" s="34" t="n">
        <f aca="true">-LN(RAND())/$D$2</f>
        <v>0.961356594128303</v>
      </c>
      <c r="D864" s="46" t="n">
        <f aca="false">D863+C864</f>
        <v>1295.09196249644</v>
      </c>
      <c r="E864" s="47" t="e">
        <f aca="false">MAX($D$3,(1+P863-VLOOKUP(VALUE(D864),$J$18:$Q863,7,TRUE()))*$D$3)</f>
        <v>#N/A</v>
      </c>
      <c r="F864" s="47" t="e">
        <f aca="false">MAX($D$4,(1+Q863-VLOOKUP(VALUE(D864),$M$18:$Q863,5,TRUE()))*$D$4)</f>
        <v>#N/A</v>
      </c>
      <c r="G864" s="48" t="n">
        <v>0.5</v>
      </c>
      <c r="H864" s="46" t="e">
        <f aca="true">IF((B864=1),(IF((F864&lt;E864),1,(IF((F864=E864),(IF(RAND()&lt;G864,1,0)),0)))),(IF((RAND()&lt;G864),1,0)))</f>
        <v>#N/A</v>
      </c>
      <c r="I864" s="46" t="e">
        <f aca="true">IF((H864=1),0,$D$3+$D$5*(RAND()-0.5))</f>
        <v>#N/A</v>
      </c>
      <c r="J864" s="46" t="e">
        <f aca="false">I864+MAX(D864,J863)</f>
        <v>#N/A</v>
      </c>
      <c r="K864" s="46" t="e">
        <f aca="false">IF((H864=0),J864-D864,0)</f>
        <v>#N/A</v>
      </c>
      <c r="L864" s="46" t="e">
        <f aca="true">IF(($H864=0),0,$D$4+$D$5*(RAND()-0.5))</f>
        <v>#N/A</v>
      </c>
      <c r="M864" s="46" t="e">
        <f aca="false">L864+MAX(D864,M863)</f>
        <v>#N/A</v>
      </c>
      <c r="N864" s="46" t="e">
        <f aca="false">IF((H864=1),M864-D864,0)</f>
        <v>#N/A</v>
      </c>
      <c r="O864" s="29" t="n">
        <v>847</v>
      </c>
      <c r="P864" s="49" t="e">
        <f aca="false">IF((Arterial=0),P863+1,P863)</f>
        <v>#N/A</v>
      </c>
      <c r="Q864" s="49" t="e">
        <f aca="false">IF((Arterial=1),Q863+1,Q863)</f>
        <v>#N/A</v>
      </c>
      <c r="R864" s="50" t="n">
        <f aca="false">IF((RESET=1),0,R864+K864)</f>
        <v>0</v>
      </c>
      <c r="S864" s="19" t="n">
        <f aca="false">IF(RESET=1,0,S864+N864)</f>
        <v>0</v>
      </c>
      <c r="T864" s="0" t="n">
        <f aca="false">IF(RESET=1,0,T864+IF(H864=0,1,0))</f>
        <v>0</v>
      </c>
      <c r="U864" s="0" t="n">
        <f aca="false">IF(RESET=1,0,U864+H864)</f>
        <v>0</v>
      </c>
      <c r="V864" s="19" t="n">
        <f aca="false">R864/(T864+0.00001)</f>
        <v>0</v>
      </c>
      <c r="W864" s="19" t="n">
        <f aca="false">S864/(U864+0.0001)</f>
        <v>0</v>
      </c>
      <c r="X864" s="47" t="e">
        <f aca="false">IF(Informed=1,K864,0)</f>
        <v>#N/A</v>
      </c>
      <c r="Y864" s="47" t="n">
        <f aca="false">IF(Informed=0,K864,0)</f>
        <v>0</v>
      </c>
      <c r="Z864" s="47" t="e">
        <f aca="false">IF(Informed=1,N864,0)</f>
        <v>#N/A</v>
      </c>
      <c r="AA864" s="47" t="n">
        <f aca="false">IF(Informed=0,N864,0)</f>
        <v>0</v>
      </c>
      <c r="AB864" s="51" t="e">
        <f aca="false">IF(Arterial=0,IF(Informed=1,1,0),0)</f>
        <v>#N/A</v>
      </c>
      <c r="AC864" s="51" t="e">
        <f aca="false">IF(Arterial=0,IF(Informed=0,1,0),0)</f>
        <v>#N/A</v>
      </c>
      <c r="AD864" s="51" t="e">
        <f aca="false">IF(Arterial=1,IF(Informed=1,1,0),0)</f>
        <v>#N/A</v>
      </c>
      <c r="AE864" s="51" t="e">
        <f aca="false">IF(Arterial=1,IF(Informed=0,1,0),0)</f>
        <v>#N/A</v>
      </c>
      <c r="AF864" s="44" t="e">
        <f aca="false">IF(AB864=1,(X864-G$1030)^2,0)</f>
        <v>#N/A</v>
      </c>
      <c r="AG864" s="44" t="e">
        <f aca="false">IF(AC864=1,(Y864-H$1030)^2,0)</f>
        <v>#N/A</v>
      </c>
      <c r="AH864" s="44" t="e">
        <f aca="false">IF(AD864=1,(Z864-I$1030)^2,0)</f>
        <v>#N/A</v>
      </c>
      <c r="AI864" s="44" t="e">
        <f aca="false">IF(AE864=1,(AA864-J$1030)^2,0)</f>
        <v>#N/A</v>
      </c>
    </row>
    <row r="865" customFormat="false" ht="12" hidden="false" customHeight="false" outlineLevel="0" collapsed="false">
      <c r="A865" s="29" t="n">
        <v>848</v>
      </c>
      <c r="B865" s="45" t="n">
        <f aca="true">IF(RAND()&lt;$D$8,1,0)</f>
        <v>1</v>
      </c>
      <c r="C865" s="34" t="n">
        <f aca="true">-LN(RAND())/$D$2</f>
        <v>1.82619623489761</v>
      </c>
      <c r="D865" s="46" t="n">
        <f aca="false">D864+C865</f>
        <v>1296.91815873134</v>
      </c>
      <c r="E865" s="47" t="e">
        <f aca="false">MAX($D$3,(1+P864-VLOOKUP(VALUE(D865),$J$18:$Q864,7,TRUE()))*$D$3)</f>
        <v>#N/A</v>
      </c>
      <c r="F865" s="47" t="e">
        <f aca="false">MAX($D$4,(1+Q864-VLOOKUP(VALUE(D865),$M$18:$Q864,5,TRUE()))*$D$4)</f>
        <v>#N/A</v>
      </c>
      <c r="G865" s="48" t="n">
        <v>0.5</v>
      </c>
      <c r="H865" s="46" t="e">
        <f aca="true">IF((B865=1),(IF((F865&lt;E865),1,(IF((F865=E865),(IF(RAND()&lt;G865,1,0)),0)))),(IF((RAND()&lt;G865),1,0)))</f>
        <v>#N/A</v>
      </c>
      <c r="I865" s="46" t="e">
        <f aca="true">IF((H865=1),0,$D$3+$D$5*(RAND()-0.5))</f>
        <v>#N/A</v>
      </c>
      <c r="J865" s="46" t="e">
        <f aca="false">I865+MAX(D865,J864)</f>
        <v>#N/A</v>
      </c>
      <c r="K865" s="46" t="e">
        <f aca="false">IF((H865=0),J865-D865,0)</f>
        <v>#N/A</v>
      </c>
      <c r="L865" s="46" t="e">
        <f aca="true">IF(($H865=0),0,$D$4+$D$5*(RAND()-0.5))</f>
        <v>#N/A</v>
      </c>
      <c r="M865" s="46" t="e">
        <f aca="false">L865+MAX(D865,M864)</f>
        <v>#N/A</v>
      </c>
      <c r="N865" s="46" t="e">
        <f aca="false">IF((H865=1),M865-D865,0)</f>
        <v>#N/A</v>
      </c>
      <c r="O865" s="29" t="n">
        <v>848</v>
      </c>
      <c r="P865" s="49" t="e">
        <f aca="false">IF((Arterial=0),P864+1,P864)</f>
        <v>#N/A</v>
      </c>
      <c r="Q865" s="49" t="e">
        <f aca="false">IF((Arterial=1),Q864+1,Q864)</f>
        <v>#N/A</v>
      </c>
      <c r="R865" s="50" t="n">
        <f aca="false">IF((RESET=1),0,R865+K865)</f>
        <v>0</v>
      </c>
      <c r="S865" s="19" t="n">
        <f aca="false">IF(RESET=1,0,S865+N865)</f>
        <v>0</v>
      </c>
      <c r="T865" s="0" t="n">
        <f aca="false">IF(RESET=1,0,T865+IF(H865=0,1,0))</f>
        <v>0</v>
      </c>
      <c r="U865" s="0" t="n">
        <f aca="false">IF(RESET=1,0,U865+H865)</f>
        <v>0</v>
      </c>
      <c r="V865" s="19" t="n">
        <f aca="false">R865/(T865+0.00001)</f>
        <v>0</v>
      </c>
      <c r="W865" s="19" t="n">
        <f aca="false">S865/(U865+0.0001)</f>
        <v>0</v>
      </c>
      <c r="X865" s="47" t="e">
        <f aca="false">IF(Informed=1,K865,0)</f>
        <v>#N/A</v>
      </c>
      <c r="Y865" s="47" t="n">
        <f aca="false">IF(Informed=0,K865,0)</f>
        <v>0</v>
      </c>
      <c r="Z865" s="47" t="e">
        <f aca="false">IF(Informed=1,N865,0)</f>
        <v>#N/A</v>
      </c>
      <c r="AA865" s="47" t="n">
        <f aca="false">IF(Informed=0,N865,0)</f>
        <v>0</v>
      </c>
      <c r="AB865" s="51" t="e">
        <f aca="false">IF(Arterial=0,IF(Informed=1,1,0),0)</f>
        <v>#N/A</v>
      </c>
      <c r="AC865" s="51" t="e">
        <f aca="false">IF(Arterial=0,IF(Informed=0,1,0),0)</f>
        <v>#N/A</v>
      </c>
      <c r="AD865" s="51" t="e">
        <f aca="false">IF(Arterial=1,IF(Informed=1,1,0),0)</f>
        <v>#N/A</v>
      </c>
      <c r="AE865" s="51" t="e">
        <f aca="false">IF(Arterial=1,IF(Informed=0,1,0),0)</f>
        <v>#N/A</v>
      </c>
      <c r="AF865" s="44" t="e">
        <f aca="false">IF(AB865=1,(X865-G$1030)^2,0)</f>
        <v>#N/A</v>
      </c>
      <c r="AG865" s="44" t="e">
        <f aca="false">IF(AC865=1,(Y865-H$1030)^2,0)</f>
        <v>#N/A</v>
      </c>
      <c r="AH865" s="44" t="e">
        <f aca="false">IF(AD865=1,(Z865-I$1030)^2,0)</f>
        <v>#N/A</v>
      </c>
      <c r="AI865" s="44" t="e">
        <f aca="false">IF(AE865=1,(AA865-J$1030)^2,0)</f>
        <v>#N/A</v>
      </c>
    </row>
    <row r="866" customFormat="false" ht="12" hidden="false" customHeight="false" outlineLevel="0" collapsed="false">
      <c r="A866" s="29" t="n">
        <v>849</v>
      </c>
      <c r="B866" s="45" t="n">
        <f aca="true">IF(RAND()&lt;$D$8,1,0)</f>
        <v>1</v>
      </c>
      <c r="C866" s="34" t="n">
        <f aca="true">-LN(RAND())/$D$2</f>
        <v>1.89904099823138</v>
      </c>
      <c r="D866" s="46" t="n">
        <f aca="false">D865+C866</f>
        <v>1298.81719972957</v>
      </c>
      <c r="E866" s="47" t="e">
        <f aca="false">MAX($D$3,(1+P865-VLOOKUP(VALUE(D866),$J$18:$Q865,7,TRUE()))*$D$3)</f>
        <v>#N/A</v>
      </c>
      <c r="F866" s="47" t="e">
        <f aca="false">MAX($D$4,(1+Q865-VLOOKUP(VALUE(D866),$M$18:$Q865,5,TRUE()))*$D$4)</f>
        <v>#N/A</v>
      </c>
      <c r="G866" s="48" t="n">
        <v>0.5</v>
      </c>
      <c r="H866" s="46" t="e">
        <f aca="true">IF((B866=1),(IF((F866&lt;E866),1,(IF((F866=E866),(IF(RAND()&lt;G866,1,0)),0)))),(IF((RAND()&lt;G866),1,0)))</f>
        <v>#N/A</v>
      </c>
      <c r="I866" s="46" t="e">
        <f aca="true">IF((H866=1),0,$D$3+$D$5*(RAND()-0.5))</f>
        <v>#N/A</v>
      </c>
      <c r="J866" s="46" t="e">
        <f aca="false">I866+MAX(D866,J865)</f>
        <v>#N/A</v>
      </c>
      <c r="K866" s="46" t="e">
        <f aca="false">IF((H866=0),J866-D866,0)</f>
        <v>#N/A</v>
      </c>
      <c r="L866" s="46" t="e">
        <f aca="true">IF(($H866=0),0,$D$4+$D$5*(RAND()-0.5))</f>
        <v>#N/A</v>
      </c>
      <c r="M866" s="46" t="e">
        <f aca="false">L866+MAX(D866,M865)</f>
        <v>#N/A</v>
      </c>
      <c r="N866" s="46" t="e">
        <f aca="false">IF((H866=1),M866-D866,0)</f>
        <v>#N/A</v>
      </c>
      <c r="O866" s="29" t="n">
        <v>849</v>
      </c>
      <c r="P866" s="49" t="e">
        <f aca="false">IF((Arterial=0),P865+1,P865)</f>
        <v>#N/A</v>
      </c>
      <c r="Q866" s="49" t="e">
        <f aca="false">IF((Arterial=1),Q865+1,Q865)</f>
        <v>#N/A</v>
      </c>
      <c r="R866" s="50" t="n">
        <f aca="false">IF((RESET=1),0,R866+K866)</f>
        <v>0</v>
      </c>
      <c r="S866" s="19" t="n">
        <f aca="false">IF(RESET=1,0,S866+N866)</f>
        <v>0</v>
      </c>
      <c r="T866" s="0" t="n">
        <f aca="false">IF(RESET=1,0,T866+IF(H866=0,1,0))</f>
        <v>0</v>
      </c>
      <c r="U866" s="0" t="n">
        <f aca="false">IF(RESET=1,0,U866+H866)</f>
        <v>0</v>
      </c>
      <c r="V866" s="19" t="n">
        <f aca="false">R866/(T866+0.00001)</f>
        <v>0</v>
      </c>
      <c r="W866" s="19" t="n">
        <f aca="false">S866/(U866+0.0001)</f>
        <v>0</v>
      </c>
      <c r="X866" s="47" t="e">
        <f aca="false">IF(Informed=1,K866,0)</f>
        <v>#N/A</v>
      </c>
      <c r="Y866" s="47" t="n">
        <f aca="false">IF(Informed=0,K866,0)</f>
        <v>0</v>
      </c>
      <c r="Z866" s="47" t="e">
        <f aca="false">IF(Informed=1,N866,0)</f>
        <v>#N/A</v>
      </c>
      <c r="AA866" s="47" t="n">
        <f aca="false">IF(Informed=0,N866,0)</f>
        <v>0</v>
      </c>
      <c r="AB866" s="51" t="e">
        <f aca="false">IF(Arterial=0,IF(Informed=1,1,0),0)</f>
        <v>#N/A</v>
      </c>
      <c r="AC866" s="51" t="e">
        <f aca="false">IF(Arterial=0,IF(Informed=0,1,0),0)</f>
        <v>#N/A</v>
      </c>
      <c r="AD866" s="51" t="e">
        <f aca="false">IF(Arterial=1,IF(Informed=1,1,0),0)</f>
        <v>#N/A</v>
      </c>
      <c r="AE866" s="51" t="e">
        <f aca="false">IF(Arterial=1,IF(Informed=0,1,0),0)</f>
        <v>#N/A</v>
      </c>
      <c r="AF866" s="44" t="e">
        <f aca="false">IF(AB866=1,(X866-G$1030)^2,0)</f>
        <v>#N/A</v>
      </c>
      <c r="AG866" s="44" t="e">
        <f aca="false">IF(AC866=1,(Y866-H$1030)^2,0)</f>
        <v>#N/A</v>
      </c>
      <c r="AH866" s="44" t="e">
        <f aca="false">IF(AD866=1,(Z866-I$1030)^2,0)</f>
        <v>#N/A</v>
      </c>
      <c r="AI866" s="44" t="e">
        <f aca="false">IF(AE866=1,(AA866-J$1030)^2,0)</f>
        <v>#N/A</v>
      </c>
    </row>
    <row r="867" customFormat="false" ht="12" hidden="false" customHeight="false" outlineLevel="0" collapsed="false">
      <c r="A867" s="29" t="n">
        <v>850</v>
      </c>
      <c r="B867" s="45" t="n">
        <f aca="true">IF(RAND()&lt;$D$8,1,0)</f>
        <v>1</v>
      </c>
      <c r="C867" s="34" t="n">
        <f aca="true">-LN(RAND())/$D$2</f>
        <v>0.477008885358387</v>
      </c>
      <c r="D867" s="46" t="n">
        <f aca="false">D866+C867</f>
        <v>1299.29420861493</v>
      </c>
      <c r="E867" s="47" t="e">
        <f aca="false">MAX($D$3,(1+P866-VLOOKUP(VALUE(D867),$J$18:$Q866,7,TRUE()))*$D$3)</f>
        <v>#N/A</v>
      </c>
      <c r="F867" s="47" t="e">
        <f aca="false">MAX($D$4,(1+Q866-VLOOKUP(VALUE(D867),$M$18:$Q866,5,TRUE()))*$D$4)</f>
        <v>#N/A</v>
      </c>
      <c r="G867" s="48" t="n">
        <v>0.5</v>
      </c>
      <c r="H867" s="46" t="e">
        <f aca="true">IF((B867=1),(IF((F867&lt;E867),1,(IF((F867=E867),(IF(RAND()&lt;G867,1,0)),0)))),(IF((RAND()&lt;G867),1,0)))</f>
        <v>#N/A</v>
      </c>
      <c r="I867" s="46" t="e">
        <f aca="true">IF((H867=1),0,$D$3+$D$5*(RAND()-0.5))</f>
        <v>#N/A</v>
      </c>
      <c r="J867" s="46" t="e">
        <f aca="false">I867+MAX(D867,J866)</f>
        <v>#N/A</v>
      </c>
      <c r="K867" s="46" t="e">
        <f aca="false">IF((H867=0),J867-D867,0)</f>
        <v>#N/A</v>
      </c>
      <c r="L867" s="46" t="e">
        <f aca="true">IF(($H867=0),0,$D$4+$D$5*(RAND()-0.5))</f>
        <v>#N/A</v>
      </c>
      <c r="M867" s="46" t="e">
        <f aca="false">L867+MAX(D867,M866)</f>
        <v>#N/A</v>
      </c>
      <c r="N867" s="46" t="e">
        <f aca="false">IF((H867=1),M867-D867,0)</f>
        <v>#N/A</v>
      </c>
      <c r="O867" s="29" t="n">
        <v>850</v>
      </c>
      <c r="P867" s="49" t="e">
        <f aca="false">IF((Arterial=0),P866+1,P866)</f>
        <v>#N/A</v>
      </c>
      <c r="Q867" s="49" t="e">
        <f aca="false">IF((Arterial=1),Q866+1,Q866)</f>
        <v>#N/A</v>
      </c>
      <c r="R867" s="50" t="n">
        <f aca="false">IF((RESET=1),0,R867+K867)</f>
        <v>0</v>
      </c>
      <c r="S867" s="19" t="n">
        <f aca="false">IF(RESET=1,0,S867+N867)</f>
        <v>0</v>
      </c>
      <c r="T867" s="0" t="n">
        <f aca="false">IF(RESET=1,0,T867+IF(H867=0,1,0))</f>
        <v>0</v>
      </c>
      <c r="U867" s="0" t="n">
        <f aca="false">IF(RESET=1,0,U867+H867)</f>
        <v>0</v>
      </c>
      <c r="V867" s="19" t="n">
        <f aca="false">R867/(T867+0.00001)</f>
        <v>0</v>
      </c>
      <c r="W867" s="19" t="n">
        <f aca="false">S867/(U867+0.0001)</f>
        <v>0</v>
      </c>
      <c r="X867" s="47" t="e">
        <f aca="false">IF(Informed=1,K867,0)</f>
        <v>#N/A</v>
      </c>
      <c r="Y867" s="47" t="n">
        <f aca="false">IF(Informed=0,K867,0)</f>
        <v>0</v>
      </c>
      <c r="Z867" s="47" t="e">
        <f aca="false">IF(Informed=1,N867,0)</f>
        <v>#N/A</v>
      </c>
      <c r="AA867" s="47" t="n">
        <f aca="false">IF(Informed=0,N867,0)</f>
        <v>0</v>
      </c>
      <c r="AB867" s="51" t="e">
        <f aca="false">IF(Arterial=0,IF(Informed=1,1,0),0)</f>
        <v>#N/A</v>
      </c>
      <c r="AC867" s="51" t="e">
        <f aca="false">IF(Arterial=0,IF(Informed=0,1,0),0)</f>
        <v>#N/A</v>
      </c>
      <c r="AD867" s="51" t="e">
        <f aca="false">IF(Arterial=1,IF(Informed=1,1,0),0)</f>
        <v>#N/A</v>
      </c>
      <c r="AE867" s="51" t="e">
        <f aca="false">IF(Arterial=1,IF(Informed=0,1,0),0)</f>
        <v>#N/A</v>
      </c>
      <c r="AF867" s="44" t="e">
        <f aca="false">IF(AB867=1,(X867-G$1030)^2,0)</f>
        <v>#N/A</v>
      </c>
      <c r="AG867" s="44" t="e">
        <f aca="false">IF(AC867=1,(Y867-H$1030)^2,0)</f>
        <v>#N/A</v>
      </c>
      <c r="AH867" s="44" t="e">
        <f aca="false">IF(AD867=1,(Z867-I$1030)^2,0)</f>
        <v>#N/A</v>
      </c>
      <c r="AI867" s="44" t="e">
        <f aca="false">IF(AE867=1,(AA867-J$1030)^2,0)</f>
        <v>#N/A</v>
      </c>
    </row>
    <row r="868" customFormat="false" ht="12" hidden="false" customHeight="false" outlineLevel="0" collapsed="false">
      <c r="A868" s="29" t="n">
        <v>851</v>
      </c>
      <c r="B868" s="45" t="n">
        <f aca="true">IF(RAND()&lt;$D$8,1,0)</f>
        <v>1</v>
      </c>
      <c r="C868" s="34" t="n">
        <f aca="true">-LN(RAND())/$D$2</f>
        <v>1.39466559954879</v>
      </c>
      <c r="D868" s="46" t="n">
        <f aca="false">D867+C868</f>
        <v>1300.68887421447</v>
      </c>
      <c r="E868" s="47" t="e">
        <f aca="false">MAX($D$3,(1+P867-VLOOKUP(VALUE(D868),$J$18:$Q867,7,TRUE()))*$D$3)</f>
        <v>#N/A</v>
      </c>
      <c r="F868" s="47" t="e">
        <f aca="false">MAX($D$4,(1+Q867-VLOOKUP(VALUE(D868),$M$18:$Q867,5,TRUE()))*$D$4)</f>
        <v>#N/A</v>
      </c>
      <c r="G868" s="48" t="n">
        <v>0.5</v>
      </c>
      <c r="H868" s="46" t="e">
        <f aca="true">IF((B868=1),(IF((F868&lt;E868),1,(IF((F868=E868),(IF(RAND()&lt;G868,1,0)),0)))),(IF((RAND()&lt;G868),1,0)))</f>
        <v>#N/A</v>
      </c>
      <c r="I868" s="46" t="e">
        <f aca="true">IF((H868=1),0,$D$3+$D$5*(RAND()-0.5))</f>
        <v>#N/A</v>
      </c>
      <c r="J868" s="46" t="e">
        <f aca="false">I868+MAX(D868,J867)</f>
        <v>#N/A</v>
      </c>
      <c r="K868" s="46" t="e">
        <f aca="false">IF((H868=0),J868-D868,0)</f>
        <v>#N/A</v>
      </c>
      <c r="L868" s="46" t="e">
        <f aca="true">IF(($H868=0),0,$D$4+$D$5*(RAND()-0.5))</f>
        <v>#N/A</v>
      </c>
      <c r="M868" s="46" t="e">
        <f aca="false">L868+MAX(D868,M867)</f>
        <v>#N/A</v>
      </c>
      <c r="N868" s="46" t="e">
        <f aca="false">IF((H868=1),M868-D868,0)</f>
        <v>#N/A</v>
      </c>
      <c r="O868" s="29" t="n">
        <v>851</v>
      </c>
      <c r="P868" s="49" t="e">
        <f aca="false">IF((Arterial=0),P867+1,P867)</f>
        <v>#N/A</v>
      </c>
      <c r="Q868" s="49" t="e">
        <f aca="false">IF((Arterial=1),Q867+1,Q867)</f>
        <v>#N/A</v>
      </c>
      <c r="R868" s="50" t="n">
        <f aca="false">IF((RESET=1),0,R868+K868)</f>
        <v>0</v>
      </c>
      <c r="S868" s="19" t="n">
        <f aca="false">IF(RESET=1,0,S868+N868)</f>
        <v>0</v>
      </c>
      <c r="T868" s="0" t="n">
        <f aca="false">IF(RESET=1,0,T868+IF(H868=0,1,0))</f>
        <v>0</v>
      </c>
      <c r="U868" s="0" t="n">
        <f aca="false">IF(RESET=1,0,U868+H868)</f>
        <v>0</v>
      </c>
      <c r="V868" s="19" t="n">
        <f aca="false">R868/(T868+0.00001)</f>
        <v>0</v>
      </c>
      <c r="W868" s="19" t="n">
        <f aca="false">S868/(U868+0.0001)</f>
        <v>0</v>
      </c>
      <c r="X868" s="47" t="e">
        <f aca="false">IF(Informed=1,K868,0)</f>
        <v>#N/A</v>
      </c>
      <c r="Y868" s="47" t="n">
        <f aca="false">IF(Informed=0,K868,0)</f>
        <v>0</v>
      </c>
      <c r="Z868" s="47" t="e">
        <f aca="false">IF(Informed=1,N868,0)</f>
        <v>#N/A</v>
      </c>
      <c r="AA868" s="47" t="n">
        <f aca="false">IF(Informed=0,N868,0)</f>
        <v>0</v>
      </c>
      <c r="AB868" s="51" t="e">
        <f aca="false">IF(Arterial=0,IF(Informed=1,1,0),0)</f>
        <v>#N/A</v>
      </c>
      <c r="AC868" s="51" t="e">
        <f aca="false">IF(Arterial=0,IF(Informed=0,1,0),0)</f>
        <v>#N/A</v>
      </c>
      <c r="AD868" s="51" t="e">
        <f aca="false">IF(Arterial=1,IF(Informed=1,1,0),0)</f>
        <v>#N/A</v>
      </c>
      <c r="AE868" s="51" t="e">
        <f aca="false">IF(Arterial=1,IF(Informed=0,1,0),0)</f>
        <v>#N/A</v>
      </c>
      <c r="AF868" s="44" t="e">
        <f aca="false">IF(AB868=1,(X868-G$1030)^2,0)</f>
        <v>#N/A</v>
      </c>
      <c r="AG868" s="44" t="e">
        <f aca="false">IF(AC868=1,(Y868-H$1030)^2,0)</f>
        <v>#N/A</v>
      </c>
      <c r="AH868" s="44" t="e">
        <f aca="false">IF(AD868=1,(Z868-I$1030)^2,0)</f>
        <v>#N/A</v>
      </c>
      <c r="AI868" s="44" t="e">
        <f aca="false">IF(AE868=1,(AA868-J$1030)^2,0)</f>
        <v>#N/A</v>
      </c>
    </row>
    <row r="869" customFormat="false" ht="12" hidden="false" customHeight="false" outlineLevel="0" collapsed="false">
      <c r="A869" s="29" t="n">
        <v>852</v>
      </c>
      <c r="B869" s="45" t="n">
        <f aca="true">IF(RAND()&lt;$D$8,1,0)</f>
        <v>1</v>
      </c>
      <c r="C869" s="34" t="n">
        <f aca="true">-LN(RAND())/$D$2</f>
        <v>0.274366830206472</v>
      </c>
      <c r="D869" s="46" t="n">
        <f aca="false">D868+C869</f>
        <v>1300.96324104468</v>
      </c>
      <c r="E869" s="47" t="e">
        <f aca="false">MAX($D$3,(1+P868-VLOOKUP(VALUE(D869),$J$18:$Q868,7,TRUE()))*$D$3)</f>
        <v>#N/A</v>
      </c>
      <c r="F869" s="47" t="e">
        <f aca="false">MAX($D$4,(1+Q868-VLOOKUP(VALUE(D869),$M$18:$Q868,5,TRUE()))*$D$4)</f>
        <v>#N/A</v>
      </c>
      <c r="G869" s="48" t="n">
        <v>0.5</v>
      </c>
      <c r="H869" s="46" t="e">
        <f aca="true">IF((B869=1),(IF((F869&lt;E869),1,(IF((F869=E869),(IF(RAND()&lt;G869,1,0)),0)))),(IF((RAND()&lt;G869),1,0)))</f>
        <v>#N/A</v>
      </c>
      <c r="I869" s="46" t="e">
        <f aca="true">IF((H869=1),0,$D$3+$D$5*(RAND()-0.5))</f>
        <v>#N/A</v>
      </c>
      <c r="J869" s="46" t="e">
        <f aca="false">I869+MAX(D869,J868)</f>
        <v>#N/A</v>
      </c>
      <c r="K869" s="46" t="e">
        <f aca="false">IF((H869=0),J869-D869,0)</f>
        <v>#N/A</v>
      </c>
      <c r="L869" s="46" t="e">
        <f aca="true">IF(($H869=0),0,$D$4+$D$5*(RAND()-0.5))</f>
        <v>#N/A</v>
      </c>
      <c r="M869" s="46" t="e">
        <f aca="false">L869+MAX(D869,M868)</f>
        <v>#N/A</v>
      </c>
      <c r="N869" s="46" t="e">
        <f aca="false">IF((H869=1),M869-D869,0)</f>
        <v>#N/A</v>
      </c>
      <c r="O869" s="29" t="n">
        <v>852</v>
      </c>
      <c r="P869" s="49" t="e">
        <f aca="false">IF((Arterial=0),P868+1,P868)</f>
        <v>#N/A</v>
      </c>
      <c r="Q869" s="49" t="e">
        <f aca="false">IF((Arterial=1),Q868+1,Q868)</f>
        <v>#N/A</v>
      </c>
      <c r="R869" s="50" t="n">
        <f aca="false">IF((RESET=1),0,R869+K869)</f>
        <v>0</v>
      </c>
      <c r="S869" s="19" t="n">
        <f aca="false">IF(RESET=1,0,S869+N869)</f>
        <v>0</v>
      </c>
      <c r="T869" s="0" t="n">
        <f aca="false">IF(RESET=1,0,T869+IF(H869=0,1,0))</f>
        <v>0</v>
      </c>
      <c r="U869" s="0" t="n">
        <f aca="false">IF(RESET=1,0,U869+H869)</f>
        <v>0</v>
      </c>
      <c r="V869" s="19" t="n">
        <f aca="false">R869/(T869+0.00001)</f>
        <v>0</v>
      </c>
      <c r="W869" s="19" t="n">
        <f aca="false">S869/(U869+0.0001)</f>
        <v>0</v>
      </c>
      <c r="X869" s="47" t="e">
        <f aca="false">IF(Informed=1,K869,0)</f>
        <v>#N/A</v>
      </c>
      <c r="Y869" s="47" t="n">
        <f aca="false">IF(Informed=0,K869,0)</f>
        <v>0</v>
      </c>
      <c r="Z869" s="47" t="e">
        <f aca="false">IF(Informed=1,N869,0)</f>
        <v>#N/A</v>
      </c>
      <c r="AA869" s="47" t="n">
        <f aca="false">IF(Informed=0,N869,0)</f>
        <v>0</v>
      </c>
      <c r="AB869" s="51" t="e">
        <f aca="false">IF(Arterial=0,IF(Informed=1,1,0),0)</f>
        <v>#N/A</v>
      </c>
      <c r="AC869" s="51" t="e">
        <f aca="false">IF(Arterial=0,IF(Informed=0,1,0),0)</f>
        <v>#N/A</v>
      </c>
      <c r="AD869" s="51" t="e">
        <f aca="false">IF(Arterial=1,IF(Informed=1,1,0),0)</f>
        <v>#N/A</v>
      </c>
      <c r="AE869" s="51" t="e">
        <f aca="false">IF(Arterial=1,IF(Informed=0,1,0),0)</f>
        <v>#N/A</v>
      </c>
      <c r="AF869" s="44" t="e">
        <f aca="false">IF(AB869=1,(X869-G$1030)^2,0)</f>
        <v>#N/A</v>
      </c>
      <c r="AG869" s="44" t="e">
        <f aca="false">IF(AC869=1,(Y869-H$1030)^2,0)</f>
        <v>#N/A</v>
      </c>
      <c r="AH869" s="44" t="e">
        <f aca="false">IF(AD869=1,(Z869-I$1030)^2,0)</f>
        <v>#N/A</v>
      </c>
      <c r="AI869" s="44" t="e">
        <f aca="false">IF(AE869=1,(AA869-J$1030)^2,0)</f>
        <v>#N/A</v>
      </c>
    </row>
    <row r="870" customFormat="false" ht="12" hidden="false" customHeight="false" outlineLevel="0" collapsed="false">
      <c r="A870" s="29" t="n">
        <v>853</v>
      </c>
      <c r="B870" s="45" t="n">
        <f aca="true">IF(RAND()&lt;$D$8,1,0)</f>
        <v>1</v>
      </c>
      <c r="C870" s="34" t="n">
        <f aca="true">-LN(RAND())/$D$2</f>
        <v>4.25933429176553</v>
      </c>
      <c r="D870" s="46" t="n">
        <f aca="false">D869+C870</f>
        <v>1305.22257533645</v>
      </c>
      <c r="E870" s="47" t="e">
        <f aca="false">MAX($D$3,(1+P869-VLOOKUP(VALUE(D870),$J$18:$Q869,7,TRUE()))*$D$3)</f>
        <v>#N/A</v>
      </c>
      <c r="F870" s="47" t="e">
        <f aca="false">MAX($D$4,(1+Q869-VLOOKUP(VALUE(D870),$M$18:$Q869,5,TRUE()))*$D$4)</f>
        <v>#N/A</v>
      </c>
      <c r="G870" s="48" t="n">
        <v>0.5</v>
      </c>
      <c r="H870" s="46" t="e">
        <f aca="true">IF((B870=1),(IF((F870&lt;E870),1,(IF((F870=E870),(IF(RAND()&lt;G870,1,0)),0)))),(IF((RAND()&lt;G870),1,0)))</f>
        <v>#N/A</v>
      </c>
      <c r="I870" s="46" t="e">
        <f aca="true">IF((H870=1),0,$D$3+$D$5*(RAND()-0.5))</f>
        <v>#N/A</v>
      </c>
      <c r="J870" s="46" t="e">
        <f aca="false">I870+MAX(D870,J869)</f>
        <v>#N/A</v>
      </c>
      <c r="K870" s="46" t="e">
        <f aca="false">IF((H870=0),J870-D870,0)</f>
        <v>#N/A</v>
      </c>
      <c r="L870" s="46" t="e">
        <f aca="true">IF(($H870=0),0,$D$4+$D$5*(RAND()-0.5))</f>
        <v>#N/A</v>
      </c>
      <c r="M870" s="46" t="e">
        <f aca="false">L870+MAX(D870,M869)</f>
        <v>#N/A</v>
      </c>
      <c r="N870" s="46" t="e">
        <f aca="false">IF((H870=1),M870-D870,0)</f>
        <v>#N/A</v>
      </c>
      <c r="O870" s="29" t="n">
        <v>853</v>
      </c>
      <c r="P870" s="49" t="e">
        <f aca="false">IF((Arterial=0),P869+1,P869)</f>
        <v>#N/A</v>
      </c>
      <c r="Q870" s="49" t="e">
        <f aca="false">IF((Arterial=1),Q869+1,Q869)</f>
        <v>#N/A</v>
      </c>
      <c r="R870" s="50" t="n">
        <f aca="false">IF((RESET=1),0,R870+K870)</f>
        <v>0</v>
      </c>
      <c r="S870" s="19" t="n">
        <f aca="false">IF(RESET=1,0,S870+N870)</f>
        <v>0</v>
      </c>
      <c r="T870" s="0" t="n">
        <f aca="false">IF(RESET=1,0,T870+IF(H870=0,1,0))</f>
        <v>0</v>
      </c>
      <c r="U870" s="0" t="n">
        <f aca="false">IF(RESET=1,0,U870+H870)</f>
        <v>0</v>
      </c>
      <c r="V870" s="19" t="n">
        <f aca="false">R870/(T870+0.00001)</f>
        <v>0</v>
      </c>
      <c r="W870" s="19" t="n">
        <f aca="false">S870/(U870+0.0001)</f>
        <v>0</v>
      </c>
      <c r="X870" s="47" t="e">
        <f aca="false">IF(Informed=1,K870,0)</f>
        <v>#N/A</v>
      </c>
      <c r="Y870" s="47" t="n">
        <f aca="false">IF(Informed=0,K870,0)</f>
        <v>0</v>
      </c>
      <c r="Z870" s="47" t="e">
        <f aca="false">IF(Informed=1,N870,0)</f>
        <v>#N/A</v>
      </c>
      <c r="AA870" s="47" t="n">
        <f aca="false">IF(Informed=0,N870,0)</f>
        <v>0</v>
      </c>
      <c r="AB870" s="51" t="e">
        <f aca="false">IF(Arterial=0,IF(Informed=1,1,0),0)</f>
        <v>#N/A</v>
      </c>
      <c r="AC870" s="51" t="e">
        <f aca="false">IF(Arterial=0,IF(Informed=0,1,0),0)</f>
        <v>#N/A</v>
      </c>
      <c r="AD870" s="51" t="e">
        <f aca="false">IF(Arterial=1,IF(Informed=1,1,0),0)</f>
        <v>#N/A</v>
      </c>
      <c r="AE870" s="51" t="e">
        <f aca="false">IF(Arterial=1,IF(Informed=0,1,0),0)</f>
        <v>#N/A</v>
      </c>
      <c r="AF870" s="44" t="e">
        <f aca="false">IF(AB870=1,(X870-G$1030)^2,0)</f>
        <v>#N/A</v>
      </c>
      <c r="AG870" s="44" t="e">
        <f aca="false">IF(AC870=1,(Y870-H$1030)^2,0)</f>
        <v>#N/A</v>
      </c>
      <c r="AH870" s="44" t="e">
        <f aca="false">IF(AD870=1,(Z870-I$1030)^2,0)</f>
        <v>#N/A</v>
      </c>
      <c r="AI870" s="44" t="e">
        <f aca="false">IF(AE870=1,(AA870-J$1030)^2,0)</f>
        <v>#N/A</v>
      </c>
    </row>
    <row r="871" customFormat="false" ht="12" hidden="false" customHeight="false" outlineLevel="0" collapsed="false">
      <c r="A871" s="29" t="n">
        <v>854</v>
      </c>
      <c r="B871" s="45" t="n">
        <f aca="true">IF(RAND()&lt;$D$8,1,0)</f>
        <v>1</v>
      </c>
      <c r="C871" s="34" t="n">
        <f aca="true">-LN(RAND())/$D$2</f>
        <v>1.87991678965538</v>
      </c>
      <c r="D871" s="46" t="n">
        <f aca="false">D870+C871</f>
        <v>1307.1024921261</v>
      </c>
      <c r="E871" s="47" t="e">
        <f aca="false">MAX($D$3,(1+P870-VLOOKUP(VALUE(D871),$J$18:$Q870,7,TRUE()))*$D$3)</f>
        <v>#N/A</v>
      </c>
      <c r="F871" s="47" t="e">
        <f aca="false">MAX($D$4,(1+Q870-VLOOKUP(VALUE(D871),$M$18:$Q870,5,TRUE()))*$D$4)</f>
        <v>#N/A</v>
      </c>
      <c r="G871" s="48" t="n">
        <v>0.5</v>
      </c>
      <c r="H871" s="46" t="e">
        <f aca="true">IF((B871=1),(IF((F871&lt;E871),1,(IF((F871=E871),(IF(RAND()&lt;G871,1,0)),0)))),(IF((RAND()&lt;G871),1,0)))</f>
        <v>#N/A</v>
      </c>
      <c r="I871" s="46" t="e">
        <f aca="true">IF((H871=1),0,$D$3+$D$5*(RAND()-0.5))</f>
        <v>#N/A</v>
      </c>
      <c r="J871" s="46" t="e">
        <f aca="false">I871+MAX(D871,J870)</f>
        <v>#N/A</v>
      </c>
      <c r="K871" s="46" t="e">
        <f aca="false">IF((H871=0),J871-D871,0)</f>
        <v>#N/A</v>
      </c>
      <c r="L871" s="46" t="e">
        <f aca="true">IF(($H871=0),0,$D$4+$D$5*(RAND()-0.5))</f>
        <v>#N/A</v>
      </c>
      <c r="M871" s="46" t="e">
        <f aca="false">L871+MAX(D871,M870)</f>
        <v>#N/A</v>
      </c>
      <c r="N871" s="46" t="e">
        <f aca="false">IF((H871=1),M871-D871,0)</f>
        <v>#N/A</v>
      </c>
      <c r="O871" s="29" t="n">
        <v>854</v>
      </c>
      <c r="P871" s="49" t="e">
        <f aca="false">IF((Arterial=0),P870+1,P870)</f>
        <v>#N/A</v>
      </c>
      <c r="Q871" s="49" t="e">
        <f aca="false">IF((Arterial=1),Q870+1,Q870)</f>
        <v>#N/A</v>
      </c>
      <c r="R871" s="50" t="n">
        <f aca="false">IF((RESET=1),0,R871+K871)</f>
        <v>0</v>
      </c>
      <c r="S871" s="19" t="n">
        <f aca="false">IF(RESET=1,0,S871+N871)</f>
        <v>0</v>
      </c>
      <c r="T871" s="0" t="n">
        <f aca="false">IF(RESET=1,0,T871+IF(H871=0,1,0))</f>
        <v>0</v>
      </c>
      <c r="U871" s="0" t="n">
        <f aca="false">IF(RESET=1,0,U871+H871)</f>
        <v>0</v>
      </c>
      <c r="V871" s="19" t="n">
        <f aca="false">R871/(T871+0.00001)</f>
        <v>0</v>
      </c>
      <c r="W871" s="19" t="n">
        <f aca="false">S871/(U871+0.0001)</f>
        <v>0</v>
      </c>
      <c r="X871" s="47" t="e">
        <f aca="false">IF(Informed=1,K871,0)</f>
        <v>#N/A</v>
      </c>
      <c r="Y871" s="47" t="n">
        <f aca="false">IF(Informed=0,K871,0)</f>
        <v>0</v>
      </c>
      <c r="Z871" s="47" t="e">
        <f aca="false">IF(Informed=1,N871,0)</f>
        <v>#N/A</v>
      </c>
      <c r="AA871" s="47" t="n">
        <f aca="false">IF(Informed=0,N871,0)</f>
        <v>0</v>
      </c>
      <c r="AB871" s="51" t="e">
        <f aca="false">IF(Arterial=0,IF(Informed=1,1,0),0)</f>
        <v>#N/A</v>
      </c>
      <c r="AC871" s="51" t="e">
        <f aca="false">IF(Arterial=0,IF(Informed=0,1,0),0)</f>
        <v>#N/A</v>
      </c>
      <c r="AD871" s="51" t="e">
        <f aca="false">IF(Arterial=1,IF(Informed=1,1,0),0)</f>
        <v>#N/A</v>
      </c>
      <c r="AE871" s="51" t="e">
        <f aca="false">IF(Arterial=1,IF(Informed=0,1,0),0)</f>
        <v>#N/A</v>
      </c>
      <c r="AF871" s="44" t="e">
        <f aca="false">IF(AB871=1,(X871-G$1030)^2,0)</f>
        <v>#N/A</v>
      </c>
      <c r="AG871" s="44" t="e">
        <f aca="false">IF(AC871=1,(Y871-H$1030)^2,0)</f>
        <v>#N/A</v>
      </c>
      <c r="AH871" s="44" t="e">
        <f aca="false">IF(AD871=1,(Z871-I$1030)^2,0)</f>
        <v>#N/A</v>
      </c>
      <c r="AI871" s="44" t="e">
        <f aca="false">IF(AE871=1,(AA871-J$1030)^2,0)</f>
        <v>#N/A</v>
      </c>
    </row>
    <row r="872" customFormat="false" ht="12" hidden="false" customHeight="false" outlineLevel="0" collapsed="false">
      <c r="A872" s="29" t="n">
        <v>855</v>
      </c>
      <c r="B872" s="45" t="n">
        <f aca="true">IF(RAND()&lt;$D$8,1,0)</f>
        <v>1</v>
      </c>
      <c r="C872" s="34" t="n">
        <f aca="true">-LN(RAND())/$D$2</f>
        <v>0.678750850356638</v>
      </c>
      <c r="D872" s="46" t="n">
        <f aca="false">D871+C872</f>
        <v>1307.78124297646</v>
      </c>
      <c r="E872" s="47" t="e">
        <f aca="false">MAX($D$3,(1+P871-VLOOKUP(VALUE(D872),$J$18:$Q871,7,TRUE()))*$D$3)</f>
        <v>#N/A</v>
      </c>
      <c r="F872" s="47" t="e">
        <f aca="false">MAX($D$4,(1+Q871-VLOOKUP(VALUE(D872),$M$18:$Q871,5,TRUE()))*$D$4)</f>
        <v>#N/A</v>
      </c>
      <c r="G872" s="48" t="n">
        <v>0.5</v>
      </c>
      <c r="H872" s="46" t="e">
        <f aca="true">IF((B872=1),(IF((F872&lt;E872),1,(IF((F872=E872),(IF(RAND()&lt;G872,1,0)),0)))),(IF((RAND()&lt;G872),1,0)))</f>
        <v>#N/A</v>
      </c>
      <c r="I872" s="46" t="e">
        <f aca="true">IF((H872=1),0,$D$3+$D$5*(RAND()-0.5))</f>
        <v>#N/A</v>
      </c>
      <c r="J872" s="46" t="e">
        <f aca="false">I872+MAX(D872,J871)</f>
        <v>#N/A</v>
      </c>
      <c r="K872" s="46" t="e">
        <f aca="false">IF((H872=0),J872-D872,0)</f>
        <v>#N/A</v>
      </c>
      <c r="L872" s="46" t="e">
        <f aca="true">IF(($H872=0),0,$D$4+$D$5*(RAND()-0.5))</f>
        <v>#N/A</v>
      </c>
      <c r="M872" s="46" t="e">
        <f aca="false">L872+MAX(D872,M871)</f>
        <v>#N/A</v>
      </c>
      <c r="N872" s="46" t="e">
        <f aca="false">IF((H872=1),M872-D872,0)</f>
        <v>#N/A</v>
      </c>
      <c r="O872" s="29" t="n">
        <v>855</v>
      </c>
      <c r="P872" s="49" t="e">
        <f aca="false">IF((Arterial=0),P871+1,P871)</f>
        <v>#N/A</v>
      </c>
      <c r="Q872" s="49" t="e">
        <f aca="false">IF((Arterial=1),Q871+1,Q871)</f>
        <v>#N/A</v>
      </c>
      <c r="R872" s="50" t="n">
        <f aca="false">IF((RESET=1),0,R872+K872)</f>
        <v>0</v>
      </c>
      <c r="S872" s="19" t="n">
        <f aca="false">IF(RESET=1,0,S872+N872)</f>
        <v>0</v>
      </c>
      <c r="T872" s="0" t="n">
        <f aca="false">IF(RESET=1,0,T872+IF(H872=0,1,0))</f>
        <v>0</v>
      </c>
      <c r="U872" s="0" t="n">
        <f aca="false">IF(RESET=1,0,U872+H872)</f>
        <v>0</v>
      </c>
      <c r="V872" s="19" t="n">
        <f aca="false">R872/(T872+0.00001)</f>
        <v>0</v>
      </c>
      <c r="W872" s="19" t="n">
        <f aca="false">S872/(U872+0.0001)</f>
        <v>0</v>
      </c>
      <c r="X872" s="47" t="e">
        <f aca="false">IF(Informed=1,K872,0)</f>
        <v>#N/A</v>
      </c>
      <c r="Y872" s="47" t="n">
        <f aca="false">IF(Informed=0,K872,0)</f>
        <v>0</v>
      </c>
      <c r="Z872" s="47" t="e">
        <f aca="false">IF(Informed=1,N872,0)</f>
        <v>#N/A</v>
      </c>
      <c r="AA872" s="47" t="n">
        <f aca="false">IF(Informed=0,N872,0)</f>
        <v>0</v>
      </c>
      <c r="AB872" s="51" t="e">
        <f aca="false">IF(Arterial=0,IF(Informed=1,1,0),0)</f>
        <v>#N/A</v>
      </c>
      <c r="AC872" s="51" t="e">
        <f aca="false">IF(Arterial=0,IF(Informed=0,1,0),0)</f>
        <v>#N/A</v>
      </c>
      <c r="AD872" s="51" t="e">
        <f aca="false">IF(Arterial=1,IF(Informed=1,1,0),0)</f>
        <v>#N/A</v>
      </c>
      <c r="AE872" s="51" t="e">
        <f aca="false">IF(Arterial=1,IF(Informed=0,1,0),0)</f>
        <v>#N/A</v>
      </c>
      <c r="AF872" s="44" t="e">
        <f aca="false">IF(AB872=1,(X872-G$1030)^2,0)</f>
        <v>#N/A</v>
      </c>
      <c r="AG872" s="44" t="e">
        <f aca="false">IF(AC872=1,(Y872-H$1030)^2,0)</f>
        <v>#N/A</v>
      </c>
      <c r="AH872" s="44" t="e">
        <f aca="false">IF(AD872=1,(Z872-I$1030)^2,0)</f>
        <v>#N/A</v>
      </c>
      <c r="AI872" s="44" t="e">
        <f aca="false">IF(AE872=1,(AA872-J$1030)^2,0)</f>
        <v>#N/A</v>
      </c>
    </row>
    <row r="873" customFormat="false" ht="12" hidden="false" customHeight="false" outlineLevel="0" collapsed="false">
      <c r="A873" s="29" t="n">
        <v>856</v>
      </c>
      <c r="B873" s="45" t="n">
        <f aca="true">IF(RAND()&lt;$D$8,1,0)</f>
        <v>1</v>
      </c>
      <c r="C873" s="34" t="n">
        <f aca="true">-LN(RAND())/$D$2</f>
        <v>0.057664644707453</v>
      </c>
      <c r="D873" s="46" t="n">
        <f aca="false">D872+C873</f>
        <v>1307.83890762117</v>
      </c>
      <c r="E873" s="47" t="e">
        <f aca="false">MAX($D$3,(1+P872-VLOOKUP(VALUE(D873),$J$18:$Q872,7,TRUE()))*$D$3)</f>
        <v>#N/A</v>
      </c>
      <c r="F873" s="47" t="e">
        <f aca="false">MAX($D$4,(1+Q872-VLOOKUP(VALUE(D873),$M$18:$Q872,5,TRUE()))*$D$4)</f>
        <v>#N/A</v>
      </c>
      <c r="G873" s="48" t="n">
        <v>0.5</v>
      </c>
      <c r="H873" s="46" t="e">
        <f aca="true">IF((B873=1),(IF((F873&lt;E873),1,(IF((F873=E873),(IF(RAND()&lt;G873,1,0)),0)))),(IF((RAND()&lt;G873),1,0)))</f>
        <v>#N/A</v>
      </c>
      <c r="I873" s="46" t="e">
        <f aca="true">IF((H873=1),0,$D$3+$D$5*(RAND()-0.5))</f>
        <v>#N/A</v>
      </c>
      <c r="J873" s="46" t="e">
        <f aca="false">I873+MAX(D873,J872)</f>
        <v>#N/A</v>
      </c>
      <c r="K873" s="46" t="e">
        <f aca="false">IF((H873=0),J873-D873,0)</f>
        <v>#N/A</v>
      </c>
      <c r="L873" s="46" t="e">
        <f aca="true">IF(($H873=0),0,$D$4+$D$5*(RAND()-0.5))</f>
        <v>#N/A</v>
      </c>
      <c r="M873" s="46" t="e">
        <f aca="false">L873+MAX(D873,M872)</f>
        <v>#N/A</v>
      </c>
      <c r="N873" s="46" t="e">
        <f aca="false">IF((H873=1),M873-D873,0)</f>
        <v>#N/A</v>
      </c>
      <c r="O873" s="29" t="n">
        <v>856</v>
      </c>
      <c r="P873" s="49" t="e">
        <f aca="false">IF((Arterial=0),P872+1,P872)</f>
        <v>#N/A</v>
      </c>
      <c r="Q873" s="49" t="e">
        <f aca="false">IF((Arterial=1),Q872+1,Q872)</f>
        <v>#N/A</v>
      </c>
      <c r="R873" s="50" t="n">
        <f aca="false">IF((RESET=1),0,R873+K873)</f>
        <v>0</v>
      </c>
      <c r="S873" s="19" t="n">
        <f aca="false">IF(RESET=1,0,S873+N873)</f>
        <v>0</v>
      </c>
      <c r="T873" s="0" t="n">
        <f aca="false">IF(RESET=1,0,T873+IF(H873=0,1,0))</f>
        <v>0</v>
      </c>
      <c r="U873" s="0" t="n">
        <f aca="false">IF(RESET=1,0,U873+H873)</f>
        <v>0</v>
      </c>
      <c r="V873" s="19" t="n">
        <f aca="false">R873/(T873+0.00001)</f>
        <v>0</v>
      </c>
      <c r="W873" s="19" t="n">
        <f aca="false">S873/(U873+0.0001)</f>
        <v>0</v>
      </c>
      <c r="X873" s="47" t="e">
        <f aca="false">IF(Informed=1,K873,0)</f>
        <v>#N/A</v>
      </c>
      <c r="Y873" s="47" t="n">
        <f aca="false">IF(Informed=0,K873,0)</f>
        <v>0</v>
      </c>
      <c r="Z873" s="47" t="e">
        <f aca="false">IF(Informed=1,N873,0)</f>
        <v>#N/A</v>
      </c>
      <c r="AA873" s="47" t="n">
        <f aca="false">IF(Informed=0,N873,0)</f>
        <v>0</v>
      </c>
      <c r="AB873" s="51" t="e">
        <f aca="false">IF(Arterial=0,IF(Informed=1,1,0),0)</f>
        <v>#N/A</v>
      </c>
      <c r="AC873" s="51" t="e">
        <f aca="false">IF(Arterial=0,IF(Informed=0,1,0),0)</f>
        <v>#N/A</v>
      </c>
      <c r="AD873" s="51" t="e">
        <f aca="false">IF(Arterial=1,IF(Informed=1,1,0),0)</f>
        <v>#N/A</v>
      </c>
      <c r="AE873" s="51" t="e">
        <f aca="false">IF(Arterial=1,IF(Informed=0,1,0),0)</f>
        <v>#N/A</v>
      </c>
      <c r="AF873" s="44" t="e">
        <f aca="false">IF(AB873=1,(X873-G$1030)^2,0)</f>
        <v>#N/A</v>
      </c>
      <c r="AG873" s="44" t="e">
        <f aca="false">IF(AC873=1,(Y873-H$1030)^2,0)</f>
        <v>#N/A</v>
      </c>
      <c r="AH873" s="44" t="e">
        <f aca="false">IF(AD873=1,(Z873-I$1030)^2,0)</f>
        <v>#N/A</v>
      </c>
      <c r="AI873" s="44" t="e">
        <f aca="false">IF(AE873=1,(AA873-J$1030)^2,0)</f>
        <v>#N/A</v>
      </c>
    </row>
    <row r="874" customFormat="false" ht="12" hidden="false" customHeight="false" outlineLevel="0" collapsed="false">
      <c r="A874" s="29" t="n">
        <v>857</v>
      </c>
      <c r="B874" s="45" t="n">
        <f aca="true">IF(RAND()&lt;$D$8,1,0)</f>
        <v>1</v>
      </c>
      <c r="C874" s="34" t="n">
        <f aca="true">-LN(RAND())/$D$2</f>
        <v>0.519833438433274</v>
      </c>
      <c r="D874" s="46" t="n">
        <f aca="false">D873+C874</f>
        <v>1308.3587410596</v>
      </c>
      <c r="E874" s="47" t="e">
        <f aca="false">MAX($D$3,(1+P873-VLOOKUP(VALUE(D874),$J$18:$Q873,7,TRUE()))*$D$3)</f>
        <v>#N/A</v>
      </c>
      <c r="F874" s="47" t="e">
        <f aca="false">MAX($D$4,(1+Q873-VLOOKUP(VALUE(D874),$M$18:$Q873,5,TRUE()))*$D$4)</f>
        <v>#N/A</v>
      </c>
      <c r="G874" s="48" t="n">
        <v>0.5</v>
      </c>
      <c r="H874" s="46" t="e">
        <f aca="true">IF((B874=1),(IF((F874&lt;E874),1,(IF((F874=E874),(IF(RAND()&lt;G874,1,0)),0)))),(IF((RAND()&lt;G874),1,0)))</f>
        <v>#N/A</v>
      </c>
      <c r="I874" s="46" t="e">
        <f aca="true">IF((H874=1),0,$D$3+$D$5*(RAND()-0.5))</f>
        <v>#N/A</v>
      </c>
      <c r="J874" s="46" t="e">
        <f aca="false">I874+MAX(D874,J873)</f>
        <v>#N/A</v>
      </c>
      <c r="K874" s="46" t="e">
        <f aca="false">IF((H874=0),J874-D874,0)</f>
        <v>#N/A</v>
      </c>
      <c r="L874" s="46" t="e">
        <f aca="true">IF(($H874=0),0,$D$4+$D$5*(RAND()-0.5))</f>
        <v>#N/A</v>
      </c>
      <c r="M874" s="46" t="e">
        <f aca="false">L874+MAX(D874,M873)</f>
        <v>#N/A</v>
      </c>
      <c r="N874" s="46" t="e">
        <f aca="false">IF((H874=1),M874-D874,0)</f>
        <v>#N/A</v>
      </c>
      <c r="O874" s="29" t="n">
        <v>857</v>
      </c>
      <c r="P874" s="49" t="e">
        <f aca="false">IF((Arterial=0),P873+1,P873)</f>
        <v>#N/A</v>
      </c>
      <c r="Q874" s="49" t="e">
        <f aca="false">IF((Arterial=1),Q873+1,Q873)</f>
        <v>#N/A</v>
      </c>
      <c r="R874" s="50" t="n">
        <f aca="false">IF((RESET=1),0,R874+K874)</f>
        <v>0</v>
      </c>
      <c r="S874" s="19" t="n">
        <f aca="false">IF(RESET=1,0,S874+N874)</f>
        <v>0</v>
      </c>
      <c r="T874" s="0" t="n">
        <f aca="false">IF(RESET=1,0,T874+IF(H874=0,1,0))</f>
        <v>0</v>
      </c>
      <c r="U874" s="0" t="n">
        <f aca="false">IF(RESET=1,0,U874+H874)</f>
        <v>0</v>
      </c>
      <c r="V874" s="19" t="n">
        <f aca="false">R874/(T874+0.00001)</f>
        <v>0</v>
      </c>
      <c r="W874" s="19" t="n">
        <f aca="false">S874/(U874+0.0001)</f>
        <v>0</v>
      </c>
      <c r="X874" s="47" t="e">
        <f aca="false">IF(Informed=1,K874,0)</f>
        <v>#N/A</v>
      </c>
      <c r="Y874" s="47" t="n">
        <f aca="false">IF(Informed=0,K874,0)</f>
        <v>0</v>
      </c>
      <c r="Z874" s="47" t="e">
        <f aca="false">IF(Informed=1,N874,0)</f>
        <v>#N/A</v>
      </c>
      <c r="AA874" s="47" t="n">
        <f aca="false">IF(Informed=0,N874,0)</f>
        <v>0</v>
      </c>
      <c r="AB874" s="51" t="e">
        <f aca="false">IF(Arterial=0,IF(Informed=1,1,0),0)</f>
        <v>#N/A</v>
      </c>
      <c r="AC874" s="51" t="e">
        <f aca="false">IF(Arterial=0,IF(Informed=0,1,0),0)</f>
        <v>#N/A</v>
      </c>
      <c r="AD874" s="51" t="e">
        <f aca="false">IF(Arterial=1,IF(Informed=1,1,0),0)</f>
        <v>#N/A</v>
      </c>
      <c r="AE874" s="51" t="e">
        <f aca="false">IF(Arterial=1,IF(Informed=0,1,0),0)</f>
        <v>#N/A</v>
      </c>
      <c r="AF874" s="44" t="e">
        <f aca="false">IF(AB874=1,(X874-G$1030)^2,0)</f>
        <v>#N/A</v>
      </c>
      <c r="AG874" s="44" t="e">
        <f aca="false">IF(AC874=1,(Y874-H$1030)^2,0)</f>
        <v>#N/A</v>
      </c>
      <c r="AH874" s="44" t="e">
        <f aca="false">IF(AD874=1,(Z874-I$1030)^2,0)</f>
        <v>#N/A</v>
      </c>
      <c r="AI874" s="44" t="e">
        <f aca="false">IF(AE874=1,(AA874-J$1030)^2,0)</f>
        <v>#N/A</v>
      </c>
    </row>
    <row r="875" customFormat="false" ht="12" hidden="false" customHeight="false" outlineLevel="0" collapsed="false">
      <c r="A875" s="29" t="n">
        <v>858</v>
      </c>
      <c r="B875" s="45" t="n">
        <f aca="true">IF(RAND()&lt;$D$8,1,0)</f>
        <v>1</v>
      </c>
      <c r="C875" s="34" t="n">
        <f aca="true">-LN(RAND())/$D$2</f>
        <v>0.206445686009437</v>
      </c>
      <c r="D875" s="46" t="n">
        <f aca="false">D874+C875</f>
        <v>1308.56518674561</v>
      </c>
      <c r="E875" s="47" t="e">
        <f aca="false">MAX($D$3,(1+P874-VLOOKUP(VALUE(D875),$J$18:$Q874,7,TRUE()))*$D$3)</f>
        <v>#N/A</v>
      </c>
      <c r="F875" s="47" t="e">
        <f aca="false">MAX($D$4,(1+Q874-VLOOKUP(VALUE(D875),$M$18:$Q874,5,TRUE()))*$D$4)</f>
        <v>#N/A</v>
      </c>
      <c r="G875" s="48" t="n">
        <v>0.5</v>
      </c>
      <c r="H875" s="46" t="e">
        <f aca="true">IF((B875=1),(IF((F875&lt;E875),1,(IF((F875=E875),(IF(RAND()&lt;G875,1,0)),0)))),(IF((RAND()&lt;G875),1,0)))</f>
        <v>#N/A</v>
      </c>
      <c r="I875" s="46" t="e">
        <f aca="true">IF((H875=1),0,$D$3+$D$5*(RAND()-0.5))</f>
        <v>#N/A</v>
      </c>
      <c r="J875" s="46" t="e">
        <f aca="false">I875+MAX(D875,J874)</f>
        <v>#N/A</v>
      </c>
      <c r="K875" s="46" t="e">
        <f aca="false">IF((H875=0),J875-D875,0)</f>
        <v>#N/A</v>
      </c>
      <c r="L875" s="46" t="e">
        <f aca="true">IF(($H875=0),0,$D$4+$D$5*(RAND()-0.5))</f>
        <v>#N/A</v>
      </c>
      <c r="M875" s="46" t="e">
        <f aca="false">L875+MAX(D875,M874)</f>
        <v>#N/A</v>
      </c>
      <c r="N875" s="46" t="e">
        <f aca="false">IF((H875=1),M875-D875,0)</f>
        <v>#N/A</v>
      </c>
      <c r="O875" s="29" t="n">
        <v>858</v>
      </c>
      <c r="P875" s="49" t="e">
        <f aca="false">IF((Arterial=0),P874+1,P874)</f>
        <v>#N/A</v>
      </c>
      <c r="Q875" s="49" t="e">
        <f aca="false">IF((Arterial=1),Q874+1,Q874)</f>
        <v>#N/A</v>
      </c>
      <c r="R875" s="50" t="n">
        <f aca="false">IF((RESET=1),0,R875+K875)</f>
        <v>0</v>
      </c>
      <c r="S875" s="19" t="n">
        <f aca="false">IF(RESET=1,0,S875+N875)</f>
        <v>0</v>
      </c>
      <c r="T875" s="0" t="n">
        <f aca="false">IF(RESET=1,0,T875+IF(H875=0,1,0))</f>
        <v>0</v>
      </c>
      <c r="U875" s="0" t="n">
        <f aca="false">IF(RESET=1,0,U875+H875)</f>
        <v>0</v>
      </c>
      <c r="V875" s="19" t="n">
        <f aca="false">R875/(T875+0.00001)</f>
        <v>0</v>
      </c>
      <c r="W875" s="19" t="n">
        <f aca="false">S875/(U875+0.0001)</f>
        <v>0</v>
      </c>
      <c r="X875" s="47" t="e">
        <f aca="false">IF(Informed=1,K875,0)</f>
        <v>#N/A</v>
      </c>
      <c r="Y875" s="47" t="n">
        <f aca="false">IF(Informed=0,K875,0)</f>
        <v>0</v>
      </c>
      <c r="Z875" s="47" t="e">
        <f aca="false">IF(Informed=1,N875,0)</f>
        <v>#N/A</v>
      </c>
      <c r="AA875" s="47" t="n">
        <f aca="false">IF(Informed=0,N875,0)</f>
        <v>0</v>
      </c>
      <c r="AB875" s="51" t="e">
        <f aca="false">IF(Arterial=0,IF(Informed=1,1,0),0)</f>
        <v>#N/A</v>
      </c>
      <c r="AC875" s="51" t="e">
        <f aca="false">IF(Arterial=0,IF(Informed=0,1,0),0)</f>
        <v>#N/A</v>
      </c>
      <c r="AD875" s="51" t="e">
        <f aca="false">IF(Arterial=1,IF(Informed=1,1,0),0)</f>
        <v>#N/A</v>
      </c>
      <c r="AE875" s="51" t="e">
        <f aca="false">IF(Arterial=1,IF(Informed=0,1,0),0)</f>
        <v>#N/A</v>
      </c>
      <c r="AF875" s="44" t="e">
        <f aca="false">IF(AB875=1,(X875-G$1030)^2,0)</f>
        <v>#N/A</v>
      </c>
      <c r="AG875" s="44" t="e">
        <f aca="false">IF(AC875=1,(Y875-H$1030)^2,0)</f>
        <v>#N/A</v>
      </c>
      <c r="AH875" s="44" t="e">
        <f aca="false">IF(AD875=1,(Z875-I$1030)^2,0)</f>
        <v>#N/A</v>
      </c>
      <c r="AI875" s="44" t="e">
        <f aca="false">IF(AE875=1,(AA875-J$1030)^2,0)</f>
        <v>#N/A</v>
      </c>
    </row>
    <row r="876" customFormat="false" ht="12" hidden="false" customHeight="false" outlineLevel="0" collapsed="false">
      <c r="A876" s="29" t="n">
        <v>859</v>
      </c>
      <c r="B876" s="45" t="n">
        <f aca="true">IF(RAND()&lt;$D$8,1,0)</f>
        <v>1</v>
      </c>
      <c r="C876" s="34" t="n">
        <f aca="true">-LN(RAND())/$D$2</f>
        <v>2.58580454655037</v>
      </c>
      <c r="D876" s="46" t="n">
        <f aca="false">D875+C876</f>
        <v>1311.15099129216</v>
      </c>
      <c r="E876" s="47" t="e">
        <f aca="false">MAX($D$3,(1+P875-VLOOKUP(VALUE(D876),$J$18:$Q875,7,TRUE()))*$D$3)</f>
        <v>#N/A</v>
      </c>
      <c r="F876" s="47" t="e">
        <f aca="false">MAX($D$4,(1+Q875-VLOOKUP(VALUE(D876),$M$18:$Q875,5,TRUE()))*$D$4)</f>
        <v>#N/A</v>
      </c>
      <c r="G876" s="48" t="n">
        <v>0.5</v>
      </c>
      <c r="H876" s="46" t="e">
        <f aca="true">IF((B876=1),(IF((F876&lt;E876),1,(IF((F876=E876),(IF(RAND()&lt;G876,1,0)),0)))),(IF((RAND()&lt;G876),1,0)))</f>
        <v>#N/A</v>
      </c>
      <c r="I876" s="46" t="e">
        <f aca="true">IF((H876=1),0,$D$3+$D$5*(RAND()-0.5))</f>
        <v>#N/A</v>
      </c>
      <c r="J876" s="46" t="e">
        <f aca="false">I876+MAX(D876,J875)</f>
        <v>#N/A</v>
      </c>
      <c r="K876" s="46" t="e">
        <f aca="false">IF((H876=0),J876-D876,0)</f>
        <v>#N/A</v>
      </c>
      <c r="L876" s="46" t="e">
        <f aca="true">IF(($H876=0),0,$D$4+$D$5*(RAND()-0.5))</f>
        <v>#N/A</v>
      </c>
      <c r="M876" s="46" t="e">
        <f aca="false">L876+MAX(D876,M875)</f>
        <v>#N/A</v>
      </c>
      <c r="N876" s="46" t="e">
        <f aca="false">IF((H876=1),M876-D876,0)</f>
        <v>#N/A</v>
      </c>
      <c r="O876" s="29" t="n">
        <v>859</v>
      </c>
      <c r="P876" s="49" t="e">
        <f aca="false">IF((Arterial=0),P875+1,P875)</f>
        <v>#N/A</v>
      </c>
      <c r="Q876" s="49" t="e">
        <f aca="false">IF((Arterial=1),Q875+1,Q875)</f>
        <v>#N/A</v>
      </c>
      <c r="R876" s="50" t="n">
        <f aca="false">IF((RESET=1),0,R876+K876)</f>
        <v>0</v>
      </c>
      <c r="S876" s="19" t="n">
        <f aca="false">IF(RESET=1,0,S876+N876)</f>
        <v>0</v>
      </c>
      <c r="T876" s="0" t="n">
        <f aca="false">IF(RESET=1,0,T876+IF(H876=0,1,0))</f>
        <v>0</v>
      </c>
      <c r="U876" s="0" t="n">
        <f aca="false">IF(RESET=1,0,U876+H876)</f>
        <v>0</v>
      </c>
      <c r="V876" s="19" t="n">
        <f aca="false">R876/(T876+0.00001)</f>
        <v>0</v>
      </c>
      <c r="W876" s="19" t="n">
        <f aca="false">S876/(U876+0.0001)</f>
        <v>0</v>
      </c>
      <c r="X876" s="47" t="e">
        <f aca="false">IF(Informed=1,K876,0)</f>
        <v>#N/A</v>
      </c>
      <c r="Y876" s="47" t="n">
        <f aca="false">IF(Informed=0,K876,0)</f>
        <v>0</v>
      </c>
      <c r="Z876" s="47" t="e">
        <f aca="false">IF(Informed=1,N876,0)</f>
        <v>#N/A</v>
      </c>
      <c r="AA876" s="47" t="n">
        <f aca="false">IF(Informed=0,N876,0)</f>
        <v>0</v>
      </c>
      <c r="AB876" s="51" t="e">
        <f aca="false">IF(Arterial=0,IF(Informed=1,1,0),0)</f>
        <v>#N/A</v>
      </c>
      <c r="AC876" s="51" t="e">
        <f aca="false">IF(Arterial=0,IF(Informed=0,1,0),0)</f>
        <v>#N/A</v>
      </c>
      <c r="AD876" s="51" t="e">
        <f aca="false">IF(Arterial=1,IF(Informed=1,1,0),0)</f>
        <v>#N/A</v>
      </c>
      <c r="AE876" s="51" t="e">
        <f aca="false">IF(Arterial=1,IF(Informed=0,1,0),0)</f>
        <v>#N/A</v>
      </c>
      <c r="AF876" s="44" t="e">
        <f aca="false">IF(AB876=1,(X876-G$1030)^2,0)</f>
        <v>#N/A</v>
      </c>
      <c r="AG876" s="44" t="e">
        <f aca="false">IF(AC876=1,(Y876-H$1030)^2,0)</f>
        <v>#N/A</v>
      </c>
      <c r="AH876" s="44" t="e">
        <f aca="false">IF(AD876=1,(Z876-I$1030)^2,0)</f>
        <v>#N/A</v>
      </c>
      <c r="AI876" s="44" t="e">
        <f aca="false">IF(AE876=1,(AA876-J$1030)^2,0)</f>
        <v>#N/A</v>
      </c>
    </row>
    <row r="877" customFormat="false" ht="12" hidden="false" customHeight="false" outlineLevel="0" collapsed="false">
      <c r="A877" s="29" t="n">
        <v>860</v>
      </c>
      <c r="B877" s="45" t="n">
        <f aca="true">IF(RAND()&lt;$D$8,1,0)</f>
        <v>1</v>
      </c>
      <c r="C877" s="34" t="n">
        <f aca="true">-LN(RAND())/$D$2</f>
        <v>1.11316917601751</v>
      </c>
      <c r="D877" s="46" t="n">
        <f aca="false">D876+C877</f>
        <v>1312.26416046818</v>
      </c>
      <c r="E877" s="47" t="e">
        <f aca="false">MAX($D$3,(1+P876-VLOOKUP(VALUE(D877),$J$18:$Q876,7,TRUE()))*$D$3)</f>
        <v>#N/A</v>
      </c>
      <c r="F877" s="47" t="e">
        <f aca="false">MAX($D$4,(1+Q876-VLOOKUP(VALUE(D877),$M$18:$Q876,5,TRUE()))*$D$4)</f>
        <v>#N/A</v>
      </c>
      <c r="G877" s="48" t="n">
        <v>0.5</v>
      </c>
      <c r="H877" s="46" t="e">
        <f aca="true">IF((B877=1),(IF((F877&lt;E877),1,(IF((F877=E877),(IF(RAND()&lt;G877,1,0)),0)))),(IF((RAND()&lt;G877),1,0)))</f>
        <v>#N/A</v>
      </c>
      <c r="I877" s="46" t="e">
        <f aca="true">IF((H877=1),0,$D$3+$D$5*(RAND()-0.5))</f>
        <v>#N/A</v>
      </c>
      <c r="J877" s="46" t="e">
        <f aca="false">I877+MAX(D877,J876)</f>
        <v>#N/A</v>
      </c>
      <c r="K877" s="46" t="e">
        <f aca="false">IF((H877=0),J877-D877,0)</f>
        <v>#N/A</v>
      </c>
      <c r="L877" s="46" t="e">
        <f aca="true">IF(($H877=0),0,$D$4+$D$5*(RAND()-0.5))</f>
        <v>#N/A</v>
      </c>
      <c r="M877" s="46" t="e">
        <f aca="false">L877+MAX(D877,M876)</f>
        <v>#N/A</v>
      </c>
      <c r="N877" s="46" t="e">
        <f aca="false">IF((H877=1),M877-D877,0)</f>
        <v>#N/A</v>
      </c>
      <c r="O877" s="29" t="n">
        <v>860</v>
      </c>
      <c r="P877" s="49" t="e">
        <f aca="false">IF((Arterial=0),P876+1,P876)</f>
        <v>#N/A</v>
      </c>
      <c r="Q877" s="49" t="e">
        <f aca="false">IF((Arterial=1),Q876+1,Q876)</f>
        <v>#N/A</v>
      </c>
      <c r="R877" s="50" t="n">
        <f aca="false">IF((RESET=1),0,R877+K877)</f>
        <v>0</v>
      </c>
      <c r="S877" s="19" t="n">
        <f aca="false">IF(RESET=1,0,S877+N877)</f>
        <v>0</v>
      </c>
      <c r="T877" s="0" t="n">
        <f aca="false">IF(RESET=1,0,T877+IF(H877=0,1,0))</f>
        <v>0</v>
      </c>
      <c r="U877" s="0" t="n">
        <f aca="false">IF(RESET=1,0,U877+H877)</f>
        <v>0</v>
      </c>
      <c r="V877" s="19" t="n">
        <f aca="false">R877/(T877+0.00001)</f>
        <v>0</v>
      </c>
      <c r="W877" s="19" t="n">
        <f aca="false">S877/(U877+0.0001)</f>
        <v>0</v>
      </c>
      <c r="X877" s="47" t="e">
        <f aca="false">IF(Informed=1,K877,0)</f>
        <v>#N/A</v>
      </c>
      <c r="Y877" s="47" t="n">
        <f aca="false">IF(Informed=0,K877,0)</f>
        <v>0</v>
      </c>
      <c r="Z877" s="47" t="e">
        <f aca="false">IF(Informed=1,N877,0)</f>
        <v>#N/A</v>
      </c>
      <c r="AA877" s="47" t="n">
        <f aca="false">IF(Informed=0,N877,0)</f>
        <v>0</v>
      </c>
      <c r="AB877" s="51" t="e">
        <f aca="false">IF(Arterial=0,IF(Informed=1,1,0),0)</f>
        <v>#N/A</v>
      </c>
      <c r="AC877" s="51" t="e">
        <f aca="false">IF(Arterial=0,IF(Informed=0,1,0),0)</f>
        <v>#N/A</v>
      </c>
      <c r="AD877" s="51" t="e">
        <f aca="false">IF(Arterial=1,IF(Informed=1,1,0),0)</f>
        <v>#N/A</v>
      </c>
      <c r="AE877" s="51" t="e">
        <f aca="false">IF(Arterial=1,IF(Informed=0,1,0),0)</f>
        <v>#N/A</v>
      </c>
      <c r="AF877" s="44" t="e">
        <f aca="false">IF(AB877=1,(X877-G$1030)^2,0)</f>
        <v>#N/A</v>
      </c>
      <c r="AG877" s="44" t="e">
        <f aca="false">IF(AC877=1,(Y877-H$1030)^2,0)</f>
        <v>#N/A</v>
      </c>
      <c r="AH877" s="44" t="e">
        <f aca="false">IF(AD877=1,(Z877-I$1030)^2,0)</f>
        <v>#N/A</v>
      </c>
      <c r="AI877" s="44" t="e">
        <f aca="false">IF(AE877=1,(AA877-J$1030)^2,0)</f>
        <v>#N/A</v>
      </c>
    </row>
    <row r="878" customFormat="false" ht="12" hidden="false" customHeight="false" outlineLevel="0" collapsed="false">
      <c r="A878" s="29" t="n">
        <v>861</v>
      </c>
      <c r="B878" s="45" t="n">
        <f aca="true">IF(RAND()&lt;$D$8,1,0)</f>
        <v>1</v>
      </c>
      <c r="C878" s="34" t="n">
        <f aca="true">-LN(RAND())/$D$2</f>
        <v>1.70523918360799</v>
      </c>
      <c r="D878" s="46" t="n">
        <f aca="false">D877+C878</f>
        <v>1313.96939965178</v>
      </c>
      <c r="E878" s="47" t="e">
        <f aca="false">MAX($D$3,(1+P877-VLOOKUP(VALUE(D878),$J$18:$Q877,7,TRUE()))*$D$3)</f>
        <v>#N/A</v>
      </c>
      <c r="F878" s="47" t="e">
        <f aca="false">MAX($D$4,(1+Q877-VLOOKUP(VALUE(D878),$M$18:$Q877,5,TRUE()))*$D$4)</f>
        <v>#N/A</v>
      </c>
      <c r="G878" s="48" t="n">
        <v>0.5</v>
      </c>
      <c r="H878" s="46" t="e">
        <f aca="true">IF((B878=1),(IF((F878&lt;E878),1,(IF((F878=E878),(IF(RAND()&lt;G878,1,0)),0)))),(IF((RAND()&lt;G878),1,0)))</f>
        <v>#N/A</v>
      </c>
      <c r="I878" s="46" t="e">
        <f aca="true">IF((H878=1),0,$D$3+$D$5*(RAND()-0.5))</f>
        <v>#N/A</v>
      </c>
      <c r="J878" s="46" t="e">
        <f aca="false">I878+MAX(D878,J877)</f>
        <v>#N/A</v>
      </c>
      <c r="K878" s="46" t="e">
        <f aca="false">IF((H878=0),J878-D878,0)</f>
        <v>#N/A</v>
      </c>
      <c r="L878" s="46" t="e">
        <f aca="true">IF(($H878=0),0,$D$4+$D$5*(RAND()-0.5))</f>
        <v>#N/A</v>
      </c>
      <c r="M878" s="46" t="e">
        <f aca="false">L878+MAX(D878,M877)</f>
        <v>#N/A</v>
      </c>
      <c r="N878" s="46" t="e">
        <f aca="false">IF((H878=1),M878-D878,0)</f>
        <v>#N/A</v>
      </c>
      <c r="O878" s="29" t="n">
        <v>861</v>
      </c>
      <c r="P878" s="49" t="e">
        <f aca="false">IF((Arterial=0),P877+1,P877)</f>
        <v>#N/A</v>
      </c>
      <c r="Q878" s="49" t="e">
        <f aca="false">IF((Arterial=1),Q877+1,Q877)</f>
        <v>#N/A</v>
      </c>
      <c r="R878" s="50" t="n">
        <f aca="false">IF((RESET=1),0,R878+K878)</f>
        <v>0</v>
      </c>
      <c r="S878" s="19" t="n">
        <f aca="false">IF(RESET=1,0,S878+N878)</f>
        <v>0</v>
      </c>
      <c r="T878" s="0" t="n">
        <f aca="false">IF(RESET=1,0,T878+IF(H878=0,1,0))</f>
        <v>0</v>
      </c>
      <c r="U878" s="0" t="n">
        <f aca="false">IF(RESET=1,0,U878+H878)</f>
        <v>0</v>
      </c>
      <c r="V878" s="19" t="n">
        <f aca="false">R878/(T878+0.00001)</f>
        <v>0</v>
      </c>
      <c r="W878" s="19" t="n">
        <f aca="false">S878/(U878+0.0001)</f>
        <v>0</v>
      </c>
      <c r="X878" s="47" t="e">
        <f aca="false">IF(Informed=1,K878,0)</f>
        <v>#N/A</v>
      </c>
      <c r="Y878" s="47" t="n">
        <f aca="false">IF(Informed=0,K878,0)</f>
        <v>0</v>
      </c>
      <c r="Z878" s="47" t="e">
        <f aca="false">IF(Informed=1,N878,0)</f>
        <v>#N/A</v>
      </c>
      <c r="AA878" s="47" t="n">
        <f aca="false">IF(Informed=0,N878,0)</f>
        <v>0</v>
      </c>
      <c r="AB878" s="51" t="e">
        <f aca="false">IF(Arterial=0,IF(Informed=1,1,0),0)</f>
        <v>#N/A</v>
      </c>
      <c r="AC878" s="51" t="e">
        <f aca="false">IF(Arterial=0,IF(Informed=0,1,0),0)</f>
        <v>#N/A</v>
      </c>
      <c r="AD878" s="51" t="e">
        <f aca="false">IF(Arterial=1,IF(Informed=1,1,0),0)</f>
        <v>#N/A</v>
      </c>
      <c r="AE878" s="51" t="e">
        <f aca="false">IF(Arterial=1,IF(Informed=0,1,0),0)</f>
        <v>#N/A</v>
      </c>
      <c r="AF878" s="44" t="e">
        <f aca="false">IF(AB878=1,(X878-G$1030)^2,0)</f>
        <v>#N/A</v>
      </c>
      <c r="AG878" s="44" t="e">
        <f aca="false">IF(AC878=1,(Y878-H$1030)^2,0)</f>
        <v>#N/A</v>
      </c>
      <c r="AH878" s="44" t="e">
        <f aca="false">IF(AD878=1,(Z878-I$1030)^2,0)</f>
        <v>#N/A</v>
      </c>
      <c r="AI878" s="44" t="e">
        <f aca="false">IF(AE878=1,(AA878-J$1030)^2,0)</f>
        <v>#N/A</v>
      </c>
    </row>
    <row r="879" customFormat="false" ht="12" hidden="false" customHeight="false" outlineLevel="0" collapsed="false">
      <c r="A879" s="29" t="n">
        <v>862</v>
      </c>
      <c r="B879" s="45" t="n">
        <f aca="true">IF(RAND()&lt;$D$8,1,0)</f>
        <v>1</v>
      </c>
      <c r="C879" s="34" t="n">
        <f aca="true">-LN(RAND())/$D$2</f>
        <v>0.770108530073915</v>
      </c>
      <c r="D879" s="46" t="n">
        <f aca="false">D878+C879</f>
        <v>1314.73950818186</v>
      </c>
      <c r="E879" s="47" t="e">
        <f aca="false">MAX($D$3,(1+P878-VLOOKUP(VALUE(D879),$J$18:$Q878,7,TRUE()))*$D$3)</f>
        <v>#N/A</v>
      </c>
      <c r="F879" s="47" t="e">
        <f aca="false">MAX($D$4,(1+Q878-VLOOKUP(VALUE(D879),$M$18:$Q878,5,TRUE()))*$D$4)</f>
        <v>#N/A</v>
      </c>
      <c r="G879" s="48" t="n">
        <v>0.5</v>
      </c>
      <c r="H879" s="46" t="e">
        <f aca="true">IF((B879=1),(IF((F879&lt;E879),1,(IF((F879=E879),(IF(RAND()&lt;G879,1,0)),0)))),(IF((RAND()&lt;G879),1,0)))</f>
        <v>#N/A</v>
      </c>
      <c r="I879" s="46" t="e">
        <f aca="true">IF((H879=1),0,$D$3+$D$5*(RAND()-0.5))</f>
        <v>#N/A</v>
      </c>
      <c r="J879" s="46" t="e">
        <f aca="false">I879+MAX(D879,J878)</f>
        <v>#N/A</v>
      </c>
      <c r="K879" s="46" t="e">
        <f aca="false">IF((H879=0),J879-D879,0)</f>
        <v>#N/A</v>
      </c>
      <c r="L879" s="46" t="e">
        <f aca="true">IF(($H879=0),0,$D$4+$D$5*(RAND()-0.5))</f>
        <v>#N/A</v>
      </c>
      <c r="M879" s="46" t="e">
        <f aca="false">L879+MAX(D879,M878)</f>
        <v>#N/A</v>
      </c>
      <c r="N879" s="46" t="e">
        <f aca="false">IF((H879=1),M879-D879,0)</f>
        <v>#N/A</v>
      </c>
      <c r="O879" s="29" t="n">
        <v>862</v>
      </c>
      <c r="P879" s="49" t="e">
        <f aca="false">IF((Arterial=0),P878+1,P878)</f>
        <v>#N/A</v>
      </c>
      <c r="Q879" s="49" t="e">
        <f aca="false">IF((Arterial=1),Q878+1,Q878)</f>
        <v>#N/A</v>
      </c>
      <c r="R879" s="50" t="n">
        <f aca="false">IF((RESET=1),0,R879+K879)</f>
        <v>0</v>
      </c>
      <c r="S879" s="19" t="n">
        <f aca="false">IF(RESET=1,0,S879+N879)</f>
        <v>0</v>
      </c>
      <c r="T879" s="0" t="n">
        <f aca="false">IF(RESET=1,0,T879+IF(H879=0,1,0))</f>
        <v>0</v>
      </c>
      <c r="U879" s="0" t="n">
        <f aca="false">IF(RESET=1,0,U879+H879)</f>
        <v>0</v>
      </c>
      <c r="V879" s="19" t="n">
        <f aca="false">R879/(T879+0.00001)</f>
        <v>0</v>
      </c>
      <c r="W879" s="19" t="n">
        <f aca="false">S879/(U879+0.0001)</f>
        <v>0</v>
      </c>
      <c r="X879" s="47" t="e">
        <f aca="false">IF(Informed=1,K879,0)</f>
        <v>#N/A</v>
      </c>
      <c r="Y879" s="47" t="n">
        <f aca="false">IF(Informed=0,K879,0)</f>
        <v>0</v>
      </c>
      <c r="Z879" s="47" t="e">
        <f aca="false">IF(Informed=1,N879,0)</f>
        <v>#N/A</v>
      </c>
      <c r="AA879" s="47" t="n">
        <f aca="false">IF(Informed=0,N879,0)</f>
        <v>0</v>
      </c>
      <c r="AB879" s="51" t="e">
        <f aca="false">IF(Arterial=0,IF(Informed=1,1,0),0)</f>
        <v>#N/A</v>
      </c>
      <c r="AC879" s="51" t="e">
        <f aca="false">IF(Arterial=0,IF(Informed=0,1,0),0)</f>
        <v>#N/A</v>
      </c>
      <c r="AD879" s="51" t="e">
        <f aca="false">IF(Arterial=1,IF(Informed=1,1,0),0)</f>
        <v>#N/A</v>
      </c>
      <c r="AE879" s="51" t="e">
        <f aca="false">IF(Arterial=1,IF(Informed=0,1,0),0)</f>
        <v>#N/A</v>
      </c>
      <c r="AF879" s="44" t="e">
        <f aca="false">IF(AB879=1,(X879-G$1030)^2,0)</f>
        <v>#N/A</v>
      </c>
      <c r="AG879" s="44" t="e">
        <f aca="false">IF(AC879=1,(Y879-H$1030)^2,0)</f>
        <v>#N/A</v>
      </c>
      <c r="AH879" s="44" t="e">
        <f aca="false">IF(AD879=1,(Z879-I$1030)^2,0)</f>
        <v>#N/A</v>
      </c>
      <c r="AI879" s="44" t="e">
        <f aca="false">IF(AE879=1,(AA879-J$1030)^2,0)</f>
        <v>#N/A</v>
      </c>
    </row>
    <row r="880" customFormat="false" ht="12" hidden="false" customHeight="false" outlineLevel="0" collapsed="false">
      <c r="A880" s="29" t="n">
        <v>863</v>
      </c>
      <c r="B880" s="45" t="n">
        <f aca="true">IF(RAND()&lt;$D$8,1,0)</f>
        <v>1</v>
      </c>
      <c r="C880" s="34" t="n">
        <f aca="true">-LN(RAND())/$D$2</f>
        <v>2.92911827875714</v>
      </c>
      <c r="D880" s="46" t="n">
        <f aca="false">D879+C880</f>
        <v>1317.66862646062</v>
      </c>
      <c r="E880" s="47" t="e">
        <f aca="false">MAX($D$3,(1+P879-VLOOKUP(VALUE(D880),$J$18:$Q879,7,TRUE()))*$D$3)</f>
        <v>#N/A</v>
      </c>
      <c r="F880" s="47" t="e">
        <f aca="false">MAX($D$4,(1+Q879-VLOOKUP(VALUE(D880),$M$18:$Q879,5,TRUE()))*$D$4)</f>
        <v>#N/A</v>
      </c>
      <c r="G880" s="48" t="n">
        <v>0.5</v>
      </c>
      <c r="H880" s="46" t="e">
        <f aca="true">IF((B880=1),(IF((F880&lt;E880),1,(IF((F880=E880),(IF(RAND()&lt;G880,1,0)),0)))),(IF((RAND()&lt;G880),1,0)))</f>
        <v>#N/A</v>
      </c>
      <c r="I880" s="46" t="e">
        <f aca="true">IF((H880=1),0,$D$3+$D$5*(RAND()-0.5))</f>
        <v>#N/A</v>
      </c>
      <c r="J880" s="46" t="e">
        <f aca="false">I880+MAX(D880,J879)</f>
        <v>#N/A</v>
      </c>
      <c r="K880" s="46" t="e">
        <f aca="false">IF((H880=0),J880-D880,0)</f>
        <v>#N/A</v>
      </c>
      <c r="L880" s="46" t="e">
        <f aca="true">IF(($H880=0),0,$D$4+$D$5*(RAND()-0.5))</f>
        <v>#N/A</v>
      </c>
      <c r="M880" s="46" t="e">
        <f aca="false">L880+MAX(D880,M879)</f>
        <v>#N/A</v>
      </c>
      <c r="N880" s="46" t="e">
        <f aca="false">IF((H880=1),M880-D880,0)</f>
        <v>#N/A</v>
      </c>
      <c r="O880" s="29" t="n">
        <v>863</v>
      </c>
      <c r="P880" s="49" t="e">
        <f aca="false">IF((Arterial=0),P879+1,P879)</f>
        <v>#N/A</v>
      </c>
      <c r="Q880" s="49" t="e">
        <f aca="false">IF((Arterial=1),Q879+1,Q879)</f>
        <v>#N/A</v>
      </c>
      <c r="R880" s="50" t="n">
        <f aca="false">IF((RESET=1),0,R880+K880)</f>
        <v>0</v>
      </c>
      <c r="S880" s="19" t="n">
        <f aca="false">IF(RESET=1,0,S880+N880)</f>
        <v>0</v>
      </c>
      <c r="T880" s="0" t="n">
        <f aca="false">IF(RESET=1,0,T880+IF(H880=0,1,0))</f>
        <v>0</v>
      </c>
      <c r="U880" s="0" t="n">
        <f aca="false">IF(RESET=1,0,U880+H880)</f>
        <v>0</v>
      </c>
      <c r="V880" s="19" t="n">
        <f aca="false">R880/(T880+0.00001)</f>
        <v>0</v>
      </c>
      <c r="W880" s="19" t="n">
        <f aca="false">S880/(U880+0.0001)</f>
        <v>0</v>
      </c>
      <c r="X880" s="47" t="e">
        <f aca="false">IF(Informed=1,K880,0)</f>
        <v>#N/A</v>
      </c>
      <c r="Y880" s="47" t="n">
        <f aca="false">IF(Informed=0,K880,0)</f>
        <v>0</v>
      </c>
      <c r="Z880" s="47" t="e">
        <f aca="false">IF(Informed=1,N880,0)</f>
        <v>#N/A</v>
      </c>
      <c r="AA880" s="47" t="n">
        <f aca="false">IF(Informed=0,N880,0)</f>
        <v>0</v>
      </c>
      <c r="AB880" s="51" t="e">
        <f aca="false">IF(Arterial=0,IF(Informed=1,1,0),0)</f>
        <v>#N/A</v>
      </c>
      <c r="AC880" s="51" t="e">
        <f aca="false">IF(Arterial=0,IF(Informed=0,1,0),0)</f>
        <v>#N/A</v>
      </c>
      <c r="AD880" s="51" t="e">
        <f aca="false">IF(Arterial=1,IF(Informed=1,1,0),0)</f>
        <v>#N/A</v>
      </c>
      <c r="AE880" s="51" t="e">
        <f aca="false">IF(Arterial=1,IF(Informed=0,1,0),0)</f>
        <v>#N/A</v>
      </c>
      <c r="AF880" s="44" t="e">
        <f aca="false">IF(AB880=1,(X880-G$1030)^2,0)</f>
        <v>#N/A</v>
      </c>
      <c r="AG880" s="44" t="e">
        <f aca="false">IF(AC880=1,(Y880-H$1030)^2,0)</f>
        <v>#N/A</v>
      </c>
      <c r="AH880" s="44" t="e">
        <f aca="false">IF(AD880=1,(Z880-I$1030)^2,0)</f>
        <v>#N/A</v>
      </c>
      <c r="AI880" s="44" t="e">
        <f aca="false">IF(AE880=1,(AA880-J$1030)^2,0)</f>
        <v>#N/A</v>
      </c>
    </row>
    <row r="881" customFormat="false" ht="12" hidden="false" customHeight="false" outlineLevel="0" collapsed="false">
      <c r="A881" s="29" t="n">
        <v>864</v>
      </c>
      <c r="B881" s="45" t="n">
        <f aca="true">IF(RAND()&lt;$D$8,1,0)</f>
        <v>1</v>
      </c>
      <c r="C881" s="34" t="n">
        <f aca="true">-LN(RAND())/$D$2</f>
        <v>1.39469126006611</v>
      </c>
      <c r="D881" s="46" t="n">
        <f aca="false">D880+C881</f>
        <v>1319.06331772068</v>
      </c>
      <c r="E881" s="47" t="e">
        <f aca="false">MAX($D$3,(1+P880-VLOOKUP(VALUE(D881),$J$18:$Q880,7,TRUE()))*$D$3)</f>
        <v>#N/A</v>
      </c>
      <c r="F881" s="47" t="e">
        <f aca="false">MAX($D$4,(1+Q880-VLOOKUP(VALUE(D881),$M$18:$Q880,5,TRUE()))*$D$4)</f>
        <v>#N/A</v>
      </c>
      <c r="G881" s="48" t="n">
        <v>0.5</v>
      </c>
      <c r="H881" s="46" t="e">
        <f aca="true">IF((B881=1),(IF((F881&lt;E881),1,(IF((F881=E881),(IF(RAND()&lt;G881,1,0)),0)))),(IF((RAND()&lt;G881),1,0)))</f>
        <v>#N/A</v>
      </c>
      <c r="I881" s="46" t="e">
        <f aca="true">IF((H881=1),0,$D$3+$D$5*(RAND()-0.5))</f>
        <v>#N/A</v>
      </c>
      <c r="J881" s="46" t="e">
        <f aca="false">I881+MAX(D881,J880)</f>
        <v>#N/A</v>
      </c>
      <c r="K881" s="46" t="e">
        <f aca="false">IF((H881=0),J881-D881,0)</f>
        <v>#N/A</v>
      </c>
      <c r="L881" s="46" t="e">
        <f aca="true">IF(($H881=0),0,$D$4+$D$5*(RAND()-0.5))</f>
        <v>#N/A</v>
      </c>
      <c r="M881" s="46" t="e">
        <f aca="false">L881+MAX(D881,M880)</f>
        <v>#N/A</v>
      </c>
      <c r="N881" s="46" t="e">
        <f aca="false">IF((H881=1),M881-D881,0)</f>
        <v>#N/A</v>
      </c>
      <c r="O881" s="29" t="n">
        <v>864</v>
      </c>
      <c r="P881" s="49" t="e">
        <f aca="false">IF((Arterial=0),P880+1,P880)</f>
        <v>#N/A</v>
      </c>
      <c r="Q881" s="49" t="e">
        <f aca="false">IF((Arterial=1),Q880+1,Q880)</f>
        <v>#N/A</v>
      </c>
      <c r="R881" s="50" t="n">
        <f aca="false">IF((RESET=1),0,R881+K881)</f>
        <v>0</v>
      </c>
      <c r="S881" s="19" t="n">
        <f aca="false">IF(RESET=1,0,S881+N881)</f>
        <v>0</v>
      </c>
      <c r="T881" s="0" t="n">
        <f aca="false">IF(RESET=1,0,T881+IF(H881=0,1,0))</f>
        <v>0</v>
      </c>
      <c r="U881" s="0" t="n">
        <f aca="false">IF(RESET=1,0,U881+H881)</f>
        <v>0</v>
      </c>
      <c r="V881" s="19" t="n">
        <f aca="false">R881/(T881+0.00001)</f>
        <v>0</v>
      </c>
      <c r="W881" s="19" t="n">
        <f aca="false">S881/(U881+0.0001)</f>
        <v>0</v>
      </c>
      <c r="X881" s="47" t="e">
        <f aca="false">IF(Informed=1,K881,0)</f>
        <v>#N/A</v>
      </c>
      <c r="Y881" s="47" t="n">
        <f aca="false">IF(Informed=0,K881,0)</f>
        <v>0</v>
      </c>
      <c r="Z881" s="47" t="e">
        <f aca="false">IF(Informed=1,N881,0)</f>
        <v>#N/A</v>
      </c>
      <c r="AA881" s="47" t="n">
        <f aca="false">IF(Informed=0,N881,0)</f>
        <v>0</v>
      </c>
      <c r="AB881" s="51" t="e">
        <f aca="false">IF(Arterial=0,IF(Informed=1,1,0),0)</f>
        <v>#N/A</v>
      </c>
      <c r="AC881" s="51" t="e">
        <f aca="false">IF(Arterial=0,IF(Informed=0,1,0),0)</f>
        <v>#N/A</v>
      </c>
      <c r="AD881" s="51" t="e">
        <f aca="false">IF(Arterial=1,IF(Informed=1,1,0),0)</f>
        <v>#N/A</v>
      </c>
      <c r="AE881" s="51" t="e">
        <f aca="false">IF(Arterial=1,IF(Informed=0,1,0),0)</f>
        <v>#N/A</v>
      </c>
      <c r="AF881" s="44" t="e">
        <f aca="false">IF(AB881=1,(X881-G$1030)^2,0)</f>
        <v>#N/A</v>
      </c>
      <c r="AG881" s="44" t="e">
        <f aca="false">IF(AC881=1,(Y881-H$1030)^2,0)</f>
        <v>#N/A</v>
      </c>
      <c r="AH881" s="44" t="e">
        <f aca="false">IF(AD881=1,(Z881-I$1030)^2,0)</f>
        <v>#N/A</v>
      </c>
      <c r="AI881" s="44" t="e">
        <f aca="false">IF(AE881=1,(AA881-J$1030)^2,0)</f>
        <v>#N/A</v>
      </c>
    </row>
    <row r="882" customFormat="false" ht="12" hidden="false" customHeight="false" outlineLevel="0" collapsed="false">
      <c r="A882" s="29" t="n">
        <v>865</v>
      </c>
      <c r="B882" s="45" t="n">
        <f aca="true">IF(RAND()&lt;$D$8,1,0)</f>
        <v>1</v>
      </c>
      <c r="C882" s="34" t="n">
        <f aca="true">-LN(RAND())/$D$2</f>
        <v>0.187201999251059</v>
      </c>
      <c r="D882" s="46" t="n">
        <f aca="false">D881+C882</f>
        <v>1319.25051971993</v>
      </c>
      <c r="E882" s="47" t="e">
        <f aca="false">MAX($D$3,(1+P881-VLOOKUP(VALUE(D882),$J$18:$Q881,7,TRUE()))*$D$3)</f>
        <v>#N/A</v>
      </c>
      <c r="F882" s="47" t="e">
        <f aca="false">MAX($D$4,(1+Q881-VLOOKUP(VALUE(D882),$M$18:$Q881,5,TRUE()))*$D$4)</f>
        <v>#N/A</v>
      </c>
      <c r="G882" s="48" t="n">
        <v>0.5</v>
      </c>
      <c r="H882" s="46" t="e">
        <f aca="true">IF((B882=1),(IF((F882&lt;E882),1,(IF((F882=E882),(IF(RAND()&lt;G882,1,0)),0)))),(IF((RAND()&lt;G882),1,0)))</f>
        <v>#N/A</v>
      </c>
      <c r="I882" s="46" t="e">
        <f aca="true">IF((H882=1),0,$D$3+$D$5*(RAND()-0.5))</f>
        <v>#N/A</v>
      </c>
      <c r="J882" s="46" t="e">
        <f aca="false">I882+MAX(D882,J881)</f>
        <v>#N/A</v>
      </c>
      <c r="K882" s="46" t="e">
        <f aca="false">IF((H882=0),J882-D882,0)</f>
        <v>#N/A</v>
      </c>
      <c r="L882" s="46" t="e">
        <f aca="true">IF(($H882=0),0,$D$4+$D$5*(RAND()-0.5))</f>
        <v>#N/A</v>
      </c>
      <c r="M882" s="46" t="e">
        <f aca="false">L882+MAX(D882,M881)</f>
        <v>#N/A</v>
      </c>
      <c r="N882" s="46" t="e">
        <f aca="false">IF((H882=1),M882-D882,0)</f>
        <v>#N/A</v>
      </c>
      <c r="O882" s="29" t="n">
        <v>865</v>
      </c>
      <c r="P882" s="49" t="e">
        <f aca="false">IF((Arterial=0),P881+1,P881)</f>
        <v>#N/A</v>
      </c>
      <c r="Q882" s="49" t="e">
        <f aca="false">IF((Arterial=1),Q881+1,Q881)</f>
        <v>#N/A</v>
      </c>
      <c r="R882" s="50" t="n">
        <f aca="false">IF((RESET=1),0,R882+K882)</f>
        <v>0</v>
      </c>
      <c r="S882" s="19" t="n">
        <f aca="false">IF(RESET=1,0,S882+N882)</f>
        <v>0</v>
      </c>
      <c r="T882" s="0" t="n">
        <f aca="false">IF(RESET=1,0,T882+IF(H882=0,1,0))</f>
        <v>0</v>
      </c>
      <c r="U882" s="0" t="n">
        <f aca="false">IF(RESET=1,0,U882+H882)</f>
        <v>0</v>
      </c>
      <c r="V882" s="19" t="n">
        <f aca="false">R882/(T882+0.00001)</f>
        <v>0</v>
      </c>
      <c r="W882" s="19" t="n">
        <f aca="false">S882/(U882+0.0001)</f>
        <v>0</v>
      </c>
      <c r="X882" s="47" t="e">
        <f aca="false">IF(Informed=1,K882,0)</f>
        <v>#N/A</v>
      </c>
      <c r="Y882" s="47" t="n">
        <f aca="false">IF(Informed=0,K882,0)</f>
        <v>0</v>
      </c>
      <c r="Z882" s="47" t="e">
        <f aca="false">IF(Informed=1,N882,0)</f>
        <v>#N/A</v>
      </c>
      <c r="AA882" s="47" t="n">
        <f aca="false">IF(Informed=0,N882,0)</f>
        <v>0</v>
      </c>
      <c r="AB882" s="51" t="e">
        <f aca="false">IF(Arterial=0,IF(Informed=1,1,0),0)</f>
        <v>#N/A</v>
      </c>
      <c r="AC882" s="51" t="e">
        <f aca="false">IF(Arterial=0,IF(Informed=0,1,0),0)</f>
        <v>#N/A</v>
      </c>
      <c r="AD882" s="51" t="e">
        <f aca="false">IF(Arterial=1,IF(Informed=1,1,0),0)</f>
        <v>#N/A</v>
      </c>
      <c r="AE882" s="51" t="e">
        <f aca="false">IF(Arterial=1,IF(Informed=0,1,0),0)</f>
        <v>#N/A</v>
      </c>
      <c r="AF882" s="44" t="e">
        <f aca="false">IF(AB882=1,(X882-G$1030)^2,0)</f>
        <v>#N/A</v>
      </c>
      <c r="AG882" s="44" t="e">
        <f aca="false">IF(AC882=1,(Y882-H$1030)^2,0)</f>
        <v>#N/A</v>
      </c>
      <c r="AH882" s="44" t="e">
        <f aca="false">IF(AD882=1,(Z882-I$1030)^2,0)</f>
        <v>#N/A</v>
      </c>
      <c r="AI882" s="44" t="e">
        <f aca="false">IF(AE882=1,(AA882-J$1030)^2,0)</f>
        <v>#N/A</v>
      </c>
    </row>
    <row r="883" customFormat="false" ht="12" hidden="false" customHeight="false" outlineLevel="0" collapsed="false">
      <c r="A883" s="29" t="n">
        <v>866</v>
      </c>
      <c r="B883" s="45" t="n">
        <f aca="true">IF(RAND()&lt;$D$8,1,0)</f>
        <v>1</v>
      </c>
      <c r="C883" s="34" t="n">
        <f aca="true">-LN(RAND())/$D$2</f>
        <v>0.801264604301367</v>
      </c>
      <c r="D883" s="46" t="n">
        <f aca="false">D882+C883</f>
        <v>1320.05178432423</v>
      </c>
      <c r="E883" s="47" t="e">
        <f aca="false">MAX($D$3,(1+P882-VLOOKUP(VALUE(D883),$J$18:$Q882,7,TRUE()))*$D$3)</f>
        <v>#N/A</v>
      </c>
      <c r="F883" s="47" t="e">
        <f aca="false">MAX($D$4,(1+Q882-VLOOKUP(VALUE(D883),$M$18:$Q882,5,TRUE()))*$D$4)</f>
        <v>#N/A</v>
      </c>
      <c r="G883" s="48" t="n">
        <v>0.5</v>
      </c>
      <c r="H883" s="46" t="e">
        <f aca="true">IF((B883=1),(IF((F883&lt;E883),1,(IF((F883=E883),(IF(RAND()&lt;G883,1,0)),0)))),(IF((RAND()&lt;G883),1,0)))</f>
        <v>#N/A</v>
      </c>
      <c r="I883" s="46" t="e">
        <f aca="true">IF((H883=1),0,$D$3+$D$5*(RAND()-0.5))</f>
        <v>#N/A</v>
      </c>
      <c r="J883" s="46" t="e">
        <f aca="false">I883+MAX(D883,J882)</f>
        <v>#N/A</v>
      </c>
      <c r="K883" s="46" t="e">
        <f aca="false">IF((H883=0),J883-D883,0)</f>
        <v>#N/A</v>
      </c>
      <c r="L883" s="46" t="e">
        <f aca="true">IF(($H883=0),0,$D$4+$D$5*(RAND()-0.5))</f>
        <v>#N/A</v>
      </c>
      <c r="M883" s="46" t="e">
        <f aca="false">L883+MAX(D883,M882)</f>
        <v>#N/A</v>
      </c>
      <c r="N883" s="46" t="e">
        <f aca="false">IF((H883=1),M883-D883,0)</f>
        <v>#N/A</v>
      </c>
      <c r="O883" s="29" t="n">
        <v>866</v>
      </c>
      <c r="P883" s="49" t="e">
        <f aca="false">IF((Arterial=0),P882+1,P882)</f>
        <v>#N/A</v>
      </c>
      <c r="Q883" s="49" t="e">
        <f aca="false">IF((Arterial=1),Q882+1,Q882)</f>
        <v>#N/A</v>
      </c>
      <c r="R883" s="50" t="n">
        <f aca="false">IF((RESET=1),0,R883+K883)</f>
        <v>0</v>
      </c>
      <c r="S883" s="19" t="n">
        <f aca="false">IF(RESET=1,0,S883+N883)</f>
        <v>0</v>
      </c>
      <c r="T883" s="0" t="n">
        <f aca="false">IF(RESET=1,0,T883+IF(H883=0,1,0))</f>
        <v>0</v>
      </c>
      <c r="U883" s="0" t="n">
        <f aca="false">IF(RESET=1,0,U883+H883)</f>
        <v>0</v>
      </c>
      <c r="V883" s="19" t="n">
        <f aca="false">R883/(T883+0.00001)</f>
        <v>0</v>
      </c>
      <c r="W883" s="19" t="n">
        <f aca="false">S883/(U883+0.0001)</f>
        <v>0</v>
      </c>
      <c r="X883" s="47" t="e">
        <f aca="false">IF(Informed=1,K883,0)</f>
        <v>#N/A</v>
      </c>
      <c r="Y883" s="47" t="n">
        <f aca="false">IF(Informed=0,K883,0)</f>
        <v>0</v>
      </c>
      <c r="Z883" s="47" t="e">
        <f aca="false">IF(Informed=1,N883,0)</f>
        <v>#N/A</v>
      </c>
      <c r="AA883" s="47" t="n">
        <f aca="false">IF(Informed=0,N883,0)</f>
        <v>0</v>
      </c>
      <c r="AB883" s="51" t="e">
        <f aca="false">IF(Arterial=0,IF(Informed=1,1,0),0)</f>
        <v>#N/A</v>
      </c>
      <c r="AC883" s="51" t="e">
        <f aca="false">IF(Arterial=0,IF(Informed=0,1,0),0)</f>
        <v>#N/A</v>
      </c>
      <c r="AD883" s="51" t="e">
        <f aca="false">IF(Arterial=1,IF(Informed=1,1,0),0)</f>
        <v>#N/A</v>
      </c>
      <c r="AE883" s="51" t="e">
        <f aca="false">IF(Arterial=1,IF(Informed=0,1,0),0)</f>
        <v>#N/A</v>
      </c>
      <c r="AF883" s="44" t="e">
        <f aca="false">IF(AB883=1,(X883-G$1030)^2,0)</f>
        <v>#N/A</v>
      </c>
      <c r="AG883" s="44" t="e">
        <f aca="false">IF(AC883=1,(Y883-H$1030)^2,0)</f>
        <v>#N/A</v>
      </c>
      <c r="AH883" s="44" t="e">
        <f aca="false">IF(AD883=1,(Z883-I$1030)^2,0)</f>
        <v>#N/A</v>
      </c>
      <c r="AI883" s="44" t="e">
        <f aca="false">IF(AE883=1,(AA883-J$1030)^2,0)</f>
        <v>#N/A</v>
      </c>
    </row>
    <row r="884" customFormat="false" ht="12" hidden="false" customHeight="false" outlineLevel="0" collapsed="false">
      <c r="A884" s="29" t="n">
        <v>867</v>
      </c>
      <c r="B884" s="45" t="n">
        <f aca="true">IF(RAND()&lt;$D$8,1,0)</f>
        <v>1</v>
      </c>
      <c r="C884" s="34" t="n">
        <f aca="true">-LN(RAND())/$D$2</f>
        <v>0.65129038621723</v>
      </c>
      <c r="D884" s="46" t="n">
        <f aca="false">D883+C884</f>
        <v>1320.70307471045</v>
      </c>
      <c r="E884" s="47" t="e">
        <f aca="false">MAX($D$3,(1+P883-VLOOKUP(VALUE(D884),$J$18:$Q883,7,TRUE()))*$D$3)</f>
        <v>#N/A</v>
      </c>
      <c r="F884" s="47" t="e">
        <f aca="false">MAX($D$4,(1+Q883-VLOOKUP(VALUE(D884),$M$18:$Q883,5,TRUE()))*$D$4)</f>
        <v>#N/A</v>
      </c>
      <c r="G884" s="48" t="n">
        <v>0.5</v>
      </c>
      <c r="H884" s="46" t="e">
        <f aca="true">IF((B884=1),(IF((F884&lt;E884),1,(IF((F884=E884),(IF(RAND()&lt;G884,1,0)),0)))),(IF((RAND()&lt;G884),1,0)))</f>
        <v>#N/A</v>
      </c>
      <c r="I884" s="46" t="e">
        <f aca="true">IF((H884=1),0,$D$3+$D$5*(RAND()-0.5))</f>
        <v>#N/A</v>
      </c>
      <c r="J884" s="46" t="e">
        <f aca="false">I884+MAX(D884,J883)</f>
        <v>#N/A</v>
      </c>
      <c r="K884" s="46" t="e">
        <f aca="false">IF((H884=0),J884-D884,0)</f>
        <v>#N/A</v>
      </c>
      <c r="L884" s="46" t="e">
        <f aca="true">IF(($H884=0),0,$D$4+$D$5*(RAND()-0.5))</f>
        <v>#N/A</v>
      </c>
      <c r="M884" s="46" t="e">
        <f aca="false">L884+MAX(D884,M883)</f>
        <v>#N/A</v>
      </c>
      <c r="N884" s="46" t="e">
        <f aca="false">IF((H884=1),M884-D884,0)</f>
        <v>#N/A</v>
      </c>
      <c r="O884" s="29" t="n">
        <v>867</v>
      </c>
      <c r="P884" s="49" t="e">
        <f aca="false">IF((Arterial=0),P883+1,P883)</f>
        <v>#N/A</v>
      </c>
      <c r="Q884" s="49" t="e">
        <f aca="false">IF((Arterial=1),Q883+1,Q883)</f>
        <v>#N/A</v>
      </c>
      <c r="R884" s="50" t="n">
        <f aca="false">IF((RESET=1),0,R884+K884)</f>
        <v>0</v>
      </c>
      <c r="S884" s="19" t="n">
        <f aca="false">IF(RESET=1,0,S884+N884)</f>
        <v>0</v>
      </c>
      <c r="T884" s="0" t="n">
        <f aca="false">IF(RESET=1,0,T884+IF(H884=0,1,0))</f>
        <v>0</v>
      </c>
      <c r="U884" s="0" t="n">
        <f aca="false">IF(RESET=1,0,U884+H884)</f>
        <v>0</v>
      </c>
      <c r="V884" s="19" t="n">
        <f aca="false">R884/(T884+0.00001)</f>
        <v>0</v>
      </c>
      <c r="W884" s="19" t="n">
        <f aca="false">S884/(U884+0.0001)</f>
        <v>0</v>
      </c>
      <c r="X884" s="47" t="e">
        <f aca="false">IF(Informed=1,K884,0)</f>
        <v>#N/A</v>
      </c>
      <c r="Y884" s="47" t="n">
        <f aca="false">IF(Informed=0,K884,0)</f>
        <v>0</v>
      </c>
      <c r="Z884" s="47" t="e">
        <f aca="false">IF(Informed=1,N884,0)</f>
        <v>#N/A</v>
      </c>
      <c r="AA884" s="47" t="n">
        <f aca="false">IF(Informed=0,N884,0)</f>
        <v>0</v>
      </c>
      <c r="AB884" s="51" t="e">
        <f aca="false">IF(Arterial=0,IF(Informed=1,1,0),0)</f>
        <v>#N/A</v>
      </c>
      <c r="AC884" s="51" t="e">
        <f aca="false">IF(Arterial=0,IF(Informed=0,1,0),0)</f>
        <v>#N/A</v>
      </c>
      <c r="AD884" s="51" t="e">
        <f aca="false">IF(Arterial=1,IF(Informed=1,1,0),0)</f>
        <v>#N/A</v>
      </c>
      <c r="AE884" s="51" t="e">
        <f aca="false">IF(Arterial=1,IF(Informed=0,1,0),0)</f>
        <v>#N/A</v>
      </c>
      <c r="AF884" s="44" t="e">
        <f aca="false">IF(AB884=1,(X884-G$1030)^2,0)</f>
        <v>#N/A</v>
      </c>
      <c r="AG884" s="44" t="e">
        <f aca="false">IF(AC884=1,(Y884-H$1030)^2,0)</f>
        <v>#N/A</v>
      </c>
      <c r="AH884" s="44" t="e">
        <f aca="false">IF(AD884=1,(Z884-I$1030)^2,0)</f>
        <v>#N/A</v>
      </c>
      <c r="AI884" s="44" t="e">
        <f aca="false">IF(AE884=1,(AA884-J$1030)^2,0)</f>
        <v>#N/A</v>
      </c>
    </row>
    <row r="885" customFormat="false" ht="12" hidden="false" customHeight="false" outlineLevel="0" collapsed="false">
      <c r="A885" s="29" t="n">
        <v>868</v>
      </c>
      <c r="B885" s="45" t="n">
        <f aca="true">IF(RAND()&lt;$D$8,1,0)</f>
        <v>1</v>
      </c>
      <c r="C885" s="34" t="n">
        <f aca="true">-LN(RAND())/$D$2</f>
        <v>3.00499035344248</v>
      </c>
      <c r="D885" s="46" t="n">
        <f aca="false">D884+C885</f>
        <v>1323.70806506389</v>
      </c>
      <c r="E885" s="47" t="e">
        <f aca="false">MAX($D$3,(1+P884-VLOOKUP(VALUE(D885),$J$18:$Q884,7,TRUE()))*$D$3)</f>
        <v>#N/A</v>
      </c>
      <c r="F885" s="47" t="e">
        <f aca="false">MAX($D$4,(1+Q884-VLOOKUP(VALUE(D885),$M$18:$Q884,5,TRUE()))*$D$4)</f>
        <v>#N/A</v>
      </c>
      <c r="G885" s="48" t="n">
        <v>0.5</v>
      </c>
      <c r="H885" s="46" t="e">
        <f aca="true">IF((B885=1),(IF((F885&lt;E885),1,(IF((F885=E885),(IF(RAND()&lt;G885,1,0)),0)))),(IF((RAND()&lt;G885),1,0)))</f>
        <v>#N/A</v>
      </c>
      <c r="I885" s="46" t="e">
        <f aca="true">IF((H885=1),0,$D$3+$D$5*(RAND()-0.5))</f>
        <v>#N/A</v>
      </c>
      <c r="J885" s="46" t="e">
        <f aca="false">I885+MAX(D885,J884)</f>
        <v>#N/A</v>
      </c>
      <c r="K885" s="46" t="e">
        <f aca="false">IF((H885=0),J885-D885,0)</f>
        <v>#N/A</v>
      </c>
      <c r="L885" s="46" t="e">
        <f aca="true">IF(($H885=0),0,$D$4+$D$5*(RAND()-0.5))</f>
        <v>#N/A</v>
      </c>
      <c r="M885" s="46" t="e">
        <f aca="false">L885+MAX(D885,M884)</f>
        <v>#N/A</v>
      </c>
      <c r="N885" s="46" t="e">
        <f aca="false">IF((H885=1),M885-D885,0)</f>
        <v>#N/A</v>
      </c>
      <c r="O885" s="29" t="n">
        <v>868</v>
      </c>
      <c r="P885" s="49" t="e">
        <f aca="false">IF((Arterial=0),P884+1,P884)</f>
        <v>#N/A</v>
      </c>
      <c r="Q885" s="49" t="e">
        <f aca="false">IF((Arterial=1),Q884+1,Q884)</f>
        <v>#N/A</v>
      </c>
      <c r="R885" s="50" t="n">
        <f aca="false">IF((RESET=1),0,R885+K885)</f>
        <v>0</v>
      </c>
      <c r="S885" s="19" t="n">
        <f aca="false">IF(RESET=1,0,S885+N885)</f>
        <v>0</v>
      </c>
      <c r="T885" s="0" t="n">
        <f aca="false">IF(RESET=1,0,T885+IF(H885=0,1,0))</f>
        <v>0</v>
      </c>
      <c r="U885" s="0" t="n">
        <f aca="false">IF(RESET=1,0,U885+H885)</f>
        <v>0</v>
      </c>
      <c r="V885" s="19" t="n">
        <f aca="false">R885/(T885+0.00001)</f>
        <v>0</v>
      </c>
      <c r="W885" s="19" t="n">
        <f aca="false">S885/(U885+0.0001)</f>
        <v>0</v>
      </c>
      <c r="X885" s="47" t="e">
        <f aca="false">IF(Informed=1,K885,0)</f>
        <v>#N/A</v>
      </c>
      <c r="Y885" s="47" t="n">
        <f aca="false">IF(Informed=0,K885,0)</f>
        <v>0</v>
      </c>
      <c r="Z885" s="47" t="e">
        <f aca="false">IF(Informed=1,N885,0)</f>
        <v>#N/A</v>
      </c>
      <c r="AA885" s="47" t="n">
        <f aca="false">IF(Informed=0,N885,0)</f>
        <v>0</v>
      </c>
      <c r="AB885" s="51" t="e">
        <f aca="false">IF(Arterial=0,IF(Informed=1,1,0),0)</f>
        <v>#N/A</v>
      </c>
      <c r="AC885" s="51" t="e">
        <f aca="false">IF(Arterial=0,IF(Informed=0,1,0),0)</f>
        <v>#N/A</v>
      </c>
      <c r="AD885" s="51" t="e">
        <f aca="false">IF(Arterial=1,IF(Informed=1,1,0),0)</f>
        <v>#N/A</v>
      </c>
      <c r="AE885" s="51" t="e">
        <f aca="false">IF(Arterial=1,IF(Informed=0,1,0),0)</f>
        <v>#N/A</v>
      </c>
      <c r="AF885" s="44" t="e">
        <f aca="false">IF(AB885=1,(X885-G$1030)^2,0)</f>
        <v>#N/A</v>
      </c>
      <c r="AG885" s="44" t="e">
        <f aca="false">IF(AC885=1,(Y885-H$1030)^2,0)</f>
        <v>#N/A</v>
      </c>
      <c r="AH885" s="44" t="e">
        <f aca="false">IF(AD885=1,(Z885-I$1030)^2,0)</f>
        <v>#N/A</v>
      </c>
      <c r="AI885" s="44" t="e">
        <f aca="false">IF(AE885=1,(AA885-J$1030)^2,0)</f>
        <v>#N/A</v>
      </c>
    </row>
    <row r="886" customFormat="false" ht="12" hidden="false" customHeight="false" outlineLevel="0" collapsed="false">
      <c r="A886" s="29" t="n">
        <v>869</v>
      </c>
      <c r="B886" s="45" t="n">
        <f aca="true">IF(RAND()&lt;$D$8,1,0)</f>
        <v>1</v>
      </c>
      <c r="C886" s="34" t="n">
        <f aca="true">-LN(RAND())/$D$2</f>
        <v>0.824570052296058</v>
      </c>
      <c r="D886" s="46" t="n">
        <f aca="false">D885+C886</f>
        <v>1324.53263511619</v>
      </c>
      <c r="E886" s="47" t="e">
        <f aca="false">MAX($D$3,(1+P885-VLOOKUP(VALUE(D886),$J$18:$Q885,7,TRUE()))*$D$3)</f>
        <v>#N/A</v>
      </c>
      <c r="F886" s="47" t="e">
        <f aca="false">MAX($D$4,(1+Q885-VLOOKUP(VALUE(D886),$M$18:$Q885,5,TRUE()))*$D$4)</f>
        <v>#N/A</v>
      </c>
      <c r="G886" s="48" t="n">
        <v>0.5</v>
      </c>
      <c r="H886" s="46" t="e">
        <f aca="true">IF((B886=1),(IF((F886&lt;E886),1,(IF((F886=E886),(IF(RAND()&lt;G886,1,0)),0)))),(IF((RAND()&lt;G886),1,0)))</f>
        <v>#N/A</v>
      </c>
      <c r="I886" s="46" t="e">
        <f aca="true">IF((H886=1),0,$D$3+$D$5*(RAND()-0.5))</f>
        <v>#N/A</v>
      </c>
      <c r="J886" s="46" t="e">
        <f aca="false">I886+MAX(D886,J885)</f>
        <v>#N/A</v>
      </c>
      <c r="K886" s="46" t="e">
        <f aca="false">IF((H886=0),J886-D886,0)</f>
        <v>#N/A</v>
      </c>
      <c r="L886" s="46" t="e">
        <f aca="true">IF(($H886=0),0,$D$4+$D$5*(RAND()-0.5))</f>
        <v>#N/A</v>
      </c>
      <c r="M886" s="46" t="e">
        <f aca="false">L886+MAX(D886,M885)</f>
        <v>#N/A</v>
      </c>
      <c r="N886" s="46" t="e">
        <f aca="false">IF((H886=1),M886-D886,0)</f>
        <v>#N/A</v>
      </c>
      <c r="O886" s="29" t="n">
        <v>869</v>
      </c>
      <c r="P886" s="49" t="e">
        <f aca="false">IF((Arterial=0),P885+1,P885)</f>
        <v>#N/A</v>
      </c>
      <c r="Q886" s="49" t="e">
        <f aca="false">IF((Arterial=1),Q885+1,Q885)</f>
        <v>#N/A</v>
      </c>
      <c r="R886" s="50" t="n">
        <f aca="false">IF((RESET=1),0,R886+K886)</f>
        <v>0</v>
      </c>
      <c r="S886" s="19" t="n">
        <f aca="false">IF(RESET=1,0,S886+N886)</f>
        <v>0</v>
      </c>
      <c r="T886" s="0" t="n">
        <f aca="false">IF(RESET=1,0,T886+IF(H886=0,1,0))</f>
        <v>0</v>
      </c>
      <c r="U886" s="0" t="n">
        <f aca="false">IF(RESET=1,0,U886+H886)</f>
        <v>0</v>
      </c>
      <c r="V886" s="19" t="n">
        <f aca="false">R886/(T886+0.00001)</f>
        <v>0</v>
      </c>
      <c r="W886" s="19" t="n">
        <f aca="false">S886/(U886+0.0001)</f>
        <v>0</v>
      </c>
      <c r="X886" s="47" t="e">
        <f aca="false">IF(Informed=1,K886,0)</f>
        <v>#N/A</v>
      </c>
      <c r="Y886" s="47" t="n">
        <f aca="false">IF(Informed=0,K886,0)</f>
        <v>0</v>
      </c>
      <c r="Z886" s="47" t="e">
        <f aca="false">IF(Informed=1,N886,0)</f>
        <v>#N/A</v>
      </c>
      <c r="AA886" s="47" t="n">
        <f aca="false">IF(Informed=0,N886,0)</f>
        <v>0</v>
      </c>
      <c r="AB886" s="51" t="e">
        <f aca="false">IF(Arterial=0,IF(Informed=1,1,0),0)</f>
        <v>#N/A</v>
      </c>
      <c r="AC886" s="51" t="e">
        <f aca="false">IF(Arterial=0,IF(Informed=0,1,0),0)</f>
        <v>#N/A</v>
      </c>
      <c r="AD886" s="51" t="e">
        <f aca="false">IF(Arterial=1,IF(Informed=1,1,0),0)</f>
        <v>#N/A</v>
      </c>
      <c r="AE886" s="51" t="e">
        <f aca="false">IF(Arterial=1,IF(Informed=0,1,0),0)</f>
        <v>#N/A</v>
      </c>
      <c r="AF886" s="44" t="e">
        <f aca="false">IF(AB886=1,(X886-G$1030)^2,0)</f>
        <v>#N/A</v>
      </c>
      <c r="AG886" s="44" t="e">
        <f aca="false">IF(AC886=1,(Y886-H$1030)^2,0)</f>
        <v>#N/A</v>
      </c>
      <c r="AH886" s="44" t="e">
        <f aca="false">IF(AD886=1,(Z886-I$1030)^2,0)</f>
        <v>#N/A</v>
      </c>
      <c r="AI886" s="44" t="e">
        <f aca="false">IF(AE886=1,(AA886-J$1030)^2,0)</f>
        <v>#N/A</v>
      </c>
    </row>
    <row r="887" customFormat="false" ht="12" hidden="false" customHeight="false" outlineLevel="0" collapsed="false">
      <c r="A887" s="29" t="n">
        <v>870</v>
      </c>
      <c r="B887" s="45" t="n">
        <f aca="true">IF(RAND()&lt;$D$8,1,0)</f>
        <v>1</v>
      </c>
      <c r="C887" s="34" t="n">
        <f aca="true">-LN(RAND())/$D$2</f>
        <v>0.144620288908735</v>
      </c>
      <c r="D887" s="46" t="n">
        <f aca="false">D886+C887</f>
        <v>1324.6772554051</v>
      </c>
      <c r="E887" s="47" t="e">
        <f aca="false">MAX($D$3,(1+P886-VLOOKUP(VALUE(D887),$J$18:$Q886,7,TRUE()))*$D$3)</f>
        <v>#N/A</v>
      </c>
      <c r="F887" s="47" t="e">
        <f aca="false">MAX($D$4,(1+Q886-VLOOKUP(VALUE(D887),$M$18:$Q886,5,TRUE()))*$D$4)</f>
        <v>#N/A</v>
      </c>
      <c r="G887" s="48" t="n">
        <v>0.5</v>
      </c>
      <c r="H887" s="46" t="e">
        <f aca="true">IF((B887=1),(IF((F887&lt;E887),1,(IF((F887=E887),(IF(RAND()&lt;G887,1,0)),0)))),(IF((RAND()&lt;G887),1,0)))</f>
        <v>#N/A</v>
      </c>
      <c r="I887" s="46" t="e">
        <f aca="true">IF((H887=1),0,$D$3+$D$5*(RAND()-0.5))</f>
        <v>#N/A</v>
      </c>
      <c r="J887" s="46" t="e">
        <f aca="false">I887+MAX(D887,J886)</f>
        <v>#N/A</v>
      </c>
      <c r="K887" s="46" t="e">
        <f aca="false">IF((H887=0),J887-D887,0)</f>
        <v>#N/A</v>
      </c>
      <c r="L887" s="46" t="e">
        <f aca="true">IF(($H887=0),0,$D$4+$D$5*(RAND()-0.5))</f>
        <v>#N/A</v>
      </c>
      <c r="M887" s="46" t="e">
        <f aca="false">L887+MAX(D887,M886)</f>
        <v>#N/A</v>
      </c>
      <c r="N887" s="46" t="e">
        <f aca="false">IF((H887=1),M887-D887,0)</f>
        <v>#N/A</v>
      </c>
      <c r="O887" s="29" t="n">
        <v>870</v>
      </c>
      <c r="P887" s="49" t="e">
        <f aca="false">IF((Arterial=0),P886+1,P886)</f>
        <v>#N/A</v>
      </c>
      <c r="Q887" s="49" t="e">
        <f aca="false">IF((Arterial=1),Q886+1,Q886)</f>
        <v>#N/A</v>
      </c>
      <c r="R887" s="50" t="n">
        <f aca="false">IF((RESET=1),0,R887+K887)</f>
        <v>0</v>
      </c>
      <c r="S887" s="19" t="n">
        <f aca="false">IF(RESET=1,0,S887+N887)</f>
        <v>0</v>
      </c>
      <c r="T887" s="0" t="n">
        <f aca="false">IF(RESET=1,0,T887+IF(H887=0,1,0))</f>
        <v>0</v>
      </c>
      <c r="U887" s="0" t="n">
        <f aca="false">IF(RESET=1,0,U887+H887)</f>
        <v>0</v>
      </c>
      <c r="V887" s="19" t="n">
        <f aca="false">R887/(T887+0.00001)</f>
        <v>0</v>
      </c>
      <c r="W887" s="19" t="n">
        <f aca="false">S887/(U887+0.0001)</f>
        <v>0</v>
      </c>
      <c r="X887" s="47" t="e">
        <f aca="false">IF(Informed=1,K887,0)</f>
        <v>#N/A</v>
      </c>
      <c r="Y887" s="47" t="n">
        <f aca="false">IF(Informed=0,K887,0)</f>
        <v>0</v>
      </c>
      <c r="Z887" s="47" t="e">
        <f aca="false">IF(Informed=1,N887,0)</f>
        <v>#N/A</v>
      </c>
      <c r="AA887" s="47" t="n">
        <f aca="false">IF(Informed=0,N887,0)</f>
        <v>0</v>
      </c>
      <c r="AB887" s="51" t="e">
        <f aca="false">IF(Arterial=0,IF(Informed=1,1,0),0)</f>
        <v>#N/A</v>
      </c>
      <c r="AC887" s="51" t="e">
        <f aca="false">IF(Arterial=0,IF(Informed=0,1,0),0)</f>
        <v>#N/A</v>
      </c>
      <c r="AD887" s="51" t="e">
        <f aca="false">IF(Arterial=1,IF(Informed=1,1,0),0)</f>
        <v>#N/A</v>
      </c>
      <c r="AE887" s="51" t="e">
        <f aca="false">IF(Arterial=1,IF(Informed=0,1,0),0)</f>
        <v>#N/A</v>
      </c>
      <c r="AF887" s="44" t="e">
        <f aca="false">IF(AB887=1,(X887-G$1030)^2,0)</f>
        <v>#N/A</v>
      </c>
      <c r="AG887" s="44" t="e">
        <f aca="false">IF(AC887=1,(Y887-H$1030)^2,0)</f>
        <v>#N/A</v>
      </c>
      <c r="AH887" s="44" t="e">
        <f aca="false">IF(AD887=1,(Z887-I$1030)^2,0)</f>
        <v>#N/A</v>
      </c>
      <c r="AI887" s="44" t="e">
        <f aca="false">IF(AE887=1,(AA887-J$1030)^2,0)</f>
        <v>#N/A</v>
      </c>
    </row>
    <row r="888" customFormat="false" ht="12" hidden="false" customHeight="false" outlineLevel="0" collapsed="false">
      <c r="A888" s="29" t="n">
        <v>871</v>
      </c>
      <c r="B888" s="45" t="n">
        <f aca="true">IF(RAND()&lt;$D$8,1,0)</f>
        <v>1</v>
      </c>
      <c r="C888" s="34" t="n">
        <f aca="true">-LN(RAND())/$D$2</f>
        <v>0.894670080833341</v>
      </c>
      <c r="D888" s="46" t="n">
        <f aca="false">D887+C888</f>
        <v>1325.57192548593</v>
      </c>
      <c r="E888" s="47" t="e">
        <f aca="false">MAX($D$3,(1+P887-VLOOKUP(VALUE(D888),$J$18:$Q887,7,TRUE()))*$D$3)</f>
        <v>#N/A</v>
      </c>
      <c r="F888" s="47" t="e">
        <f aca="false">MAX($D$4,(1+Q887-VLOOKUP(VALUE(D888),$M$18:$Q887,5,TRUE()))*$D$4)</f>
        <v>#N/A</v>
      </c>
      <c r="G888" s="48" t="n">
        <v>0.5</v>
      </c>
      <c r="H888" s="46" t="e">
        <f aca="true">IF((B888=1),(IF((F888&lt;E888),1,(IF((F888=E888),(IF(RAND()&lt;G888,1,0)),0)))),(IF((RAND()&lt;G888),1,0)))</f>
        <v>#N/A</v>
      </c>
      <c r="I888" s="46" t="e">
        <f aca="true">IF((H888=1),0,$D$3+$D$5*(RAND()-0.5))</f>
        <v>#N/A</v>
      </c>
      <c r="J888" s="46" t="e">
        <f aca="false">I888+MAX(D888,J887)</f>
        <v>#N/A</v>
      </c>
      <c r="K888" s="46" t="e">
        <f aca="false">IF((H888=0),J888-D888,0)</f>
        <v>#N/A</v>
      </c>
      <c r="L888" s="46" t="e">
        <f aca="true">IF(($H888=0),0,$D$4+$D$5*(RAND()-0.5))</f>
        <v>#N/A</v>
      </c>
      <c r="M888" s="46" t="e">
        <f aca="false">L888+MAX(D888,M887)</f>
        <v>#N/A</v>
      </c>
      <c r="N888" s="46" t="e">
        <f aca="false">IF((H888=1),M888-D888,0)</f>
        <v>#N/A</v>
      </c>
      <c r="O888" s="29" t="n">
        <v>871</v>
      </c>
      <c r="P888" s="49" t="e">
        <f aca="false">IF((Arterial=0),P887+1,P887)</f>
        <v>#N/A</v>
      </c>
      <c r="Q888" s="49" t="e">
        <f aca="false">IF((Arterial=1),Q887+1,Q887)</f>
        <v>#N/A</v>
      </c>
      <c r="R888" s="50" t="n">
        <f aca="false">IF((RESET=1),0,R888+K888)</f>
        <v>0</v>
      </c>
      <c r="S888" s="19" t="n">
        <f aca="false">IF(RESET=1,0,S888+N888)</f>
        <v>0</v>
      </c>
      <c r="T888" s="0" t="n">
        <f aca="false">IF(RESET=1,0,T888+IF(H888=0,1,0))</f>
        <v>0</v>
      </c>
      <c r="U888" s="0" t="n">
        <f aca="false">IF(RESET=1,0,U888+H888)</f>
        <v>0</v>
      </c>
      <c r="V888" s="19" t="n">
        <f aca="false">R888/(T888+0.00001)</f>
        <v>0</v>
      </c>
      <c r="W888" s="19" t="n">
        <f aca="false">S888/(U888+0.0001)</f>
        <v>0</v>
      </c>
      <c r="X888" s="47" t="e">
        <f aca="false">IF(Informed=1,K888,0)</f>
        <v>#N/A</v>
      </c>
      <c r="Y888" s="47" t="n">
        <f aca="false">IF(Informed=0,K888,0)</f>
        <v>0</v>
      </c>
      <c r="Z888" s="47" t="e">
        <f aca="false">IF(Informed=1,N888,0)</f>
        <v>#N/A</v>
      </c>
      <c r="AA888" s="47" t="n">
        <f aca="false">IF(Informed=0,N888,0)</f>
        <v>0</v>
      </c>
      <c r="AB888" s="51" t="e">
        <f aca="false">IF(Arterial=0,IF(Informed=1,1,0),0)</f>
        <v>#N/A</v>
      </c>
      <c r="AC888" s="51" t="e">
        <f aca="false">IF(Arterial=0,IF(Informed=0,1,0),0)</f>
        <v>#N/A</v>
      </c>
      <c r="AD888" s="51" t="e">
        <f aca="false">IF(Arterial=1,IF(Informed=1,1,0),0)</f>
        <v>#N/A</v>
      </c>
      <c r="AE888" s="51" t="e">
        <f aca="false">IF(Arterial=1,IF(Informed=0,1,0),0)</f>
        <v>#N/A</v>
      </c>
      <c r="AF888" s="44" t="e">
        <f aca="false">IF(AB888=1,(X888-G$1030)^2,0)</f>
        <v>#N/A</v>
      </c>
      <c r="AG888" s="44" t="e">
        <f aca="false">IF(AC888=1,(Y888-H$1030)^2,0)</f>
        <v>#N/A</v>
      </c>
      <c r="AH888" s="44" t="e">
        <f aca="false">IF(AD888=1,(Z888-I$1030)^2,0)</f>
        <v>#N/A</v>
      </c>
      <c r="AI888" s="44" t="e">
        <f aca="false">IF(AE888=1,(AA888-J$1030)^2,0)</f>
        <v>#N/A</v>
      </c>
    </row>
    <row r="889" customFormat="false" ht="12" hidden="false" customHeight="false" outlineLevel="0" collapsed="false">
      <c r="A889" s="29" t="n">
        <v>872</v>
      </c>
      <c r="B889" s="45" t="n">
        <f aca="true">IF(RAND()&lt;$D$8,1,0)</f>
        <v>1</v>
      </c>
      <c r="C889" s="34" t="n">
        <f aca="true">-LN(RAND())/$D$2</f>
        <v>1.02928041633609</v>
      </c>
      <c r="D889" s="46" t="n">
        <f aca="false">D888+C889</f>
        <v>1326.60120590227</v>
      </c>
      <c r="E889" s="47" t="e">
        <f aca="false">MAX($D$3,(1+P888-VLOOKUP(VALUE(D889),$J$18:$Q888,7,TRUE()))*$D$3)</f>
        <v>#N/A</v>
      </c>
      <c r="F889" s="47" t="e">
        <f aca="false">MAX($D$4,(1+Q888-VLOOKUP(VALUE(D889),$M$18:$Q888,5,TRUE()))*$D$4)</f>
        <v>#N/A</v>
      </c>
      <c r="G889" s="48" t="n">
        <v>0.5</v>
      </c>
      <c r="H889" s="46" t="e">
        <f aca="true">IF((B889=1),(IF((F889&lt;E889),1,(IF((F889=E889),(IF(RAND()&lt;G889,1,0)),0)))),(IF((RAND()&lt;G889),1,0)))</f>
        <v>#N/A</v>
      </c>
      <c r="I889" s="46" t="e">
        <f aca="true">IF((H889=1),0,$D$3+$D$5*(RAND()-0.5))</f>
        <v>#N/A</v>
      </c>
      <c r="J889" s="46" t="e">
        <f aca="false">I889+MAX(D889,J888)</f>
        <v>#N/A</v>
      </c>
      <c r="K889" s="46" t="e">
        <f aca="false">IF((H889=0),J889-D889,0)</f>
        <v>#N/A</v>
      </c>
      <c r="L889" s="46" t="e">
        <f aca="true">IF(($H889=0),0,$D$4+$D$5*(RAND()-0.5))</f>
        <v>#N/A</v>
      </c>
      <c r="M889" s="46" t="e">
        <f aca="false">L889+MAX(D889,M888)</f>
        <v>#N/A</v>
      </c>
      <c r="N889" s="46" t="e">
        <f aca="false">IF((H889=1),M889-D889,0)</f>
        <v>#N/A</v>
      </c>
      <c r="O889" s="29" t="n">
        <v>872</v>
      </c>
      <c r="P889" s="49" t="e">
        <f aca="false">IF((Arterial=0),P888+1,P888)</f>
        <v>#N/A</v>
      </c>
      <c r="Q889" s="49" t="e">
        <f aca="false">IF((Arterial=1),Q888+1,Q888)</f>
        <v>#N/A</v>
      </c>
      <c r="R889" s="50" t="n">
        <f aca="false">IF((RESET=1),0,R889+K889)</f>
        <v>0</v>
      </c>
      <c r="S889" s="19" t="n">
        <f aca="false">IF(RESET=1,0,S889+N889)</f>
        <v>0</v>
      </c>
      <c r="T889" s="0" t="n">
        <f aca="false">IF(RESET=1,0,T889+IF(H889=0,1,0))</f>
        <v>0</v>
      </c>
      <c r="U889" s="0" t="n">
        <f aca="false">IF(RESET=1,0,U889+H889)</f>
        <v>0</v>
      </c>
      <c r="V889" s="19" t="n">
        <f aca="false">R889/(T889+0.00001)</f>
        <v>0</v>
      </c>
      <c r="W889" s="19" t="n">
        <f aca="false">S889/(U889+0.0001)</f>
        <v>0</v>
      </c>
      <c r="X889" s="47" t="e">
        <f aca="false">IF(Informed=1,K889,0)</f>
        <v>#N/A</v>
      </c>
      <c r="Y889" s="47" t="n">
        <f aca="false">IF(Informed=0,K889,0)</f>
        <v>0</v>
      </c>
      <c r="Z889" s="47" t="e">
        <f aca="false">IF(Informed=1,N889,0)</f>
        <v>#N/A</v>
      </c>
      <c r="AA889" s="47" t="n">
        <f aca="false">IF(Informed=0,N889,0)</f>
        <v>0</v>
      </c>
      <c r="AB889" s="51" t="e">
        <f aca="false">IF(Arterial=0,IF(Informed=1,1,0),0)</f>
        <v>#N/A</v>
      </c>
      <c r="AC889" s="51" t="e">
        <f aca="false">IF(Arterial=0,IF(Informed=0,1,0),0)</f>
        <v>#N/A</v>
      </c>
      <c r="AD889" s="51" t="e">
        <f aca="false">IF(Arterial=1,IF(Informed=1,1,0),0)</f>
        <v>#N/A</v>
      </c>
      <c r="AE889" s="51" t="e">
        <f aca="false">IF(Arterial=1,IF(Informed=0,1,0),0)</f>
        <v>#N/A</v>
      </c>
      <c r="AF889" s="44" t="e">
        <f aca="false">IF(AB889=1,(X889-G$1030)^2,0)</f>
        <v>#N/A</v>
      </c>
      <c r="AG889" s="44" t="e">
        <f aca="false">IF(AC889=1,(Y889-H$1030)^2,0)</f>
        <v>#N/A</v>
      </c>
      <c r="AH889" s="44" t="e">
        <f aca="false">IF(AD889=1,(Z889-I$1030)^2,0)</f>
        <v>#N/A</v>
      </c>
      <c r="AI889" s="44" t="e">
        <f aca="false">IF(AE889=1,(AA889-J$1030)^2,0)</f>
        <v>#N/A</v>
      </c>
    </row>
    <row r="890" customFormat="false" ht="12" hidden="false" customHeight="false" outlineLevel="0" collapsed="false">
      <c r="A890" s="29" t="n">
        <v>873</v>
      </c>
      <c r="B890" s="45" t="n">
        <f aca="true">IF(RAND()&lt;$D$8,1,0)</f>
        <v>1</v>
      </c>
      <c r="C890" s="34" t="n">
        <f aca="true">-LN(RAND())/$D$2</f>
        <v>0.674098702716284</v>
      </c>
      <c r="D890" s="46" t="n">
        <f aca="false">D889+C890</f>
        <v>1327.27530460498</v>
      </c>
      <c r="E890" s="47" t="e">
        <f aca="false">MAX($D$3,(1+P889-VLOOKUP(VALUE(D890),$J$18:$Q889,7,TRUE()))*$D$3)</f>
        <v>#N/A</v>
      </c>
      <c r="F890" s="47" t="e">
        <f aca="false">MAX($D$4,(1+Q889-VLOOKUP(VALUE(D890),$M$18:$Q889,5,TRUE()))*$D$4)</f>
        <v>#N/A</v>
      </c>
      <c r="G890" s="48" t="n">
        <v>0.5</v>
      </c>
      <c r="H890" s="46" t="e">
        <f aca="true">IF((B890=1),(IF((F890&lt;E890),1,(IF((F890=E890),(IF(RAND()&lt;G890,1,0)),0)))),(IF((RAND()&lt;G890),1,0)))</f>
        <v>#N/A</v>
      </c>
      <c r="I890" s="46" t="e">
        <f aca="true">IF((H890=1),0,$D$3+$D$5*(RAND()-0.5))</f>
        <v>#N/A</v>
      </c>
      <c r="J890" s="46" t="e">
        <f aca="false">I890+MAX(D890,J889)</f>
        <v>#N/A</v>
      </c>
      <c r="K890" s="46" t="e">
        <f aca="false">IF((H890=0),J890-D890,0)</f>
        <v>#N/A</v>
      </c>
      <c r="L890" s="46" t="e">
        <f aca="true">IF(($H890=0),0,$D$4+$D$5*(RAND()-0.5))</f>
        <v>#N/A</v>
      </c>
      <c r="M890" s="46" t="e">
        <f aca="false">L890+MAX(D890,M889)</f>
        <v>#N/A</v>
      </c>
      <c r="N890" s="46" t="e">
        <f aca="false">IF((H890=1),M890-D890,0)</f>
        <v>#N/A</v>
      </c>
      <c r="O890" s="29" t="n">
        <v>873</v>
      </c>
      <c r="P890" s="49" t="e">
        <f aca="false">IF((Arterial=0),P889+1,P889)</f>
        <v>#N/A</v>
      </c>
      <c r="Q890" s="49" t="e">
        <f aca="false">IF((Arterial=1),Q889+1,Q889)</f>
        <v>#N/A</v>
      </c>
      <c r="R890" s="50" t="n">
        <f aca="false">IF((RESET=1),0,R890+K890)</f>
        <v>0</v>
      </c>
      <c r="S890" s="19" t="n">
        <f aca="false">IF(RESET=1,0,S890+N890)</f>
        <v>0</v>
      </c>
      <c r="T890" s="0" t="n">
        <f aca="false">IF(RESET=1,0,T890+IF(H890=0,1,0))</f>
        <v>0</v>
      </c>
      <c r="U890" s="0" t="n">
        <f aca="false">IF(RESET=1,0,U890+H890)</f>
        <v>0</v>
      </c>
      <c r="V890" s="19" t="n">
        <f aca="false">R890/(T890+0.00001)</f>
        <v>0</v>
      </c>
      <c r="W890" s="19" t="n">
        <f aca="false">S890/(U890+0.0001)</f>
        <v>0</v>
      </c>
      <c r="X890" s="47" t="e">
        <f aca="false">IF(Informed=1,K890,0)</f>
        <v>#N/A</v>
      </c>
      <c r="Y890" s="47" t="n">
        <f aca="false">IF(Informed=0,K890,0)</f>
        <v>0</v>
      </c>
      <c r="Z890" s="47" t="e">
        <f aca="false">IF(Informed=1,N890,0)</f>
        <v>#N/A</v>
      </c>
      <c r="AA890" s="47" t="n">
        <f aca="false">IF(Informed=0,N890,0)</f>
        <v>0</v>
      </c>
      <c r="AB890" s="51" t="e">
        <f aca="false">IF(Arterial=0,IF(Informed=1,1,0),0)</f>
        <v>#N/A</v>
      </c>
      <c r="AC890" s="51" t="e">
        <f aca="false">IF(Arterial=0,IF(Informed=0,1,0),0)</f>
        <v>#N/A</v>
      </c>
      <c r="AD890" s="51" t="e">
        <f aca="false">IF(Arterial=1,IF(Informed=1,1,0),0)</f>
        <v>#N/A</v>
      </c>
      <c r="AE890" s="51" t="e">
        <f aca="false">IF(Arterial=1,IF(Informed=0,1,0),0)</f>
        <v>#N/A</v>
      </c>
      <c r="AF890" s="44" t="e">
        <f aca="false">IF(AB890=1,(X890-G$1030)^2,0)</f>
        <v>#N/A</v>
      </c>
      <c r="AG890" s="44" t="e">
        <f aca="false">IF(AC890=1,(Y890-H$1030)^2,0)</f>
        <v>#N/A</v>
      </c>
      <c r="AH890" s="44" t="e">
        <f aca="false">IF(AD890=1,(Z890-I$1030)^2,0)</f>
        <v>#N/A</v>
      </c>
      <c r="AI890" s="44" t="e">
        <f aca="false">IF(AE890=1,(AA890-J$1030)^2,0)</f>
        <v>#N/A</v>
      </c>
    </row>
    <row r="891" customFormat="false" ht="12" hidden="false" customHeight="false" outlineLevel="0" collapsed="false">
      <c r="A891" s="29" t="n">
        <v>874</v>
      </c>
      <c r="B891" s="45" t="n">
        <f aca="true">IF(RAND()&lt;$D$8,1,0)</f>
        <v>1</v>
      </c>
      <c r="C891" s="34" t="n">
        <f aca="true">-LN(RAND())/$D$2</f>
        <v>1.10076783283703</v>
      </c>
      <c r="D891" s="46" t="n">
        <f aca="false">D890+C891</f>
        <v>1328.37607243782</v>
      </c>
      <c r="E891" s="47" t="e">
        <f aca="false">MAX($D$3,(1+P890-VLOOKUP(VALUE(D891),$J$18:$Q890,7,TRUE()))*$D$3)</f>
        <v>#N/A</v>
      </c>
      <c r="F891" s="47" t="e">
        <f aca="false">MAX($D$4,(1+Q890-VLOOKUP(VALUE(D891),$M$18:$Q890,5,TRUE()))*$D$4)</f>
        <v>#N/A</v>
      </c>
      <c r="G891" s="48" t="n">
        <v>0.5</v>
      </c>
      <c r="H891" s="46" t="e">
        <f aca="true">IF((B891=1),(IF((F891&lt;E891),1,(IF((F891=E891),(IF(RAND()&lt;G891,1,0)),0)))),(IF((RAND()&lt;G891),1,0)))</f>
        <v>#N/A</v>
      </c>
      <c r="I891" s="46" t="e">
        <f aca="true">IF((H891=1),0,$D$3+$D$5*(RAND()-0.5))</f>
        <v>#N/A</v>
      </c>
      <c r="J891" s="46" t="e">
        <f aca="false">I891+MAX(D891,J890)</f>
        <v>#N/A</v>
      </c>
      <c r="K891" s="46" t="e">
        <f aca="false">IF((H891=0),J891-D891,0)</f>
        <v>#N/A</v>
      </c>
      <c r="L891" s="46" t="e">
        <f aca="true">IF(($H891=0),0,$D$4+$D$5*(RAND()-0.5))</f>
        <v>#N/A</v>
      </c>
      <c r="M891" s="46" t="e">
        <f aca="false">L891+MAX(D891,M890)</f>
        <v>#N/A</v>
      </c>
      <c r="N891" s="46" t="e">
        <f aca="false">IF((H891=1),M891-D891,0)</f>
        <v>#N/A</v>
      </c>
      <c r="O891" s="29" t="n">
        <v>874</v>
      </c>
      <c r="P891" s="49" t="e">
        <f aca="false">IF((Arterial=0),P890+1,P890)</f>
        <v>#N/A</v>
      </c>
      <c r="Q891" s="49" t="e">
        <f aca="false">IF((Arterial=1),Q890+1,Q890)</f>
        <v>#N/A</v>
      </c>
      <c r="R891" s="50" t="n">
        <f aca="false">IF((RESET=1),0,R891+K891)</f>
        <v>0</v>
      </c>
      <c r="S891" s="19" t="n">
        <f aca="false">IF(RESET=1,0,S891+N891)</f>
        <v>0</v>
      </c>
      <c r="T891" s="0" t="n">
        <f aca="false">IF(RESET=1,0,T891+IF(H891=0,1,0))</f>
        <v>0</v>
      </c>
      <c r="U891" s="0" t="n">
        <f aca="false">IF(RESET=1,0,U891+H891)</f>
        <v>0</v>
      </c>
      <c r="V891" s="19" t="n">
        <f aca="false">R891/(T891+0.00001)</f>
        <v>0</v>
      </c>
      <c r="W891" s="19" t="n">
        <f aca="false">S891/(U891+0.0001)</f>
        <v>0</v>
      </c>
      <c r="X891" s="47" t="e">
        <f aca="false">IF(Informed=1,K891,0)</f>
        <v>#N/A</v>
      </c>
      <c r="Y891" s="47" t="n">
        <f aca="false">IF(Informed=0,K891,0)</f>
        <v>0</v>
      </c>
      <c r="Z891" s="47" t="e">
        <f aca="false">IF(Informed=1,N891,0)</f>
        <v>#N/A</v>
      </c>
      <c r="AA891" s="47" t="n">
        <f aca="false">IF(Informed=0,N891,0)</f>
        <v>0</v>
      </c>
      <c r="AB891" s="51" t="e">
        <f aca="false">IF(Arterial=0,IF(Informed=1,1,0),0)</f>
        <v>#N/A</v>
      </c>
      <c r="AC891" s="51" t="e">
        <f aca="false">IF(Arterial=0,IF(Informed=0,1,0),0)</f>
        <v>#N/A</v>
      </c>
      <c r="AD891" s="51" t="e">
        <f aca="false">IF(Arterial=1,IF(Informed=1,1,0),0)</f>
        <v>#N/A</v>
      </c>
      <c r="AE891" s="51" t="e">
        <f aca="false">IF(Arterial=1,IF(Informed=0,1,0),0)</f>
        <v>#N/A</v>
      </c>
      <c r="AF891" s="44" t="e">
        <f aca="false">IF(AB891=1,(X891-G$1030)^2,0)</f>
        <v>#N/A</v>
      </c>
      <c r="AG891" s="44" t="e">
        <f aca="false">IF(AC891=1,(Y891-H$1030)^2,0)</f>
        <v>#N/A</v>
      </c>
      <c r="AH891" s="44" t="e">
        <f aca="false">IF(AD891=1,(Z891-I$1030)^2,0)</f>
        <v>#N/A</v>
      </c>
      <c r="AI891" s="44" t="e">
        <f aca="false">IF(AE891=1,(AA891-J$1030)^2,0)</f>
        <v>#N/A</v>
      </c>
    </row>
    <row r="892" customFormat="false" ht="12" hidden="false" customHeight="false" outlineLevel="0" collapsed="false">
      <c r="A892" s="29" t="n">
        <v>875</v>
      </c>
      <c r="B892" s="45" t="n">
        <f aca="true">IF(RAND()&lt;$D$8,1,0)</f>
        <v>1</v>
      </c>
      <c r="C892" s="34" t="n">
        <f aca="true">-LN(RAND())/$D$2</f>
        <v>0.941847076933829</v>
      </c>
      <c r="D892" s="46" t="n">
        <f aca="false">D891+C892</f>
        <v>1329.31791951476</v>
      </c>
      <c r="E892" s="47" t="e">
        <f aca="false">MAX($D$3,(1+P891-VLOOKUP(VALUE(D892),$J$18:$Q891,7,TRUE()))*$D$3)</f>
        <v>#N/A</v>
      </c>
      <c r="F892" s="47" t="e">
        <f aca="false">MAX($D$4,(1+Q891-VLOOKUP(VALUE(D892),$M$18:$Q891,5,TRUE()))*$D$4)</f>
        <v>#N/A</v>
      </c>
      <c r="G892" s="48" t="n">
        <v>0.5</v>
      </c>
      <c r="H892" s="46" t="e">
        <f aca="true">IF((B892=1),(IF((F892&lt;E892),1,(IF((F892=E892),(IF(RAND()&lt;G892,1,0)),0)))),(IF((RAND()&lt;G892),1,0)))</f>
        <v>#N/A</v>
      </c>
      <c r="I892" s="46" t="e">
        <f aca="true">IF((H892=1),0,$D$3+$D$5*(RAND()-0.5))</f>
        <v>#N/A</v>
      </c>
      <c r="J892" s="46" t="e">
        <f aca="false">I892+MAX(D892,J891)</f>
        <v>#N/A</v>
      </c>
      <c r="K892" s="46" t="e">
        <f aca="false">IF((H892=0),J892-D892,0)</f>
        <v>#N/A</v>
      </c>
      <c r="L892" s="46" t="e">
        <f aca="true">IF(($H892=0),0,$D$4+$D$5*(RAND()-0.5))</f>
        <v>#N/A</v>
      </c>
      <c r="M892" s="46" t="e">
        <f aca="false">L892+MAX(D892,M891)</f>
        <v>#N/A</v>
      </c>
      <c r="N892" s="46" t="e">
        <f aca="false">IF((H892=1),M892-D892,0)</f>
        <v>#N/A</v>
      </c>
      <c r="O892" s="29" t="n">
        <v>875</v>
      </c>
      <c r="P892" s="49" t="e">
        <f aca="false">IF((Arterial=0),P891+1,P891)</f>
        <v>#N/A</v>
      </c>
      <c r="Q892" s="49" t="e">
        <f aca="false">IF((Arterial=1),Q891+1,Q891)</f>
        <v>#N/A</v>
      </c>
      <c r="R892" s="50" t="n">
        <f aca="false">IF((RESET=1),0,R892+K892)</f>
        <v>0</v>
      </c>
      <c r="S892" s="19" t="n">
        <f aca="false">IF(RESET=1,0,S892+N892)</f>
        <v>0</v>
      </c>
      <c r="T892" s="0" t="n">
        <f aca="false">IF(RESET=1,0,T892+IF(H892=0,1,0))</f>
        <v>0</v>
      </c>
      <c r="U892" s="0" t="n">
        <f aca="false">IF(RESET=1,0,U892+H892)</f>
        <v>0</v>
      </c>
      <c r="V892" s="19" t="n">
        <f aca="false">R892/(T892+0.00001)</f>
        <v>0</v>
      </c>
      <c r="W892" s="19" t="n">
        <f aca="false">S892/(U892+0.0001)</f>
        <v>0</v>
      </c>
      <c r="X892" s="47" t="e">
        <f aca="false">IF(Informed=1,K892,0)</f>
        <v>#N/A</v>
      </c>
      <c r="Y892" s="47" t="n">
        <f aca="false">IF(Informed=0,K892,0)</f>
        <v>0</v>
      </c>
      <c r="Z892" s="47" t="e">
        <f aca="false">IF(Informed=1,N892,0)</f>
        <v>#N/A</v>
      </c>
      <c r="AA892" s="47" t="n">
        <f aca="false">IF(Informed=0,N892,0)</f>
        <v>0</v>
      </c>
      <c r="AB892" s="51" t="e">
        <f aca="false">IF(Arterial=0,IF(Informed=1,1,0),0)</f>
        <v>#N/A</v>
      </c>
      <c r="AC892" s="51" t="e">
        <f aca="false">IF(Arterial=0,IF(Informed=0,1,0),0)</f>
        <v>#N/A</v>
      </c>
      <c r="AD892" s="51" t="e">
        <f aca="false">IF(Arterial=1,IF(Informed=1,1,0),0)</f>
        <v>#N/A</v>
      </c>
      <c r="AE892" s="51" t="e">
        <f aca="false">IF(Arterial=1,IF(Informed=0,1,0),0)</f>
        <v>#N/A</v>
      </c>
      <c r="AF892" s="44" t="e">
        <f aca="false">IF(AB892=1,(X892-G$1030)^2,0)</f>
        <v>#N/A</v>
      </c>
      <c r="AG892" s="44" t="e">
        <f aca="false">IF(AC892=1,(Y892-H$1030)^2,0)</f>
        <v>#N/A</v>
      </c>
      <c r="AH892" s="44" t="e">
        <f aca="false">IF(AD892=1,(Z892-I$1030)^2,0)</f>
        <v>#N/A</v>
      </c>
      <c r="AI892" s="44" t="e">
        <f aca="false">IF(AE892=1,(AA892-J$1030)^2,0)</f>
        <v>#N/A</v>
      </c>
    </row>
    <row r="893" customFormat="false" ht="12" hidden="false" customHeight="false" outlineLevel="0" collapsed="false">
      <c r="A893" s="29" t="n">
        <v>876</v>
      </c>
      <c r="B893" s="45" t="n">
        <f aca="true">IF(RAND()&lt;$D$8,1,0)</f>
        <v>1</v>
      </c>
      <c r="C893" s="34" t="n">
        <f aca="true">-LN(RAND())/$D$2</f>
        <v>3.9526074143575</v>
      </c>
      <c r="D893" s="46" t="n">
        <f aca="false">D892+C893</f>
        <v>1333.27052692911</v>
      </c>
      <c r="E893" s="47" t="e">
        <f aca="false">MAX($D$3,(1+P892-VLOOKUP(VALUE(D893),$J$18:$Q892,7,TRUE()))*$D$3)</f>
        <v>#N/A</v>
      </c>
      <c r="F893" s="47" t="e">
        <f aca="false">MAX($D$4,(1+Q892-VLOOKUP(VALUE(D893),$M$18:$Q892,5,TRUE()))*$D$4)</f>
        <v>#N/A</v>
      </c>
      <c r="G893" s="48" t="n">
        <v>0.5</v>
      </c>
      <c r="H893" s="46" t="e">
        <f aca="true">IF((B893=1),(IF((F893&lt;E893),1,(IF((F893=E893),(IF(RAND()&lt;G893,1,0)),0)))),(IF((RAND()&lt;G893),1,0)))</f>
        <v>#N/A</v>
      </c>
      <c r="I893" s="46" t="e">
        <f aca="true">IF((H893=1),0,$D$3+$D$5*(RAND()-0.5))</f>
        <v>#N/A</v>
      </c>
      <c r="J893" s="46" t="e">
        <f aca="false">I893+MAX(D893,J892)</f>
        <v>#N/A</v>
      </c>
      <c r="K893" s="46" t="e">
        <f aca="false">IF((H893=0),J893-D893,0)</f>
        <v>#N/A</v>
      </c>
      <c r="L893" s="46" t="e">
        <f aca="true">IF(($H893=0),0,$D$4+$D$5*(RAND()-0.5))</f>
        <v>#N/A</v>
      </c>
      <c r="M893" s="46" t="e">
        <f aca="false">L893+MAX(D893,M892)</f>
        <v>#N/A</v>
      </c>
      <c r="N893" s="46" t="e">
        <f aca="false">IF((H893=1),M893-D893,0)</f>
        <v>#N/A</v>
      </c>
      <c r="O893" s="29" t="n">
        <v>876</v>
      </c>
      <c r="P893" s="49" t="e">
        <f aca="false">IF((Arterial=0),P892+1,P892)</f>
        <v>#N/A</v>
      </c>
      <c r="Q893" s="49" t="e">
        <f aca="false">IF((Arterial=1),Q892+1,Q892)</f>
        <v>#N/A</v>
      </c>
      <c r="R893" s="50" t="n">
        <f aca="false">IF((RESET=1),0,R893+K893)</f>
        <v>0</v>
      </c>
      <c r="S893" s="19" t="n">
        <f aca="false">IF(RESET=1,0,S893+N893)</f>
        <v>0</v>
      </c>
      <c r="T893" s="0" t="n">
        <f aca="false">IF(RESET=1,0,T893+IF(H893=0,1,0))</f>
        <v>0</v>
      </c>
      <c r="U893" s="0" t="n">
        <f aca="false">IF(RESET=1,0,U893+H893)</f>
        <v>0</v>
      </c>
      <c r="V893" s="19" t="n">
        <f aca="false">R893/(T893+0.00001)</f>
        <v>0</v>
      </c>
      <c r="W893" s="19" t="n">
        <f aca="false">S893/(U893+0.0001)</f>
        <v>0</v>
      </c>
      <c r="X893" s="47" t="e">
        <f aca="false">IF(Informed=1,K893,0)</f>
        <v>#N/A</v>
      </c>
      <c r="Y893" s="47" t="n">
        <f aca="false">IF(Informed=0,K893,0)</f>
        <v>0</v>
      </c>
      <c r="Z893" s="47" t="e">
        <f aca="false">IF(Informed=1,N893,0)</f>
        <v>#N/A</v>
      </c>
      <c r="AA893" s="47" t="n">
        <f aca="false">IF(Informed=0,N893,0)</f>
        <v>0</v>
      </c>
      <c r="AB893" s="51" t="e">
        <f aca="false">IF(Arterial=0,IF(Informed=1,1,0),0)</f>
        <v>#N/A</v>
      </c>
      <c r="AC893" s="51" t="e">
        <f aca="false">IF(Arterial=0,IF(Informed=0,1,0),0)</f>
        <v>#N/A</v>
      </c>
      <c r="AD893" s="51" t="e">
        <f aca="false">IF(Arterial=1,IF(Informed=1,1,0),0)</f>
        <v>#N/A</v>
      </c>
      <c r="AE893" s="51" t="e">
        <f aca="false">IF(Arterial=1,IF(Informed=0,1,0),0)</f>
        <v>#N/A</v>
      </c>
      <c r="AF893" s="44" t="e">
        <f aca="false">IF(AB893=1,(X893-G$1030)^2,0)</f>
        <v>#N/A</v>
      </c>
      <c r="AG893" s="44" t="e">
        <f aca="false">IF(AC893=1,(Y893-H$1030)^2,0)</f>
        <v>#N/A</v>
      </c>
      <c r="AH893" s="44" t="e">
        <f aca="false">IF(AD893=1,(Z893-I$1030)^2,0)</f>
        <v>#N/A</v>
      </c>
      <c r="AI893" s="44" t="e">
        <f aca="false">IF(AE893=1,(AA893-J$1030)^2,0)</f>
        <v>#N/A</v>
      </c>
    </row>
    <row r="894" customFormat="false" ht="12" hidden="false" customHeight="false" outlineLevel="0" collapsed="false">
      <c r="A894" s="29" t="n">
        <v>877</v>
      </c>
      <c r="B894" s="45" t="n">
        <f aca="true">IF(RAND()&lt;$D$8,1,0)</f>
        <v>1</v>
      </c>
      <c r="C894" s="34" t="n">
        <f aca="true">-LN(RAND())/$D$2</f>
        <v>1.84705347204758</v>
      </c>
      <c r="D894" s="46" t="n">
        <f aca="false">D893+C894</f>
        <v>1335.11758040116</v>
      </c>
      <c r="E894" s="47" t="e">
        <f aca="false">MAX($D$3,(1+P893-VLOOKUP(VALUE(D894),$J$18:$Q893,7,TRUE()))*$D$3)</f>
        <v>#N/A</v>
      </c>
      <c r="F894" s="47" t="e">
        <f aca="false">MAX($D$4,(1+Q893-VLOOKUP(VALUE(D894),$M$18:$Q893,5,TRUE()))*$D$4)</f>
        <v>#N/A</v>
      </c>
      <c r="G894" s="48" t="n">
        <v>0.5</v>
      </c>
      <c r="H894" s="46" t="e">
        <f aca="true">IF((B894=1),(IF((F894&lt;E894),1,(IF((F894=E894),(IF(RAND()&lt;G894,1,0)),0)))),(IF((RAND()&lt;G894),1,0)))</f>
        <v>#N/A</v>
      </c>
      <c r="I894" s="46" t="e">
        <f aca="true">IF((H894=1),0,$D$3+$D$5*(RAND()-0.5))</f>
        <v>#N/A</v>
      </c>
      <c r="J894" s="46" t="e">
        <f aca="false">I894+MAX(D894,J893)</f>
        <v>#N/A</v>
      </c>
      <c r="K894" s="46" t="e">
        <f aca="false">IF((H894=0),J894-D894,0)</f>
        <v>#N/A</v>
      </c>
      <c r="L894" s="46" t="e">
        <f aca="true">IF(($H894=0),0,$D$4+$D$5*(RAND()-0.5))</f>
        <v>#N/A</v>
      </c>
      <c r="M894" s="46" t="e">
        <f aca="false">L894+MAX(D894,M893)</f>
        <v>#N/A</v>
      </c>
      <c r="N894" s="46" t="e">
        <f aca="false">IF((H894=1),M894-D894,0)</f>
        <v>#N/A</v>
      </c>
      <c r="O894" s="29" t="n">
        <v>877</v>
      </c>
      <c r="P894" s="49" t="e">
        <f aca="false">IF((Arterial=0),P893+1,P893)</f>
        <v>#N/A</v>
      </c>
      <c r="Q894" s="49" t="e">
        <f aca="false">IF((Arterial=1),Q893+1,Q893)</f>
        <v>#N/A</v>
      </c>
      <c r="R894" s="50" t="n">
        <f aca="false">IF((RESET=1),0,R894+K894)</f>
        <v>0</v>
      </c>
      <c r="S894" s="19" t="n">
        <f aca="false">IF(RESET=1,0,S894+N894)</f>
        <v>0</v>
      </c>
      <c r="T894" s="0" t="n">
        <f aca="false">IF(RESET=1,0,T894+IF(H894=0,1,0))</f>
        <v>0</v>
      </c>
      <c r="U894" s="0" t="n">
        <f aca="false">IF(RESET=1,0,U894+H894)</f>
        <v>0</v>
      </c>
      <c r="V894" s="19" t="n">
        <f aca="false">R894/(T894+0.00001)</f>
        <v>0</v>
      </c>
      <c r="W894" s="19" t="n">
        <f aca="false">S894/(U894+0.0001)</f>
        <v>0</v>
      </c>
      <c r="X894" s="47" t="e">
        <f aca="false">IF(Informed=1,K894,0)</f>
        <v>#N/A</v>
      </c>
      <c r="Y894" s="47" t="n">
        <f aca="false">IF(Informed=0,K894,0)</f>
        <v>0</v>
      </c>
      <c r="Z894" s="47" t="e">
        <f aca="false">IF(Informed=1,N894,0)</f>
        <v>#N/A</v>
      </c>
      <c r="AA894" s="47" t="n">
        <f aca="false">IF(Informed=0,N894,0)</f>
        <v>0</v>
      </c>
      <c r="AB894" s="51" t="e">
        <f aca="false">IF(Arterial=0,IF(Informed=1,1,0),0)</f>
        <v>#N/A</v>
      </c>
      <c r="AC894" s="51" t="e">
        <f aca="false">IF(Arterial=0,IF(Informed=0,1,0),0)</f>
        <v>#N/A</v>
      </c>
      <c r="AD894" s="51" t="e">
        <f aca="false">IF(Arterial=1,IF(Informed=1,1,0),0)</f>
        <v>#N/A</v>
      </c>
      <c r="AE894" s="51" t="e">
        <f aca="false">IF(Arterial=1,IF(Informed=0,1,0),0)</f>
        <v>#N/A</v>
      </c>
      <c r="AF894" s="44" t="e">
        <f aca="false">IF(AB894=1,(X894-G$1030)^2,0)</f>
        <v>#N/A</v>
      </c>
      <c r="AG894" s="44" t="e">
        <f aca="false">IF(AC894=1,(Y894-H$1030)^2,0)</f>
        <v>#N/A</v>
      </c>
      <c r="AH894" s="44" t="e">
        <f aca="false">IF(AD894=1,(Z894-I$1030)^2,0)</f>
        <v>#N/A</v>
      </c>
      <c r="AI894" s="44" t="e">
        <f aca="false">IF(AE894=1,(AA894-J$1030)^2,0)</f>
        <v>#N/A</v>
      </c>
    </row>
    <row r="895" customFormat="false" ht="12" hidden="false" customHeight="false" outlineLevel="0" collapsed="false">
      <c r="A895" s="29" t="n">
        <v>878</v>
      </c>
      <c r="B895" s="45" t="n">
        <f aca="true">IF(RAND()&lt;$D$8,1,0)</f>
        <v>1</v>
      </c>
      <c r="C895" s="34" t="n">
        <f aca="true">-LN(RAND())/$D$2</f>
        <v>0.340905927784072</v>
      </c>
      <c r="D895" s="46" t="n">
        <f aca="false">D894+C895</f>
        <v>1335.45848632894</v>
      </c>
      <c r="E895" s="47" t="e">
        <f aca="false">MAX($D$3,(1+P894-VLOOKUP(VALUE(D895),$J$18:$Q894,7,TRUE()))*$D$3)</f>
        <v>#N/A</v>
      </c>
      <c r="F895" s="47" t="e">
        <f aca="false">MAX($D$4,(1+Q894-VLOOKUP(VALUE(D895),$M$18:$Q894,5,TRUE()))*$D$4)</f>
        <v>#N/A</v>
      </c>
      <c r="G895" s="48" t="n">
        <v>0.5</v>
      </c>
      <c r="H895" s="46" t="e">
        <f aca="true">IF((B895=1),(IF((F895&lt;E895),1,(IF((F895=E895),(IF(RAND()&lt;G895,1,0)),0)))),(IF((RAND()&lt;G895),1,0)))</f>
        <v>#N/A</v>
      </c>
      <c r="I895" s="46" t="e">
        <f aca="true">IF((H895=1),0,$D$3+$D$5*(RAND()-0.5))</f>
        <v>#N/A</v>
      </c>
      <c r="J895" s="46" t="e">
        <f aca="false">I895+MAX(D895,J894)</f>
        <v>#N/A</v>
      </c>
      <c r="K895" s="46" t="e">
        <f aca="false">IF((H895=0),J895-D895,0)</f>
        <v>#N/A</v>
      </c>
      <c r="L895" s="46" t="e">
        <f aca="true">IF(($H895=0),0,$D$4+$D$5*(RAND()-0.5))</f>
        <v>#N/A</v>
      </c>
      <c r="M895" s="46" t="e">
        <f aca="false">L895+MAX(D895,M894)</f>
        <v>#N/A</v>
      </c>
      <c r="N895" s="46" t="e">
        <f aca="false">IF((H895=1),M895-D895,0)</f>
        <v>#N/A</v>
      </c>
      <c r="O895" s="29" t="n">
        <v>878</v>
      </c>
      <c r="P895" s="49" t="e">
        <f aca="false">IF((Arterial=0),P894+1,P894)</f>
        <v>#N/A</v>
      </c>
      <c r="Q895" s="49" t="e">
        <f aca="false">IF((Arterial=1),Q894+1,Q894)</f>
        <v>#N/A</v>
      </c>
      <c r="R895" s="50" t="n">
        <f aca="false">IF((RESET=1),0,R895+K895)</f>
        <v>0</v>
      </c>
      <c r="S895" s="19" t="n">
        <f aca="false">IF(RESET=1,0,S895+N895)</f>
        <v>0</v>
      </c>
      <c r="T895" s="0" t="n">
        <f aca="false">IF(RESET=1,0,T895+IF(H895=0,1,0))</f>
        <v>0</v>
      </c>
      <c r="U895" s="0" t="n">
        <f aca="false">IF(RESET=1,0,U895+H895)</f>
        <v>0</v>
      </c>
      <c r="V895" s="19" t="n">
        <f aca="false">R895/(T895+0.00001)</f>
        <v>0</v>
      </c>
      <c r="W895" s="19" t="n">
        <f aca="false">S895/(U895+0.0001)</f>
        <v>0</v>
      </c>
      <c r="X895" s="47" t="e">
        <f aca="false">IF(Informed=1,K895,0)</f>
        <v>#N/A</v>
      </c>
      <c r="Y895" s="47" t="n">
        <f aca="false">IF(Informed=0,K895,0)</f>
        <v>0</v>
      </c>
      <c r="Z895" s="47" t="e">
        <f aca="false">IF(Informed=1,N895,0)</f>
        <v>#N/A</v>
      </c>
      <c r="AA895" s="47" t="n">
        <f aca="false">IF(Informed=0,N895,0)</f>
        <v>0</v>
      </c>
      <c r="AB895" s="51" t="e">
        <f aca="false">IF(Arterial=0,IF(Informed=1,1,0),0)</f>
        <v>#N/A</v>
      </c>
      <c r="AC895" s="51" t="e">
        <f aca="false">IF(Arterial=0,IF(Informed=0,1,0),0)</f>
        <v>#N/A</v>
      </c>
      <c r="AD895" s="51" t="e">
        <f aca="false">IF(Arterial=1,IF(Informed=1,1,0),0)</f>
        <v>#N/A</v>
      </c>
      <c r="AE895" s="51" t="e">
        <f aca="false">IF(Arterial=1,IF(Informed=0,1,0),0)</f>
        <v>#N/A</v>
      </c>
      <c r="AF895" s="44" t="e">
        <f aca="false">IF(AB895=1,(X895-G$1030)^2,0)</f>
        <v>#N/A</v>
      </c>
      <c r="AG895" s="44" t="e">
        <f aca="false">IF(AC895=1,(Y895-H$1030)^2,0)</f>
        <v>#N/A</v>
      </c>
      <c r="AH895" s="44" t="e">
        <f aca="false">IF(AD895=1,(Z895-I$1030)^2,0)</f>
        <v>#N/A</v>
      </c>
      <c r="AI895" s="44" t="e">
        <f aca="false">IF(AE895=1,(AA895-J$1030)^2,0)</f>
        <v>#N/A</v>
      </c>
    </row>
    <row r="896" customFormat="false" ht="12" hidden="false" customHeight="false" outlineLevel="0" collapsed="false">
      <c r="A896" s="29" t="n">
        <v>879</v>
      </c>
      <c r="B896" s="45" t="n">
        <f aca="true">IF(RAND()&lt;$D$8,1,0)</f>
        <v>1</v>
      </c>
      <c r="C896" s="34" t="n">
        <f aca="true">-LN(RAND())/$D$2</f>
        <v>0.602793115879361</v>
      </c>
      <c r="D896" s="46" t="n">
        <f aca="false">D895+C896</f>
        <v>1336.06127944482</v>
      </c>
      <c r="E896" s="47" t="e">
        <f aca="false">MAX($D$3,(1+P895-VLOOKUP(VALUE(D896),$J$18:$Q895,7,TRUE()))*$D$3)</f>
        <v>#N/A</v>
      </c>
      <c r="F896" s="47" t="e">
        <f aca="false">MAX($D$4,(1+Q895-VLOOKUP(VALUE(D896),$M$18:$Q895,5,TRUE()))*$D$4)</f>
        <v>#N/A</v>
      </c>
      <c r="G896" s="48" t="n">
        <v>0.5</v>
      </c>
      <c r="H896" s="46" t="e">
        <f aca="true">IF((B896=1),(IF((F896&lt;E896),1,(IF((F896=E896),(IF(RAND()&lt;G896,1,0)),0)))),(IF((RAND()&lt;G896),1,0)))</f>
        <v>#N/A</v>
      </c>
      <c r="I896" s="46" t="e">
        <f aca="true">IF((H896=1),0,$D$3+$D$5*(RAND()-0.5))</f>
        <v>#N/A</v>
      </c>
      <c r="J896" s="46" t="e">
        <f aca="false">I896+MAX(D896,J895)</f>
        <v>#N/A</v>
      </c>
      <c r="K896" s="46" t="e">
        <f aca="false">IF((H896=0),J896-D896,0)</f>
        <v>#N/A</v>
      </c>
      <c r="L896" s="46" t="e">
        <f aca="true">IF(($H896=0),0,$D$4+$D$5*(RAND()-0.5))</f>
        <v>#N/A</v>
      </c>
      <c r="M896" s="46" t="e">
        <f aca="false">L896+MAX(D896,M895)</f>
        <v>#N/A</v>
      </c>
      <c r="N896" s="46" t="e">
        <f aca="false">IF((H896=1),M896-D896,0)</f>
        <v>#N/A</v>
      </c>
      <c r="O896" s="29" t="n">
        <v>879</v>
      </c>
      <c r="P896" s="49" t="e">
        <f aca="false">IF((Arterial=0),P895+1,P895)</f>
        <v>#N/A</v>
      </c>
      <c r="Q896" s="49" t="e">
        <f aca="false">IF((Arterial=1),Q895+1,Q895)</f>
        <v>#N/A</v>
      </c>
      <c r="R896" s="50" t="n">
        <f aca="false">IF((RESET=1),0,R896+K896)</f>
        <v>0</v>
      </c>
      <c r="S896" s="19" t="n">
        <f aca="false">IF(RESET=1,0,S896+N896)</f>
        <v>0</v>
      </c>
      <c r="T896" s="0" t="n">
        <f aca="false">IF(RESET=1,0,T896+IF(H896=0,1,0))</f>
        <v>0</v>
      </c>
      <c r="U896" s="0" t="n">
        <f aca="false">IF(RESET=1,0,U896+H896)</f>
        <v>0</v>
      </c>
      <c r="V896" s="19" t="n">
        <f aca="false">R896/(T896+0.00001)</f>
        <v>0</v>
      </c>
      <c r="W896" s="19" t="n">
        <f aca="false">S896/(U896+0.0001)</f>
        <v>0</v>
      </c>
      <c r="X896" s="47" t="e">
        <f aca="false">IF(Informed=1,K896,0)</f>
        <v>#N/A</v>
      </c>
      <c r="Y896" s="47" t="n">
        <f aca="false">IF(Informed=0,K896,0)</f>
        <v>0</v>
      </c>
      <c r="Z896" s="47" t="e">
        <f aca="false">IF(Informed=1,N896,0)</f>
        <v>#N/A</v>
      </c>
      <c r="AA896" s="47" t="n">
        <f aca="false">IF(Informed=0,N896,0)</f>
        <v>0</v>
      </c>
      <c r="AB896" s="51" t="e">
        <f aca="false">IF(Arterial=0,IF(Informed=1,1,0),0)</f>
        <v>#N/A</v>
      </c>
      <c r="AC896" s="51" t="e">
        <f aca="false">IF(Arterial=0,IF(Informed=0,1,0),0)</f>
        <v>#N/A</v>
      </c>
      <c r="AD896" s="51" t="e">
        <f aca="false">IF(Arterial=1,IF(Informed=1,1,0),0)</f>
        <v>#N/A</v>
      </c>
      <c r="AE896" s="51" t="e">
        <f aca="false">IF(Arterial=1,IF(Informed=0,1,0),0)</f>
        <v>#N/A</v>
      </c>
      <c r="AF896" s="44" t="e">
        <f aca="false">IF(AB896=1,(X896-G$1030)^2,0)</f>
        <v>#N/A</v>
      </c>
      <c r="AG896" s="44" t="e">
        <f aca="false">IF(AC896=1,(Y896-H$1030)^2,0)</f>
        <v>#N/A</v>
      </c>
      <c r="AH896" s="44" t="e">
        <f aca="false">IF(AD896=1,(Z896-I$1030)^2,0)</f>
        <v>#N/A</v>
      </c>
      <c r="AI896" s="44" t="e">
        <f aca="false">IF(AE896=1,(AA896-J$1030)^2,0)</f>
        <v>#N/A</v>
      </c>
    </row>
    <row r="897" customFormat="false" ht="12" hidden="false" customHeight="false" outlineLevel="0" collapsed="false">
      <c r="A897" s="29" t="n">
        <v>880</v>
      </c>
      <c r="B897" s="45" t="n">
        <f aca="true">IF(RAND()&lt;$D$8,1,0)</f>
        <v>1</v>
      </c>
      <c r="C897" s="34" t="n">
        <f aca="true">-LN(RAND())/$D$2</f>
        <v>0.712508353574984</v>
      </c>
      <c r="D897" s="46" t="n">
        <f aca="false">D896+C897</f>
        <v>1336.7737877984</v>
      </c>
      <c r="E897" s="47" t="e">
        <f aca="false">MAX($D$3,(1+P896-VLOOKUP(VALUE(D897),$J$18:$Q896,7,TRUE()))*$D$3)</f>
        <v>#N/A</v>
      </c>
      <c r="F897" s="47" t="e">
        <f aca="false">MAX($D$4,(1+Q896-VLOOKUP(VALUE(D897),$M$18:$Q896,5,TRUE()))*$D$4)</f>
        <v>#N/A</v>
      </c>
      <c r="G897" s="48" t="n">
        <v>0.5</v>
      </c>
      <c r="H897" s="46" t="e">
        <f aca="true">IF((B897=1),(IF((F897&lt;E897),1,(IF((F897=E897),(IF(RAND()&lt;G897,1,0)),0)))),(IF((RAND()&lt;G897),1,0)))</f>
        <v>#N/A</v>
      </c>
      <c r="I897" s="46" t="e">
        <f aca="true">IF((H897=1),0,$D$3+$D$5*(RAND()-0.5))</f>
        <v>#N/A</v>
      </c>
      <c r="J897" s="46" t="e">
        <f aca="false">I897+MAX(D897,J896)</f>
        <v>#N/A</v>
      </c>
      <c r="K897" s="46" t="e">
        <f aca="false">IF((H897=0),J897-D897,0)</f>
        <v>#N/A</v>
      </c>
      <c r="L897" s="46" t="e">
        <f aca="true">IF(($H897=0),0,$D$4+$D$5*(RAND()-0.5))</f>
        <v>#N/A</v>
      </c>
      <c r="M897" s="46" t="e">
        <f aca="false">L897+MAX(D897,M896)</f>
        <v>#N/A</v>
      </c>
      <c r="N897" s="46" t="e">
        <f aca="false">IF((H897=1),M897-D897,0)</f>
        <v>#N/A</v>
      </c>
      <c r="O897" s="29" t="n">
        <v>880</v>
      </c>
      <c r="P897" s="49" t="e">
        <f aca="false">IF((Arterial=0),P896+1,P896)</f>
        <v>#N/A</v>
      </c>
      <c r="Q897" s="49" t="e">
        <f aca="false">IF((Arterial=1),Q896+1,Q896)</f>
        <v>#N/A</v>
      </c>
      <c r="R897" s="50" t="n">
        <f aca="false">IF((RESET=1),0,R897+K897)</f>
        <v>0</v>
      </c>
      <c r="S897" s="19" t="n">
        <f aca="false">IF(RESET=1,0,S897+N897)</f>
        <v>0</v>
      </c>
      <c r="T897" s="0" t="n">
        <f aca="false">IF(RESET=1,0,T897+IF(H897=0,1,0))</f>
        <v>0</v>
      </c>
      <c r="U897" s="0" t="n">
        <f aca="false">IF(RESET=1,0,U897+H897)</f>
        <v>0</v>
      </c>
      <c r="V897" s="19" t="n">
        <f aca="false">R897/(T897+0.00001)</f>
        <v>0</v>
      </c>
      <c r="W897" s="19" t="n">
        <f aca="false">S897/(U897+0.0001)</f>
        <v>0</v>
      </c>
      <c r="X897" s="47" t="e">
        <f aca="false">IF(Informed=1,K897,0)</f>
        <v>#N/A</v>
      </c>
      <c r="Y897" s="47" t="n">
        <f aca="false">IF(Informed=0,K897,0)</f>
        <v>0</v>
      </c>
      <c r="Z897" s="47" t="e">
        <f aca="false">IF(Informed=1,N897,0)</f>
        <v>#N/A</v>
      </c>
      <c r="AA897" s="47" t="n">
        <f aca="false">IF(Informed=0,N897,0)</f>
        <v>0</v>
      </c>
      <c r="AB897" s="51" t="e">
        <f aca="false">IF(Arterial=0,IF(Informed=1,1,0),0)</f>
        <v>#N/A</v>
      </c>
      <c r="AC897" s="51" t="e">
        <f aca="false">IF(Arterial=0,IF(Informed=0,1,0),0)</f>
        <v>#N/A</v>
      </c>
      <c r="AD897" s="51" t="e">
        <f aca="false">IF(Arterial=1,IF(Informed=1,1,0),0)</f>
        <v>#N/A</v>
      </c>
      <c r="AE897" s="51" t="e">
        <f aca="false">IF(Arterial=1,IF(Informed=0,1,0),0)</f>
        <v>#N/A</v>
      </c>
      <c r="AF897" s="44" t="e">
        <f aca="false">IF(AB897=1,(X897-G$1030)^2,0)</f>
        <v>#N/A</v>
      </c>
      <c r="AG897" s="44" t="e">
        <f aca="false">IF(AC897=1,(Y897-H$1030)^2,0)</f>
        <v>#N/A</v>
      </c>
      <c r="AH897" s="44" t="e">
        <f aca="false">IF(AD897=1,(Z897-I$1030)^2,0)</f>
        <v>#N/A</v>
      </c>
      <c r="AI897" s="44" t="e">
        <f aca="false">IF(AE897=1,(AA897-J$1030)^2,0)</f>
        <v>#N/A</v>
      </c>
    </row>
    <row r="898" customFormat="false" ht="12" hidden="false" customHeight="false" outlineLevel="0" collapsed="false">
      <c r="A898" s="29" t="n">
        <v>881</v>
      </c>
      <c r="B898" s="45" t="n">
        <f aca="true">IF(RAND()&lt;$D$8,1,0)</f>
        <v>1</v>
      </c>
      <c r="C898" s="34" t="n">
        <f aca="true">-LN(RAND())/$D$2</f>
        <v>1.40436218895768</v>
      </c>
      <c r="D898" s="46" t="n">
        <f aca="false">D897+C898</f>
        <v>1338.17814998736</v>
      </c>
      <c r="E898" s="47" t="e">
        <f aca="false">MAX($D$3,(1+P897-VLOOKUP(VALUE(D898),$J$18:$Q897,7,TRUE()))*$D$3)</f>
        <v>#N/A</v>
      </c>
      <c r="F898" s="47" t="e">
        <f aca="false">MAX($D$4,(1+Q897-VLOOKUP(VALUE(D898),$M$18:$Q897,5,TRUE()))*$D$4)</f>
        <v>#N/A</v>
      </c>
      <c r="G898" s="48" t="n">
        <v>0.5</v>
      </c>
      <c r="H898" s="46" t="e">
        <f aca="true">IF((B898=1),(IF((F898&lt;E898),1,(IF((F898=E898),(IF(RAND()&lt;G898,1,0)),0)))),(IF((RAND()&lt;G898),1,0)))</f>
        <v>#N/A</v>
      </c>
      <c r="I898" s="46" t="e">
        <f aca="true">IF((H898=1),0,$D$3+$D$5*(RAND()-0.5))</f>
        <v>#N/A</v>
      </c>
      <c r="J898" s="46" t="e">
        <f aca="false">I898+MAX(D898,J897)</f>
        <v>#N/A</v>
      </c>
      <c r="K898" s="46" t="e">
        <f aca="false">IF((H898=0),J898-D898,0)</f>
        <v>#N/A</v>
      </c>
      <c r="L898" s="46" t="e">
        <f aca="true">IF(($H898=0),0,$D$4+$D$5*(RAND()-0.5))</f>
        <v>#N/A</v>
      </c>
      <c r="M898" s="46" t="e">
        <f aca="false">L898+MAX(D898,M897)</f>
        <v>#N/A</v>
      </c>
      <c r="N898" s="46" t="e">
        <f aca="false">IF((H898=1),M898-D898,0)</f>
        <v>#N/A</v>
      </c>
      <c r="O898" s="29" t="n">
        <v>881</v>
      </c>
      <c r="P898" s="49" t="e">
        <f aca="false">IF((Arterial=0),P897+1,P897)</f>
        <v>#N/A</v>
      </c>
      <c r="Q898" s="49" t="e">
        <f aca="false">IF((Arterial=1),Q897+1,Q897)</f>
        <v>#N/A</v>
      </c>
      <c r="R898" s="50" t="n">
        <f aca="false">IF((RESET=1),0,R898+K898)</f>
        <v>0</v>
      </c>
      <c r="S898" s="19" t="n">
        <f aca="false">IF(RESET=1,0,S898+N898)</f>
        <v>0</v>
      </c>
      <c r="T898" s="0" t="n">
        <f aca="false">IF(RESET=1,0,T898+IF(H898=0,1,0))</f>
        <v>0</v>
      </c>
      <c r="U898" s="0" t="n">
        <f aca="false">IF(RESET=1,0,U898+H898)</f>
        <v>0</v>
      </c>
      <c r="V898" s="19" t="n">
        <f aca="false">R898/(T898+0.00001)</f>
        <v>0</v>
      </c>
      <c r="W898" s="19" t="n">
        <f aca="false">S898/(U898+0.0001)</f>
        <v>0</v>
      </c>
      <c r="X898" s="47" t="e">
        <f aca="false">IF(Informed=1,K898,0)</f>
        <v>#N/A</v>
      </c>
      <c r="Y898" s="47" t="n">
        <f aca="false">IF(Informed=0,K898,0)</f>
        <v>0</v>
      </c>
      <c r="Z898" s="47" t="e">
        <f aca="false">IF(Informed=1,N898,0)</f>
        <v>#N/A</v>
      </c>
      <c r="AA898" s="47" t="n">
        <f aca="false">IF(Informed=0,N898,0)</f>
        <v>0</v>
      </c>
      <c r="AB898" s="51" t="e">
        <f aca="false">IF(Arterial=0,IF(Informed=1,1,0),0)</f>
        <v>#N/A</v>
      </c>
      <c r="AC898" s="51" t="e">
        <f aca="false">IF(Arterial=0,IF(Informed=0,1,0),0)</f>
        <v>#N/A</v>
      </c>
      <c r="AD898" s="51" t="e">
        <f aca="false">IF(Arterial=1,IF(Informed=1,1,0),0)</f>
        <v>#N/A</v>
      </c>
      <c r="AE898" s="51" t="e">
        <f aca="false">IF(Arterial=1,IF(Informed=0,1,0),0)</f>
        <v>#N/A</v>
      </c>
      <c r="AF898" s="44" t="e">
        <f aca="false">IF(AB898=1,(X898-G$1030)^2,0)</f>
        <v>#N/A</v>
      </c>
      <c r="AG898" s="44" t="e">
        <f aca="false">IF(AC898=1,(Y898-H$1030)^2,0)</f>
        <v>#N/A</v>
      </c>
      <c r="AH898" s="44" t="e">
        <f aca="false">IF(AD898=1,(Z898-I$1030)^2,0)</f>
        <v>#N/A</v>
      </c>
      <c r="AI898" s="44" t="e">
        <f aca="false">IF(AE898=1,(AA898-J$1030)^2,0)</f>
        <v>#N/A</v>
      </c>
    </row>
    <row r="899" customFormat="false" ht="12" hidden="false" customHeight="false" outlineLevel="0" collapsed="false">
      <c r="A899" s="29" t="n">
        <v>882</v>
      </c>
      <c r="B899" s="45" t="n">
        <f aca="true">IF(RAND()&lt;$D$8,1,0)</f>
        <v>1</v>
      </c>
      <c r="C899" s="34" t="n">
        <f aca="true">-LN(RAND())/$D$2</f>
        <v>1.105267315884</v>
      </c>
      <c r="D899" s="46" t="n">
        <f aca="false">D898+C899</f>
        <v>1339.28341730324</v>
      </c>
      <c r="E899" s="47" t="e">
        <f aca="false">MAX($D$3,(1+P898-VLOOKUP(VALUE(D899),$J$18:$Q898,7,TRUE()))*$D$3)</f>
        <v>#N/A</v>
      </c>
      <c r="F899" s="47" t="e">
        <f aca="false">MAX($D$4,(1+Q898-VLOOKUP(VALUE(D899),$M$18:$Q898,5,TRUE()))*$D$4)</f>
        <v>#N/A</v>
      </c>
      <c r="G899" s="48" t="n">
        <v>0.5</v>
      </c>
      <c r="H899" s="46" t="e">
        <f aca="true">IF((B899=1),(IF((F899&lt;E899),1,(IF((F899=E899),(IF(RAND()&lt;G899,1,0)),0)))),(IF((RAND()&lt;G899),1,0)))</f>
        <v>#N/A</v>
      </c>
      <c r="I899" s="46" t="e">
        <f aca="true">IF((H899=1),0,$D$3+$D$5*(RAND()-0.5))</f>
        <v>#N/A</v>
      </c>
      <c r="J899" s="46" t="e">
        <f aca="false">I899+MAX(D899,J898)</f>
        <v>#N/A</v>
      </c>
      <c r="K899" s="46" t="e">
        <f aca="false">IF((H899=0),J899-D899,0)</f>
        <v>#N/A</v>
      </c>
      <c r="L899" s="46" t="e">
        <f aca="true">IF(($H899=0),0,$D$4+$D$5*(RAND()-0.5))</f>
        <v>#N/A</v>
      </c>
      <c r="M899" s="46" t="e">
        <f aca="false">L899+MAX(D899,M898)</f>
        <v>#N/A</v>
      </c>
      <c r="N899" s="46" t="e">
        <f aca="false">IF((H899=1),M899-D899,0)</f>
        <v>#N/A</v>
      </c>
      <c r="O899" s="29" t="n">
        <v>882</v>
      </c>
      <c r="P899" s="49" t="e">
        <f aca="false">IF((Arterial=0),P898+1,P898)</f>
        <v>#N/A</v>
      </c>
      <c r="Q899" s="49" t="e">
        <f aca="false">IF((Arterial=1),Q898+1,Q898)</f>
        <v>#N/A</v>
      </c>
      <c r="R899" s="50" t="n">
        <f aca="false">IF((RESET=1),0,R899+K899)</f>
        <v>0</v>
      </c>
      <c r="S899" s="19" t="n">
        <f aca="false">IF(RESET=1,0,S899+N899)</f>
        <v>0</v>
      </c>
      <c r="T899" s="0" t="n">
        <f aca="false">IF(RESET=1,0,T899+IF(H899=0,1,0))</f>
        <v>0</v>
      </c>
      <c r="U899" s="0" t="n">
        <f aca="false">IF(RESET=1,0,U899+H899)</f>
        <v>0</v>
      </c>
      <c r="V899" s="19" t="n">
        <f aca="false">R899/(T899+0.00001)</f>
        <v>0</v>
      </c>
      <c r="W899" s="19" t="n">
        <f aca="false">S899/(U899+0.0001)</f>
        <v>0</v>
      </c>
      <c r="X899" s="47" t="e">
        <f aca="false">IF(Informed=1,K899,0)</f>
        <v>#N/A</v>
      </c>
      <c r="Y899" s="47" t="n">
        <f aca="false">IF(Informed=0,K899,0)</f>
        <v>0</v>
      </c>
      <c r="Z899" s="47" t="e">
        <f aca="false">IF(Informed=1,N899,0)</f>
        <v>#N/A</v>
      </c>
      <c r="AA899" s="47" t="n">
        <f aca="false">IF(Informed=0,N899,0)</f>
        <v>0</v>
      </c>
      <c r="AB899" s="51" t="e">
        <f aca="false">IF(Arterial=0,IF(Informed=1,1,0),0)</f>
        <v>#N/A</v>
      </c>
      <c r="AC899" s="51" t="e">
        <f aca="false">IF(Arterial=0,IF(Informed=0,1,0),0)</f>
        <v>#N/A</v>
      </c>
      <c r="AD899" s="51" t="e">
        <f aca="false">IF(Arterial=1,IF(Informed=1,1,0),0)</f>
        <v>#N/A</v>
      </c>
      <c r="AE899" s="51" t="e">
        <f aca="false">IF(Arterial=1,IF(Informed=0,1,0),0)</f>
        <v>#N/A</v>
      </c>
      <c r="AF899" s="44" t="e">
        <f aca="false">IF(AB899=1,(X899-G$1030)^2,0)</f>
        <v>#N/A</v>
      </c>
      <c r="AG899" s="44" t="e">
        <f aca="false">IF(AC899=1,(Y899-H$1030)^2,0)</f>
        <v>#N/A</v>
      </c>
      <c r="AH899" s="44" t="e">
        <f aca="false">IF(AD899=1,(Z899-I$1030)^2,0)</f>
        <v>#N/A</v>
      </c>
      <c r="AI899" s="44" t="e">
        <f aca="false">IF(AE899=1,(AA899-J$1030)^2,0)</f>
        <v>#N/A</v>
      </c>
    </row>
    <row r="900" customFormat="false" ht="12" hidden="false" customHeight="false" outlineLevel="0" collapsed="false">
      <c r="A900" s="29" t="n">
        <v>883</v>
      </c>
      <c r="B900" s="45" t="n">
        <f aca="true">IF(RAND()&lt;$D$8,1,0)</f>
        <v>1</v>
      </c>
      <c r="C900" s="34" t="n">
        <f aca="true">-LN(RAND())/$D$2</f>
        <v>1.34726370057221</v>
      </c>
      <c r="D900" s="46" t="n">
        <f aca="false">D899+C900</f>
        <v>1340.63068100381</v>
      </c>
      <c r="E900" s="47" t="e">
        <f aca="false">MAX($D$3,(1+P899-VLOOKUP(VALUE(D900),$J$18:$Q899,7,TRUE()))*$D$3)</f>
        <v>#N/A</v>
      </c>
      <c r="F900" s="47" t="e">
        <f aca="false">MAX($D$4,(1+Q899-VLOOKUP(VALUE(D900),$M$18:$Q899,5,TRUE()))*$D$4)</f>
        <v>#N/A</v>
      </c>
      <c r="G900" s="48" t="n">
        <v>0.5</v>
      </c>
      <c r="H900" s="46" t="e">
        <f aca="true">IF((B900=1),(IF((F900&lt;E900),1,(IF((F900=E900),(IF(RAND()&lt;G900,1,0)),0)))),(IF((RAND()&lt;G900),1,0)))</f>
        <v>#N/A</v>
      </c>
      <c r="I900" s="46" t="e">
        <f aca="true">IF((H900=1),0,$D$3+$D$5*(RAND()-0.5))</f>
        <v>#N/A</v>
      </c>
      <c r="J900" s="46" t="e">
        <f aca="false">I900+MAX(D900,J899)</f>
        <v>#N/A</v>
      </c>
      <c r="K900" s="46" t="e">
        <f aca="false">IF((H900=0),J900-D900,0)</f>
        <v>#N/A</v>
      </c>
      <c r="L900" s="46" t="e">
        <f aca="true">IF(($H900=0),0,$D$4+$D$5*(RAND()-0.5))</f>
        <v>#N/A</v>
      </c>
      <c r="M900" s="46" t="e">
        <f aca="false">L900+MAX(D900,M899)</f>
        <v>#N/A</v>
      </c>
      <c r="N900" s="46" t="e">
        <f aca="false">IF((H900=1),M900-D900,0)</f>
        <v>#N/A</v>
      </c>
      <c r="O900" s="29" t="n">
        <v>883</v>
      </c>
      <c r="P900" s="49" t="e">
        <f aca="false">IF((Arterial=0),P899+1,P899)</f>
        <v>#N/A</v>
      </c>
      <c r="Q900" s="49" t="e">
        <f aca="false">IF((Arterial=1),Q899+1,Q899)</f>
        <v>#N/A</v>
      </c>
      <c r="R900" s="50" t="n">
        <f aca="false">IF((RESET=1),0,R900+K900)</f>
        <v>0</v>
      </c>
      <c r="S900" s="19" t="n">
        <f aca="false">IF(RESET=1,0,S900+N900)</f>
        <v>0</v>
      </c>
      <c r="T900" s="0" t="n">
        <f aca="false">IF(RESET=1,0,T900+IF(H900=0,1,0))</f>
        <v>0</v>
      </c>
      <c r="U900" s="0" t="n">
        <f aca="false">IF(RESET=1,0,U900+H900)</f>
        <v>0</v>
      </c>
      <c r="V900" s="19" t="n">
        <f aca="false">R900/(T900+0.00001)</f>
        <v>0</v>
      </c>
      <c r="W900" s="19" t="n">
        <f aca="false">S900/(U900+0.0001)</f>
        <v>0</v>
      </c>
      <c r="X900" s="47" t="e">
        <f aca="false">IF(Informed=1,K900,0)</f>
        <v>#N/A</v>
      </c>
      <c r="Y900" s="47" t="n">
        <f aca="false">IF(Informed=0,K900,0)</f>
        <v>0</v>
      </c>
      <c r="Z900" s="47" t="e">
        <f aca="false">IF(Informed=1,N900,0)</f>
        <v>#N/A</v>
      </c>
      <c r="AA900" s="47" t="n">
        <f aca="false">IF(Informed=0,N900,0)</f>
        <v>0</v>
      </c>
      <c r="AB900" s="51" t="e">
        <f aca="false">IF(Arterial=0,IF(Informed=1,1,0),0)</f>
        <v>#N/A</v>
      </c>
      <c r="AC900" s="51" t="e">
        <f aca="false">IF(Arterial=0,IF(Informed=0,1,0),0)</f>
        <v>#N/A</v>
      </c>
      <c r="AD900" s="51" t="e">
        <f aca="false">IF(Arterial=1,IF(Informed=1,1,0),0)</f>
        <v>#N/A</v>
      </c>
      <c r="AE900" s="51" t="e">
        <f aca="false">IF(Arterial=1,IF(Informed=0,1,0),0)</f>
        <v>#N/A</v>
      </c>
      <c r="AF900" s="44" t="e">
        <f aca="false">IF(AB900=1,(X900-G$1030)^2,0)</f>
        <v>#N/A</v>
      </c>
      <c r="AG900" s="44" t="e">
        <f aca="false">IF(AC900=1,(Y900-H$1030)^2,0)</f>
        <v>#N/A</v>
      </c>
      <c r="AH900" s="44" t="e">
        <f aca="false">IF(AD900=1,(Z900-I$1030)^2,0)</f>
        <v>#N/A</v>
      </c>
      <c r="AI900" s="44" t="e">
        <f aca="false">IF(AE900=1,(AA900-J$1030)^2,0)</f>
        <v>#N/A</v>
      </c>
    </row>
    <row r="901" customFormat="false" ht="12" hidden="false" customHeight="false" outlineLevel="0" collapsed="false">
      <c r="A901" s="29" t="n">
        <v>884</v>
      </c>
      <c r="B901" s="45" t="n">
        <f aca="true">IF(RAND()&lt;$D$8,1,0)</f>
        <v>1</v>
      </c>
      <c r="C901" s="34" t="n">
        <f aca="true">-LN(RAND())/$D$2</f>
        <v>1.18794386339115</v>
      </c>
      <c r="D901" s="46" t="n">
        <f aca="false">D900+C901</f>
        <v>1341.8186248672</v>
      </c>
      <c r="E901" s="47" t="e">
        <f aca="false">MAX($D$3,(1+P900-VLOOKUP(VALUE(D901),$J$18:$Q900,7,TRUE()))*$D$3)</f>
        <v>#N/A</v>
      </c>
      <c r="F901" s="47" t="e">
        <f aca="false">MAX($D$4,(1+Q900-VLOOKUP(VALUE(D901),$M$18:$Q900,5,TRUE()))*$D$4)</f>
        <v>#N/A</v>
      </c>
      <c r="G901" s="48" t="n">
        <v>0.5</v>
      </c>
      <c r="H901" s="46" t="e">
        <f aca="true">IF((B901=1),(IF((F901&lt;E901),1,(IF((F901=E901),(IF(RAND()&lt;G901,1,0)),0)))),(IF((RAND()&lt;G901),1,0)))</f>
        <v>#N/A</v>
      </c>
      <c r="I901" s="46" t="e">
        <f aca="true">IF((H901=1),0,$D$3+$D$5*(RAND()-0.5))</f>
        <v>#N/A</v>
      </c>
      <c r="J901" s="46" t="e">
        <f aca="false">I901+MAX(D901,J900)</f>
        <v>#N/A</v>
      </c>
      <c r="K901" s="46" t="e">
        <f aca="false">IF((H901=0),J901-D901,0)</f>
        <v>#N/A</v>
      </c>
      <c r="L901" s="46" t="e">
        <f aca="true">IF(($H901=0),0,$D$4+$D$5*(RAND()-0.5))</f>
        <v>#N/A</v>
      </c>
      <c r="M901" s="46" t="e">
        <f aca="false">L901+MAX(D901,M900)</f>
        <v>#N/A</v>
      </c>
      <c r="N901" s="46" t="e">
        <f aca="false">IF((H901=1),M901-D901,0)</f>
        <v>#N/A</v>
      </c>
      <c r="O901" s="29" t="n">
        <v>884</v>
      </c>
      <c r="P901" s="49" t="e">
        <f aca="false">IF((Arterial=0),P900+1,P900)</f>
        <v>#N/A</v>
      </c>
      <c r="Q901" s="49" t="e">
        <f aca="false">IF((Arterial=1),Q900+1,Q900)</f>
        <v>#N/A</v>
      </c>
      <c r="R901" s="50" t="n">
        <f aca="false">IF((RESET=1),0,R901+K901)</f>
        <v>0</v>
      </c>
      <c r="S901" s="19" t="n">
        <f aca="false">IF(RESET=1,0,S901+N901)</f>
        <v>0</v>
      </c>
      <c r="T901" s="0" t="n">
        <f aca="false">IF(RESET=1,0,T901+IF(H901=0,1,0))</f>
        <v>0</v>
      </c>
      <c r="U901" s="0" t="n">
        <f aca="false">IF(RESET=1,0,U901+H901)</f>
        <v>0</v>
      </c>
      <c r="V901" s="19" t="n">
        <f aca="false">R901/(T901+0.00001)</f>
        <v>0</v>
      </c>
      <c r="W901" s="19" t="n">
        <f aca="false">S901/(U901+0.0001)</f>
        <v>0</v>
      </c>
      <c r="X901" s="47" t="e">
        <f aca="false">IF(Informed=1,K901,0)</f>
        <v>#N/A</v>
      </c>
      <c r="Y901" s="47" t="n">
        <f aca="false">IF(Informed=0,K901,0)</f>
        <v>0</v>
      </c>
      <c r="Z901" s="47" t="e">
        <f aca="false">IF(Informed=1,N901,0)</f>
        <v>#N/A</v>
      </c>
      <c r="AA901" s="47" t="n">
        <f aca="false">IF(Informed=0,N901,0)</f>
        <v>0</v>
      </c>
      <c r="AB901" s="51" t="e">
        <f aca="false">IF(Arterial=0,IF(Informed=1,1,0),0)</f>
        <v>#N/A</v>
      </c>
      <c r="AC901" s="51" t="e">
        <f aca="false">IF(Arterial=0,IF(Informed=0,1,0),0)</f>
        <v>#N/A</v>
      </c>
      <c r="AD901" s="51" t="e">
        <f aca="false">IF(Arterial=1,IF(Informed=1,1,0),0)</f>
        <v>#N/A</v>
      </c>
      <c r="AE901" s="51" t="e">
        <f aca="false">IF(Arterial=1,IF(Informed=0,1,0),0)</f>
        <v>#N/A</v>
      </c>
      <c r="AF901" s="44" t="e">
        <f aca="false">IF(AB901=1,(X901-G$1030)^2,0)</f>
        <v>#N/A</v>
      </c>
      <c r="AG901" s="44" t="e">
        <f aca="false">IF(AC901=1,(Y901-H$1030)^2,0)</f>
        <v>#N/A</v>
      </c>
      <c r="AH901" s="44" t="e">
        <f aca="false">IF(AD901=1,(Z901-I$1030)^2,0)</f>
        <v>#N/A</v>
      </c>
      <c r="AI901" s="44" t="e">
        <f aca="false">IF(AE901=1,(AA901-J$1030)^2,0)</f>
        <v>#N/A</v>
      </c>
    </row>
    <row r="902" customFormat="false" ht="12" hidden="false" customHeight="false" outlineLevel="0" collapsed="false">
      <c r="A902" s="29" t="n">
        <v>885</v>
      </c>
      <c r="B902" s="45" t="n">
        <f aca="true">IF(RAND()&lt;$D$8,1,0)</f>
        <v>1</v>
      </c>
      <c r="C902" s="34" t="n">
        <f aca="true">-LN(RAND())/$D$2</f>
        <v>3.55674888473059</v>
      </c>
      <c r="D902" s="46" t="n">
        <f aca="false">D901+C902</f>
        <v>1345.37537375193</v>
      </c>
      <c r="E902" s="47" t="e">
        <f aca="false">MAX($D$3,(1+P901-VLOOKUP(VALUE(D902),$J$18:$Q901,7,TRUE()))*$D$3)</f>
        <v>#N/A</v>
      </c>
      <c r="F902" s="47" t="e">
        <f aca="false">MAX($D$4,(1+Q901-VLOOKUP(VALUE(D902),$M$18:$Q901,5,TRUE()))*$D$4)</f>
        <v>#N/A</v>
      </c>
      <c r="G902" s="48" t="n">
        <v>0.5</v>
      </c>
      <c r="H902" s="46" t="e">
        <f aca="true">IF((B902=1),(IF((F902&lt;E902),1,(IF((F902=E902),(IF(RAND()&lt;G902,1,0)),0)))),(IF((RAND()&lt;G902),1,0)))</f>
        <v>#N/A</v>
      </c>
      <c r="I902" s="46" t="e">
        <f aca="true">IF((H902=1),0,$D$3+$D$5*(RAND()-0.5))</f>
        <v>#N/A</v>
      </c>
      <c r="J902" s="46" t="e">
        <f aca="false">I902+MAX(D902,J901)</f>
        <v>#N/A</v>
      </c>
      <c r="K902" s="46" t="e">
        <f aca="false">IF((H902=0),J902-D902,0)</f>
        <v>#N/A</v>
      </c>
      <c r="L902" s="46" t="e">
        <f aca="true">IF(($H902=0),0,$D$4+$D$5*(RAND()-0.5))</f>
        <v>#N/A</v>
      </c>
      <c r="M902" s="46" t="e">
        <f aca="false">L902+MAX(D902,M901)</f>
        <v>#N/A</v>
      </c>
      <c r="N902" s="46" t="e">
        <f aca="false">IF((H902=1),M902-D902,0)</f>
        <v>#N/A</v>
      </c>
      <c r="O902" s="29" t="n">
        <v>885</v>
      </c>
      <c r="P902" s="49" t="e">
        <f aca="false">IF((Arterial=0),P901+1,P901)</f>
        <v>#N/A</v>
      </c>
      <c r="Q902" s="49" t="e">
        <f aca="false">IF((Arterial=1),Q901+1,Q901)</f>
        <v>#N/A</v>
      </c>
      <c r="R902" s="50" t="n">
        <f aca="false">IF((RESET=1),0,R902+K902)</f>
        <v>0</v>
      </c>
      <c r="S902" s="19" t="n">
        <f aca="false">IF(RESET=1,0,S902+N902)</f>
        <v>0</v>
      </c>
      <c r="T902" s="0" t="n">
        <f aca="false">IF(RESET=1,0,T902+IF(H902=0,1,0))</f>
        <v>0</v>
      </c>
      <c r="U902" s="0" t="n">
        <f aca="false">IF(RESET=1,0,U902+H902)</f>
        <v>0</v>
      </c>
      <c r="V902" s="19" t="n">
        <f aca="false">R902/(T902+0.00001)</f>
        <v>0</v>
      </c>
      <c r="W902" s="19" t="n">
        <f aca="false">S902/(U902+0.0001)</f>
        <v>0</v>
      </c>
      <c r="X902" s="47" t="e">
        <f aca="false">IF(Informed=1,K902,0)</f>
        <v>#N/A</v>
      </c>
      <c r="Y902" s="47" t="n">
        <f aca="false">IF(Informed=0,K902,0)</f>
        <v>0</v>
      </c>
      <c r="Z902" s="47" t="e">
        <f aca="false">IF(Informed=1,N902,0)</f>
        <v>#N/A</v>
      </c>
      <c r="AA902" s="47" t="n">
        <f aca="false">IF(Informed=0,N902,0)</f>
        <v>0</v>
      </c>
      <c r="AB902" s="51" t="e">
        <f aca="false">IF(Arterial=0,IF(Informed=1,1,0),0)</f>
        <v>#N/A</v>
      </c>
      <c r="AC902" s="51" t="e">
        <f aca="false">IF(Arterial=0,IF(Informed=0,1,0),0)</f>
        <v>#N/A</v>
      </c>
      <c r="AD902" s="51" t="e">
        <f aca="false">IF(Arterial=1,IF(Informed=1,1,0),0)</f>
        <v>#N/A</v>
      </c>
      <c r="AE902" s="51" t="e">
        <f aca="false">IF(Arterial=1,IF(Informed=0,1,0),0)</f>
        <v>#N/A</v>
      </c>
      <c r="AF902" s="44" t="e">
        <f aca="false">IF(AB902=1,(X902-G$1030)^2,0)</f>
        <v>#N/A</v>
      </c>
      <c r="AG902" s="44" t="e">
        <f aca="false">IF(AC902=1,(Y902-H$1030)^2,0)</f>
        <v>#N/A</v>
      </c>
      <c r="AH902" s="44" t="e">
        <f aca="false">IF(AD902=1,(Z902-I$1030)^2,0)</f>
        <v>#N/A</v>
      </c>
      <c r="AI902" s="44" t="e">
        <f aca="false">IF(AE902=1,(AA902-J$1030)^2,0)</f>
        <v>#N/A</v>
      </c>
    </row>
    <row r="903" customFormat="false" ht="12" hidden="false" customHeight="false" outlineLevel="0" collapsed="false">
      <c r="A903" s="29" t="n">
        <v>886</v>
      </c>
      <c r="B903" s="45" t="n">
        <f aca="true">IF(RAND()&lt;$D$8,1,0)</f>
        <v>1</v>
      </c>
      <c r="C903" s="34" t="n">
        <f aca="true">-LN(RAND())/$D$2</f>
        <v>0.601881188721823</v>
      </c>
      <c r="D903" s="46" t="n">
        <f aca="false">D902+C903</f>
        <v>1345.97725494066</v>
      </c>
      <c r="E903" s="47" t="e">
        <f aca="false">MAX($D$3,(1+P902-VLOOKUP(VALUE(D903),$J$18:$Q902,7,TRUE()))*$D$3)</f>
        <v>#N/A</v>
      </c>
      <c r="F903" s="47" t="e">
        <f aca="false">MAX($D$4,(1+Q902-VLOOKUP(VALUE(D903),$M$18:$Q902,5,TRUE()))*$D$4)</f>
        <v>#N/A</v>
      </c>
      <c r="G903" s="48" t="n">
        <v>0.5</v>
      </c>
      <c r="H903" s="46" t="e">
        <f aca="true">IF((B903=1),(IF((F903&lt;E903),1,(IF((F903=E903),(IF(RAND()&lt;G903,1,0)),0)))),(IF((RAND()&lt;G903),1,0)))</f>
        <v>#N/A</v>
      </c>
      <c r="I903" s="46" t="e">
        <f aca="true">IF((H903=1),0,$D$3+$D$5*(RAND()-0.5))</f>
        <v>#N/A</v>
      </c>
      <c r="J903" s="46" t="e">
        <f aca="false">I903+MAX(D903,J902)</f>
        <v>#N/A</v>
      </c>
      <c r="K903" s="46" t="e">
        <f aca="false">IF((H903=0),J903-D903,0)</f>
        <v>#N/A</v>
      </c>
      <c r="L903" s="46" t="e">
        <f aca="true">IF(($H903=0),0,$D$4+$D$5*(RAND()-0.5))</f>
        <v>#N/A</v>
      </c>
      <c r="M903" s="46" t="e">
        <f aca="false">L903+MAX(D903,M902)</f>
        <v>#N/A</v>
      </c>
      <c r="N903" s="46" t="e">
        <f aca="false">IF((H903=1),M903-D903,0)</f>
        <v>#N/A</v>
      </c>
      <c r="O903" s="29" t="n">
        <v>886</v>
      </c>
      <c r="P903" s="49" t="e">
        <f aca="false">IF((Arterial=0),P902+1,P902)</f>
        <v>#N/A</v>
      </c>
      <c r="Q903" s="49" t="e">
        <f aca="false">IF((Arterial=1),Q902+1,Q902)</f>
        <v>#N/A</v>
      </c>
      <c r="R903" s="50" t="n">
        <f aca="false">IF((RESET=1),0,R903+K903)</f>
        <v>0</v>
      </c>
      <c r="S903" s="19" t="n">
        <f aca="false">IF(RESET=1,0,S903+N903)</f>
        <v>0</v>
      </c>
      <c r="T903" s="0" t="n">
        <f aca="false">IF(RESET=1,0,T903+IF(H903=0,1,0))</f>
        <v>0</v>
      </c>
      <c r="U903" s="0" t="n">
        <f aca="false">IF(RESET=1,0,U903+H903)</f>
        <v>0</v>
      </c>
      <c r="V903" s="19" t="n">
        <f aca="false">R903/(T903+0.00001)</f>
        <v>0</v>
      </c>
      <c r="W903" s="19" t="n">
        <f aca="false">S903/(U903+0.0001)</f>
        <v>0</v>
      </c>
      <c r="X903" s="47" t="e">
        <f aca="false">IF(Informed=1,K903,0)</f>
        <v>#N/A</v>
      </c>
      <c r="Y903" s="47" t="n">
        <f aca="false">IF(Informed=0,K903,0)</f>
        <v>0</v>
      </c>
      <c r="Z903" s="47" t="e">
        <f aca="false">IF(Informed=1,N903,0)</f>
        <v>#N/A</v>
      </c>
      <c r="AA903" s="47" t="n">
        <f aca="false">IF(Informed=0,N903,0)</f>
        <v>0</v>
      </c>
      <c r="AB903" s="51" t="e">
        <f aca="false">IF(Arterial=0,IF(Informed=1,1,0),0)</f>
        <v>#N/A</v>
      </c>
      <c r="AC903" s="51" t="e">
        <f aca="false">IF(Arterial=0,IF(Informed=0,1,0),0)</f>
        <v>#N/A</v>
      </c>
      <c r="AD903" s="51" t="e">
        <f aca="false">IF(Arterial=1,IF(Informed=1,1,0),0)</f>
        <v>#N/A</v>
      </c>
      <c r="AE903" s="51" t="e">
        <f aca="false">IF(Arterial=1,IF(Informed=0,1,0),0)</f>
        <v>#N/A</v>
      </c>
      <c r="AF903" s="44" t="e">
        <f aca="false">IF(AB903=1,(X903-G$1030)^2,0)</f>
        <v>#N/A</v>
      </c>
      <c r="AG903" s="44" t="e">
        <f aca="false">IF(AC903=1,(Y903-H$1030)^2,0)</f>
        <v>#N/A</v>
      </c>
      <c r="AH903" s="44" t="e">
        <f aca="false">IF(AD903=1,(Z903-I$1030)^2,0)</f>
        <v>#N/A</v>
      </c>
      <c r="AI903" s="44" t="e">
        <f aca="false">IF(AE903=1,(AA903-J$1030)^2,0)</f>
        <v>#N/A</v>
      </c>
    </row>
    <row r="904" customFormat="false" ht="12" hidden="false" customHeight="false" outlineLevel="0" collapsed="false">
      <c r="A904" s="29" t="n">
        <v>887</v>
      </c>
      <c r="B904" s="45" t="n">
        <f aca="true">IF(RAND()&lt;$D$8,1,0)</f>
        <v>1</v>
      </c>
      <c r="C904" s="34" t="n">
        <f aca="true">-LN(RAND())/$D$2</f>
        <v>2.0621358838402</v>
      </c>
      <c r="D904" s="46" t="n">
        <f aca="false">D903+C904</f>
        <v>1348.0393908245</v>
      </c>
      <c r="E904" s="47" t="e">
        <f aca="false">MAX($D$3,(1+P903-VLOOKUP(VALUE(D904),$J$18:$Q903,7,TRUE()))*$D$3)</f>
        <v>#N/A</v>
      </c>
      <c r="F904" s="47" t="e">
        <f aca="false">MAX($D$4,(1+Q903-VLOOKUP(VALUE(D904),$M$18:$Q903,5,TRUE()))*$D$4)</f>
        <v>#N/A</v>
      </c>
      <c r="G904" s="48" t="n">
        <v>0.5</v>
      </c>
      <c r="H904" s="46" t="e">
        <f aca="true">IF((B904=1),(IF((F904&lt;E904),1,(IF((F904=E904),(IF(RAND()&lt;G904,1,0)),0)))),(IF((RAND()&lt;G904),1,0)))</f>
        <v>#N/A</v>
      </c>
      <c r="I904" s="46" t="e">
        <f aca="true">IF((H904=1),0,$D$3+$D$5*(RAND()-0.5))</f>
        <v>#N/A</v>
      </c>
      <c r="J904" s="46" t="e">
        <f aca="false">I904+MAX(D904,J903)</f>
        <v>#N/A</v>
      </c>
      <c r="K904" s="46" t="e">
        <f aca="false">IF((H904=0),J904-D904,0)</f>
        <v>#N/A</v>
      </c>
      <c r="L904" s="46" t="e">
        <f aca="true">IF(($H904=0),0,$D$4+$D$5*(RAND()-0.5))</f>
        <v>#N/A</v>
      </c>
      <c r="M904" s="46" t="e">
        <f aca="false">L904+MAX(D904,M903)</f>
        <v>#N/A</v>
      </c>
      <c r="N904" s="46" t="e">
        <f aca="false">IF((H904=1),M904-D904,0)</f>
        <v>#N/A</v>
      </c>
      <c r="O904" s="29" t="n">
        <v>887</v>
      </c>
      <c r="P904" s="49" t="e">
        <f aca="false">IF((Arterial=0),P903+1,P903)</f>
        <v>#N/A</v>
      </c>
      <c r="Q904" s="49" t="e">
        <f aca="false">IF((Arterial=1),Q903+1,Q903)</f>
        <v>#N/A</v>
      </c>
      <c r="R904" s="50" t="n">
        <f aca="false">IF((RESET=1),0,R904+K904)</f>
        <v>0</v>
      </c>
      <c r="S904" s="19" t="n">
        <f aca="false">IF(RESET=1,0,S904+N904)</f>
        <v>0</v>
      </c>
      <c r="T904" s="0" t="n">
        <f aca="false">IF(RESET=1,0,T904+IF(H904=0,1,0))</f>
        <v>0</v>
      </c>
      <c r="U904" s="0" t="n">
        <f aca="false">IF(RESET=1,0,U904+H904)</f>
        <v>0</v>
      </c>
      <c r="V904" s="19" t="n">
        <f aca="false">R904/(T904+0.00001)</f>
        <v>0</v>
      </c>
      <c r="W904" s="19" t="n">
        <f aca="false">S904/(U904+0.0001)</f>
        <v>0</v>
      </c>
      <c r="X904" s="47" t="e">
        <f aca="false">IF(Informed=1,K904,0)</f>
        <v>#N/A</v>
      </c>
      <c r="Y904" s="47" t="n">
        <f aca="false">IF(Informed=0,K904,0)</f>
        <v>0</v>
      </c>
      <c r="Z904" s="47" t="e">
        <f aca="false">IF(Informed=1,N904,0)</f>
        <v>#N/A</v>
      </c>
      <c r="AA904" s="47" t="n">
        <f aca="false">IF(Informed=0,N904,0)</f>
        <v>0</v>
      </c>
      <c r="AB904" s="51" t="e">
        <f aca="false">IF(Arterial=0,IF(Informed=1,1,0),0)</f>
        <v>#N/A</v>
      </c>
      <c r="AC904" s="51" t="e">
        <f aca="false">IF(Arterial=0,IF(Informed=0,1,0),0)</f>
        <v>#N/A</v>
      </c>
      <c r="AD904" s="51" t="e">
        <f aca="false">IF(Arterial=1,IF(Informed=1,1,0),0)</f>
        <v>#N/A</v>
      </c>
      <c r="AE904" s="51" t="e">
        <f aca="false">IF(Arterial=1,IF(Informed=0,1,0),0)</f>
        <v>#N/A</v>
      </c>
      <c r="AF904" s="44" t="e">
        <f aca="false">IF(AB904=1,(X904-G$1030)^2,0)</f>
        <v>#N/A</v>
      </c>
      <c r="AG904" s="44" t="e">
        <f aca="false">IF(AC904=1,(Y904-H$1030)^2,0)</f>
        <v>#N/A</v>
      </c>
      <c r="AH904" s="44" t="e">
        <f aca="false">IF(AD904=1,(Z904-I$1030)^2,0)</f>
        <v>#N/A</v>
      </c>
      <c r="AI904" s="44" t="e">
        <f aca="false">IF(AE904=1,(AA904-J$1030)^2,0)</f>
        <v>#N/A</v>
      </c>
    </row>
    <row r="905" customFormat="false" ht="12" hidden="false" customHeight="false" outlineLevel="0" collapsed="false">
      <c r="A905" s="29" t="n">
        <v>888</v>
      </c>
      <c r="B905" s="45" t="n">
        <f aca="true">IF(RAND()&lt;$D$8,1,0)</f>
        <v>1</v>
      </c>
      <c r="C905" s="34" t="n">
        <f aca="true">-LN(RAND())/$D$2</f>
        <v>2.2163242656357</v>
      </c>
      <c r="D905" s="46" t="n">
        <f aca="false">D904+C905</f>
        <v>1350.25571509013</v>
      </c>
      <c r="E905" s="47" t="e">
        <f aca="false">MAX($D$3,(1+P904-VLOOKUP(VALUE(D905),$J$18:$Q904,7,TRUE()))*$D$3)</f>
        <v>#N/A</v>
      </c>
      <c r="F905" s="47" t="e">
        <f aca="false">MAX($D$4,(1+Q904-VLOOKUP(VALUE(D905),$M$18:$Q904,5,TRUE()))*$D$4)</f>
        <v>#N/A</v>
      </c>
      <c r="G905" s="48" t="n">
        <v>0.5</v>
      </c>
      <c r="H905" s="46" t="e">
        <f aca="true">IF((B905=1),(IF((F905&lt;E905),1,(IF((F905=E905),(IF(RAND()&lt;G905,1,0)),0)))),(IF((RAND()&lt;G905),1,0)))</f>
        <v>#N/A</v>
      </c>
      <c r="I905" s="46" t="e">
        <f aca="true">IF((H905=1),0,$D$3+$D$5*(RAND()-0.5))</f>
        <v>#N/A</v>
      </c>
      <c r="J905" s="46" t="e">
        <f aca="false">I905+MAX(D905,J904)</f>
        <v>#N/A</v>
      </c>
      <c r="K905" s="46" t="e">
        <f aca="false">IF((H905=0),J905-D905,0)</f>
        <v>#N/A</v>
      </c>
      <c r="L905" s="46" t="e">
        <f aca="true">IF(($H905=0),0,$D$4+$D$5*(RAND()-0.5))</f>
        <v>#N/A</v>
      </c>
      <c r="M905" s="46" t="e">
        <f aca="false">L905+MAX(D905,M904)</f>
        <v>#N/A</v>
      </c>
      <c r="N905" s="46" t="e">
        <f aca="false">IF((H905=1),M905-D905,0)</f>
        <v>#N/A</v>
      </c>
      <c r="O905" s="29" t="n">
        <v>888</v>
      </c>
      <c r="P905" s="49" t="e">
        <f aca="false">IF((Arterial=0),P904+1,P904)</f>
        <v>#N/A</v>
      </c>
      <c r="Q905" s="49" t="e">
        <f aca="false">IF((Arterial=1),Q904+1,Q904)</f>
        <v>#N/A</v>
      </c>
      <c r="R905" s="50" t="n">
        <f aca="false">IF((RESET=1),0,R905+K905)</f>
        <v>0</v>
      </c>
      <c r="S905" s="19" t="n">
        <f aca="false">IF(RESET=1,0,S905+N905)</f>
        <v>0</v>
      </c>
      <c r="T905" s="0" t="n">
        <f aca="false">IF(RESET=1,0,T905+IF(H905=0,1,0))</f>
        <v>0</v>
      </c>
      <c r="U905" s="0" t="n">
        <f aca="false">IF(RESET=1,0,U905+H905)</f>
        <v>0</v>
      </c>
      <c r="V905" s="19" t="n">
        <f aca="false">R905/(T905+0.00001)</f>
        <v>0</v>
      </c>
      <c r="W905" s="19" t="n">
        <f aca="false">S905/(U905+0.0001)</f>
        <v>0</v>
      </c>
      <c r="X905" s="47" t="e">
        <f aca="false">IF(Informed=1,K905,0)</f>
        <v>#N/A</v>
      </c>
      <c r="Y905" s="47" t="n">
        <f aca="false">IF(Informed=0,K905,0)</f>
        <v>0</v>
      </c>
      <c r="Z905" s="47" t="e">
        <f aca="false">IF(Informed=1,N905,0)</f>
        <v>#N/A</v>
      </c>
      <c r="AA905" s="47" t="n">
        <f aca="false">IF(Informed=0,N905,0)</f>
        <v>0</v>
      </c>
      <c r="AB905" s="51" t="e">
        <f aca="false">IF(Arterial=0,IF(Informed=1,1,0),0)</f>
        <v>#N/A</v>
      </c>
      <c r="AC905" s="51" t="e">
        <f aca="false">IF(Arterial=0,IF(Informed=0,1,0),0)</f>
        <v>#N/A</v>
      </c>
      <c r="AD905" s="51" t="e">
        <f aca="false">IF(Arterial=1,IF(Informed=1,1,0),0)</f>
        <v>#N/A</v>
      </c>
      <c r="AE905" s="51" t="e">
        <f aca="false">IF(Arterial=1,IF(Informed=0,1,0),0)</f>
        <v>#N/A</v>
      </c>
      <c r="AF905" s="44" t="e">
        <f aca="false">IF(AB905=1,(X905-G$1030)^2,0)</f>
        <v>#N/A</v>
      </c>
      <c r="AG905" s="44" t="e">
        <f aca="false">IF(AC905=1,(Y905-H$1030)^2,0)</f>
        <v>#N/A</v>
      </c>
      <c r="AH905" s="44" t="e">
        <f aca="false">IF(AD905=1,(Z905-I$1030)^2,0)</f>
        <v>#N/A</v>
      </c>
      <c r="AI905" s="44" t="e">
        <f aca="false">IF(AE905=1,(AA905-J$1030)^2,0)</f>
        <v>#N/A</v>
      </c>
    </row>
    <row r="906" customFormat="false" ht="12" hidden="false" customHeight="false" outlineLevel="0" collapsed="false">
      <c r="A906" s="29" t="n">
        <v>889</v>
      </c>
      <c r="B906" s="45" t="n">
        <f aca="true">IF(RAND()&lt;$D$8,1,0)</f>
        <v>1</v>
      </c>
      <c r="C906" s="34" t="n">
        <f aca="true">-LN(RAND())/$D$2</f>
        <v>1.89413870059489</v>
      </c>
      <c r="D906" s="46" t="n">
        <f aca="false">D905+C906</f>
        <v>1352.14985379073</v>
      </c>
      <c r="E906" s="47" t="e">
        <f aca="false">MAX($D$3,(1+P905-VLOOKUP(VALUE(D906),$J$18:$Q905,7,TRUE()))*$D$3)</f>
        <v>#N/A</v>
      </c>
      <c r="F906" s="47" t="e">
        <f aca="false">MAX($D$4,(1+Q905-VLOOKUP(VALUE(D906),$M$18:$Q905,5,TRUE()))*$D$4)</f>
        <v>#N/A</v>
      </c>
      <c r="G906" s="48" t="n">
        <v>0.5</v>
      </c>
      <c r="H906" s="46" t="e">
        <f aca="true">IF((B906=1),(IF((F906&lt;E906),1,(IF((F906=E906),(IF(RAND()&lt;G906,1,0)),0)))),(IF((RAND()&lt;G906),1,0)))</f>
        <v>#N/A</v>
      </c>
      <c r="I906" s="46" t="e">
        <f aca="true">IF((H906=1),0,$D$3+$D$5*(RAND()-0.5))</f>
        <v>#N/A</v>
      </c>
      <c r="J906" s="46" t="e">
        <f aca="false">I906+MAX(D906,J905)</f>
        <v>#N/A</v>
      </c>
      <c r="K906" s="46" t="e">
        <f aca="false">IF((H906=0),J906-D906,0)</f>
        <v>#N/A</v>
      </c>
      <c r="L906" s="46" t="e">
        <f aca="true">IF(($H906=0),0,$D$4+$D$5*(RAND()-0.5))</f>
        <v>#N/A</v>
      </c>
      <c r="M906" s="46" t="e">
        <f aca="false">L906+MAX(D906,M905)</f>
        <v>#N/A</v>
      </c>
      <c r="N906" s="46" t="e">
        <f aca="false">IF((H906=1),M906-D906,0)</f>
        <v>#N/A</v>
      </c>
      <c r="O906" s="29" t="n">
        <v>889</v>
      </c>
      <c r="P906" s="49" t="e">
        <f aca="false">IF((Arterial=0),P905+1,P905)</f>
        <v>#N/A</v>
      </c>
      <c r="Q906" s="49" t="e">
        <f aca="false">IF((Arterial=1),Q905+1,Q905)</f>
        <v>#N/A</v>
      </c>
      <c r="R906" s="50" t="n">
        <f aca="false">IF((RESET=1),0,R906+K906)</f>
        <v>0</v>
      </c>
      <c r="S906" s="19" t="n">
        <f aca="false">IF(RESET=1,0,S906+N906)</f>
        <v>0</v>
      </c>
      <c r="T906" s="0" t="n">
        <f aca="false">IF(RESET=1,0,T906+IF(H906=0,1,0))</f>
        <v>0</v>
      </c>
      <c r="U906" s="0" t="n">
        <f aca="false">IF(RESET=1,0,U906+H906)</f>
        <v>0</v>
      </c>
      <c r="V906" s="19" t="n">
        <f aca="false">R906/(T906+0.00001)</f>
        <v>0</v>
      </c>
      <c r="W906" s="19" t="n">
        <f aca="false">S906/(U906+0.0001)</f>
        <v>0</v>
      </c>
      <c r="X906" s="47" t="e">
        <f aca="false">IF(Informed=1,K906,0)</f>
        <v>#N/A</v>
      </c>
      <c r="Y906" s="47" t="n">
        <f aca="false">IF(Informed=0,K906,0)</f>
        <v>0</v>
      </c>
      <c r="Z906" s="47" t="e">
        <f aca="false">IF(Informed=1,N906,0)</f>
        <v>#N/A</v>
      </c>
      <c r="AA906" s="47" t="n">
        <f aca="false">IF(Informed=0,N906,0)</f>
        <v>0</v>
      </c>
      <c r="AB906" s="51" t="e">
        <f aca="false">IF(Arterial=0,IF(Informed=1,1,0),0)</f>
        <v>#N/A</v>
      </c>
      <c r="AC906" s="51" t="e">
        <f aca="false">IF(Arterial=0,IF(Informed=0,1,0),0)</f>
        <v>#N/A</v>
      </c>
      <c r="AD906" s="51" t="e">
        <f aca="false">IF(Arterial=1,IF(Informed=1,1,0),0)</f>
        <v>#N/A</v>
      </c>
      <c r="AE906" s="51" t="e">
        <f aca="false">IF(Arterial=1,IF(Informed=0,1,0),0)</f>
        <v>#N/A</v>
      </c>
      <c r="AF906" s="44" t="e">
        <f aca="false">IF(AB906=1,(X906-G$1030)^2,0)</f>
        <v>#N/A</v>
      </c>
      <c r="AG906" s="44" t="e">
        <f aca="false">IF(AC906=1,(Y906-H$1030)^2,0)</f>
        <v>#N/A</v>
      </c>
      <c r="AH906" s="44" t="e">
        <f aca="false">IF(AD906=1,(Z906-I$1030)^2,0)</f>
        <v>#N/A</v>
      </c>
      <c r="AI906" s="44" t="e">
        <f aca="false">IF(AE906=1,(AA906-J$1030)^2,0)</f>
        <v>#N/A</v>
      </c>
    </row>
    <row r="907" customFormat="false" ht="12" hidden="false" customHeight="false" outlineLevel="0" collapsed="false">
      <c r="A907" s="29" t="n">
        <v>890</v>
      </c>
      <c r="B907" s="45" t="n">
        <f aca="true">IF(RAND()&lt;$D$8,1,0)</f>
        <v>1</v>
      </c>
      <c r="C907" s="34" t="n">
        <f aca="true">-LN(RAND())/$D$2</f>
        <v>0.688496420480112</v>
      </c>
      <c r="D907" s="46" t="n">
        <f aca="false">D906+C907</f>
        <v>1352.83835021121</v>
      </c>
      <c r="E907" s="47" t="e">
        <f aca="false">MAX($D$3,(1+P906-VLOOKUP(VALUE(D907),$J$18:$Q906,7,TRUE()))*$D$3)</f>
        <v>#N/A</v>
      </c>
      <c r="F907" s="47" t="e">
        <f aca="false">MAX($D$4,(1+Q906-VLOOKUP(VALUE(D907),$M$18:$Q906,5,TRUE()))*$D$4)</f>
        <v>#N/A</v>
      </c>
      <c r="G907" s="48" t="n">
        <v>0.5</v>
      </c>
      <c r="H907" s="46" t="e">
        <f aca="true">IF((B907=1),(IF((F907&lt;E907),1,(IF((F907=E907),(IF(RAND()&lt;G907,1,0)),0)))),(IF((RAND()&lt;G907),1,0)))</f>
        <v>#N/A</v>
      </c>
      <c r="I907" s="46" t="e">
        <f aca="true">IF((H907=1),0,$D$3+$D$5*(RAND()-0.5))</f>
        <v>#N/A</v>
      </c>
      <c r="J907" s="46" t="e">
        <f aca="false">I907+MAX(D907,J906)</f>
        <v>#N/A</v>
      </c>
      <c r="K907" s="46" t="e">
        <f aca="false">IF((H907=0),J907-D907,0)</f>
        <v>#N/A</v>
      </c>
      <c r="L907" s="46" t="e">
        <f aca="true">IF(($H907=0),0,$D$4+$D$5*(RAND()-0.5))</f>
        <v>#N/A</v>
      </c>
      <c r="M907" s="46" t="e">
        <f aca="false">L907+MAX(D907,M906)</f>
        <v>#N/A</v>
      </c>
      <c r="N907" s="46" t="e">
        <f aca="false">IF((H907=1),M907-D907,0)</f>
        <v>#N/A</v>
      </c>
      <c r="O907" s="29" t="n">
        <v>890</v>
      </c>
      <c r="P907" s="49" t="e">
        <f aca="false">IF((Arterial=0),P906+1,P906)</f>
        <v>#N/A</v>
      </c>
      <c r="Q907" s="49" t="e">
        <f aca="false">IF((Arterial=1),Q906+1,Q906)</f>
        <v>#N/A</v>
      </c>
      <c r="R907" s="50" t="n">
        <f aca="false">IF((RESET=1),0,R907+K907)</f>
        <v>0</v>
      </c>
      <c r="S907" s="19" t="n">
        <f aca="false">IF(RESET=1,0,S907+N907)</f>
        <v>0</v>
      </c>
      <c r="T907" s="0" t="n">
        <f aca="false">IF(RESET=1,0,T907+IF(H907=0,1,0))</f>
        <v>0</v>
      </c>
      <c r="U907" s="0" t="n">
        <f aca="false">IF(RESET=1,0,U907+H907)</f>
        <v>0</v>
      </c>
      <c r="V907" s="19" t="n">
        <f aca="false">R907/(T907+0.00001)</f>
        <v>0</v>
      </c>
      <c r="W907" s="19" t="n">
        <f aca="false">S907/(U907+0.0001)</f>
        <v>0</v>
      </c>
      <c r="X907" s="47" t="e">
        <f aca="false">IF(Informed=1,K907,0)</f>
        <v>#N/A</v>
      </c>
      <c r="Y907" s="47" t="n">
        <f aca="false">IF(Informed=0,K907,0)</f>
        <v>0</v>
      </c>
      <c r="Z907" s="47" t="e">
        <f aca="false">IF(Informed=1,N907,0)</f>
        <v>#N/A</v>
      </c>
      <c r="AA907" s="47" t="n">
        <f aca="false">IF(Informed=0,N907,0)</f>
        <v>0</v>
      </c>
      <c r="AB907" s="51" t="e">
        <f aca="false">IF(Arterial=0,IF(Informed=1,1,0),0)</f>
        <v>#N/A</v>
      </c>
      <c r="AC907" s="51" t="e">
        <f aca="false">IF(Arterial=0,IF(Informed=0,1,0),0)</f>
        <v>#N/A</v>
      </c>
      <c r="AD907" s="51" t="e">
        <f aca="false">IF(Arterial=1,IF(Informed=1,1,0),0)</f>
        <v>#N/A</v>
      </c>
      <c r="AE907" s="51" t="e">
        <f aca="false">IF(Arterial=1,IF(Informed=0,1,0),0)</f>
        <v>#N/A</v>
      </c>
      <c r="AF907" s="44" t="e">
        <f aca="false">IF(AB907=1,(X907-G$1030)^2,0)</f>
        <v>#N/A</v>
      </c>
      <c r="AG907" s="44" t="e">
        <f aca="false">IF(AC907=1,(Y907-H$1030)^2,0)</f>
        <v>#N/A</v>
      </c>
      <c r="AH907" s="44" t="e">
        <f aca="false">IF(AD907=1,(Z907-I$1030)^2,0)</f>
        <v>#N/A</v>
      </c>
      <c r="AI907" s="44" t="e">
        <f aca="false">IF(AE907=1,(AA907-J$1030)^2,0)</f>
        <v>#N/A</v>
      </c>
    </row>
    <row r="908" customFormat="false" ht="12" hidden="false" customHeight="false" outlineLevel="0" collapsed="false">
      <c r="A908" s="29" t="n">
        <v>891</v>
      </c>
      <c r="B908" s="45" t="n">
        <f aca="true">IF(RAND()&lt;$D$8,1,0)</f>
        <v>1</v>
      </c>
      <c r="C908" s="34" t="n">
        <f aca="true">-LN(RAND())/$D$2</f>
        <v>0.2094394921112</v>
      </c>
      <c r="D908" s="46" t="n">
        <f aca="false">D907+C908</f>
        <v>1353.04778970332</v>
      </c>
      <c r="E908" s="47" t="e">
        <f aca="false">MAX($D$3,(1+P907-VLOOKUP(VALUE(D908),$J$18:$Q907,7,TRUE()))*$D$3)</f>
        <v>#N/A</v>
      </c>
      <c r="F908" s="47" t="e">
        <f aca="false">MAX($D$4,(1+Q907-VLOOKUP(VALUE(D908),$M$18:$Q907,5,TRUE()))*$D$4)</f>
        <v>#N/A</v>
      </c>
      <c r="G908" s="48" t="n">
        <v>0.5</v>
      </c>
      <c r="H908" s="46" t="e">
        <f aca="true">IF((B908=1),(IF((F908&lt;E908),1,(IF((F908=E908),(IF(RAND()&lt;G908,1,0)),0)))),(IF((RAND()&lt;G908),1,0)))</f>
        <v>#N/A</v>
      </c>
      <c r="I908" s="46" t="e">
        <f aca="true">IF((H908=1),0,$D$3+$D$5*(RAND()-0.5))</f>
        <v>#N/A</v>
      </c>
      <c r="J908" s="46" t="e">
        <f aca="false">I908+MAX(D908,J907)</f>
        <v>#N/A</v>
      </c>
      <c r="K908" s="46" t="e">
        <f aca="false">IF((H908=0),J908-D908,0)</f>
        <v>#N/A</v>
      </c>
      <c r="L908" s="46" t="e">
        <f aca="true">IF(($H908=0),0,$D$4+$D$5*(RAND()-0.5))</f>
        <v>#N/A</v>
      </c>
      <c r="M908" s="46" t="e">
        <f aca="false">L908+MAX(D908,M907)</f>
        <v>#N/A</v>
      </c>
      <c r="N908" s="46" t="e">
        <f aca="false">IF((H908=1),M908-D908,0)</f>
        <v>#N/A</v>
      </c>
      <c r="O908" s="29" t="n">
        <v>891</v>
      </c>
      <c r="P908" s="49" t="e">
        <f aca="false">IF((Arterial=0),P907+1,P907)</f>
        <v>#N/A</v>
      </c>
      <c r="Q908" s="49" t="e">
        <f aca="false">IF((Arterial=1),Q907+1,Q907)</f>
        <v>#N/A</v>
      </c>
      <c r="R908" s="50" t="n">
        <f aca="false">IF((RESET=1),0,R908+K908)</f>
        <v>0</v>
      </c>
      <c r="S908" s="19" t="n">
        <f aca="false">IF(RESET=1,0,S908+N908)</f>
        <v>0</v>
      </c>
      <c r="T908" s="0" t="n">
        <f aca="false">IF(RESET=1,0,T908+IF(H908=0,1,0))</f>
        <v>0</v>
      </c>
      <c r="U908" s="0" t="n">
        <f aca="false">IF(RESET=1,0,U908+H908)</f>
        <v>0</v>
      </c>
      <c r="V908" s="19" t="n">
        <f aca="false">R908/(T908+0.00001)</f>
        <v>0</v>
      </c>
      <c r="W908" s="19" t="n">
        <f aca="false">S908/(U908+0.0001)</f>
        <v>0</v>
      </c>
      <c r="X908" s="47" t="e">
        <f aca="false">IF(Informed=1,K908,0)</f>
        <v>#N/A</v>
      </c>
      <c r="Y908" s="47" t="n">
        <f aca="false">IF(Informed=0,K908,0)</f>
        <v>0</v>
      </c>
      <c r="Z908" s="47" t="e">
        <f aca="false">IF(Informed=1,N908,0)</f>
        <v>#N/A</v>
      </c>
      <c r="AA908" s="47" t="n">
        <f aca="false">IF(Informed=0,N908,0)</f>
        <v>0</v>
      </c>
      <c r="AB908" s="51" t="e">
        <f aca="false">IF(Arterial=0,IF(Informed=1,1,0),0)</f>
        <v>#N/A</v>
      </c>
      <c r="AC908" s="51" t="e">
        <f aca="false">IF(Arterial=0,IF(Informed=0,1,0),0)</f>
        <v>#N/A</v>
      </c>
      <c r="AD908" s="51" t="e">
        <f aca="false">IF(Arterial=1,IF(Informed=1,1,0),0)</f>
        <v>#N/A</v>
      </c>
      <c r="AE908" s="51" t="e">
        <f aca="false">IF(Arterial=1,IF(Informed=0,1,0),0)</f>
        <v>#N/A</v>
      </c>
      <c r="AF908" s="44" t="e">
        <f aca="false">IF(AB908=1,(X908-G$1030)^2,0)</f>
        <v>#N/A</v>
      </c>
      <c r="AG908" s="44" t="e">
        <f aca="false">IF(AC908=1,(Y908-H$1030)^2,0)</f>
        <v>#N/A</v>
      </c>
      <c r="AH908" s="44" t="e">
        <f aca="false">IF(AD908=1,(Z908-I$1030)^2,0)</f>
        <v>#N/A</v>
      </c>
      <c r="AI908" s="44" t="e">
        <f aca="false">IF(AE908=1,(AA908-J$1030)^2,0)</f>
        <v>#N/A</v>
      </c>
    </row>
    <row r="909" customFormat="false" ht="12" hidden="false" customHeight="false" outlineLevel="0" collapsed="false">
      <c r="A909" s="29" t="n">
        <v>892</v>
      </c>
      <c r="B909" s="45" t="n">
        <f aca="true">IF(RAND()&lt;$D$8,1,0)</f>
        <v>1</v>
      </c>
      <c r="C909" s="34" t="n">
        <f aca="true">-LN(RAND())/$D$2</f>
        <v>0.447814774263755</v>
      </c>
      <c r="D909" s="46" t="n">
        <f aca="false">D908+C909</f>
        <v>1353.49560447758</v>
      </c>
      <c r="E909" s="47" t="e">
        <f aca="false">MAX($D$3,(1+P908-VLOOKUP(VALUE(D909),$J$18:$Q908,7,TRUE()))*$D$3)</f>
        <v>#N/A</v>
      </c>
      <c r="F909" s="47" t="e">
        <f aca="false">MAX($D$4,(1+Q908-VLOOKUP(VALUE(D909),$M$18:$Q908,5,TRUE()))*$D$4)</f>
        <v>#N/A</v>
      </c>
      <c r="G909" s="48" t="n">
        <v>0.5</v>
      </c>
      <c r="H909" s="46" t="e">
        <f aca="true">IF((B909=1),(IF((F909&lt;E909),1,(IF((F909=E909),(IF(RAND()&lt;G909,1,0)),0)))),(IF((RAND()&lt;G909),1,0)))</f>
        <v>#N/A</v>
      </c>
      <c r="I909" s="46" t="e">
        <f aca="true">IF((H909=1),0,$D$3+$D$5*(RAND()-0.5))</f>
        <v>#N/A</v>
      </c>
      <c r="J909" s="46" t="e">
        <f aca="false">I909+MAX(D909,J908)</f>
        <v>#N/A</v>
      </c>
      <c r="K909" s="46" t="e">
        <f aca="false">IF((H909=0),J909-D909,0)</f>
        <v>#N/A</v>
      </c>
      <c r="L909" s="46" t="e">
        <f aca="true">IF(($H909=0),0,$D$4+$D$5*(RAND()-0.5))</f>
        <v>#N/A</v>
      </c>
      <c r="M909" s="46" t="e">
        <f aca="false">L909+MAX(D909,M908)</f>
        <v>#N/A</v>
      </c>
      <c r="N909" s="46" t="e">
        <f aca="false">IF((H909=1),M909-D909,0)</f>
        <v>#N/A</v>
      </c>
      <c r="O909" s="29" t="n">
        <v>892</v>
      </c>
      <c r="P909" s="49" t="e">
        <f aca="false">IF((Arterial=0),P908+1,P908)</f>
        <v>#N/A</v>
      </c>
      <c r="Q909" s="49" t="e">
        <f aca="false">IF((Arterial=1),Q908+1,Q908)</f>
        <v>#N/A</v>
      </c>
      <c r="R909" s="50" t="n">
        <f aca="false">IF((RESET=1),0,R909+K909)</f>
        <v>0</v>
      </c>
      <c r="S909" s="19" t="n">
        <f aca="false">IF(RESET=1,0,S909+N909)</f>
        <v>0</v>
      </c>
      <c r="T909" s="0" t="n">
        <f aca="false">IF(RESET=1,0,T909+IF(H909=0,1,0))</f>
        <v>0</v>
      </c>
      <c r="U909" s="0" t="n">
        <f aca="false">IF(RESET=1,0,U909+H909)</f>
        <v>0</v>
      </c>
      <c r="V909" s="19" t="n">
        <f aca="false">R909/(T909+0.00001)</f>
        <v>0</v>
      </c>
      <c r="W909" s="19" t="n">
        <f aca="false">S909/(U909+0.0001)</f>
        <v>0</v>
      </c>
      <c r="X909" s="47" t="e">
        <f aca="false">IF(Informed=1,K909,0)</f>
        <v>#N/A</v>
      </c>
      <c r="Y909" s="47" t="n">
        <f aca="false">IF(Informed=0,K909,0)</f>
        <v>0</v>
      </c>
      <c r="Z909" s="47" t="e">
        <f aca="false">IF(Informed=1,N909,0)</f>
        <v>#N/A</v>
      </c>
      <c r="AA909" s="47" t="n">
        <f aca="false">IF(Informed=0,N909,0)</f>
        <v>0</v>
      </c>
      <c r="AB909" s="51" t="e">
        <f aca="false">IF(Arterial=0,IF(Informed=1,1,0),0)</f>
        <v>#N/A</v>
      </c>
      <c r="AC909" s="51" t="e">
        <f aca="false">IF(Arterial=0,IF(Informed=0,1,0),0)</f>
        <v>#N/A</v>
      </c>
      <c r="AD909" s="51" t="e">
        <f aca="false">IF(Arterial=1,IF(Informed=1,1,0),0)</f>
        <v>#N/A</v>
      </c>
      <c r="AE909" s="51" t="e">
        <f aca="false">IF(Arterial=1,IF(Informed=0,1,0),0)</f>
        <v>#N/A</v>
      </c>
      <c r="AF909" s="44" t="e">
        <f aca="false">IF(AB909=1,(X909-G$1030)^2,0)</f>
        <v>#N/A</v>
      </c>
      <c r="AG909" s="44" t="e">
        <f aca="false">IF(AC909=1,(Y909-H$1030)^2,0)</f>
        <v>#N/A</v>
      </c>
      <c r="AH909" s="44" t="e">
        <f aca="false">IF(AD909=1,(Z909-I$1030)^2,0)</f>
        <v>#N/A</v>
      </c>
      <c r="AI909" s="44" t="e">
        <f aca="false">IF(AE909=1,(AA909-J$1030)^2,0)</f>
        <v>#N/A</v>
      </c>
    </row>
    <row r="910" customFormat="false" ht="12" hidden="false" customHeight="false" outlineLevel="0" collapsed="false">
      <c r="A910" s="29" t="n">
        <v>893</v>
      </c>
      <c r="B910" s="45" t="n">
        <f aca="true">IF(RAND()&lt;$D$8,1,0)</f>
        <v>1</v>
      </c>
      <c r="C910" s="34" t="n">
        <f aca="true">-LN(RAND())/$D$2</f>
        <v>0.0459527167596821</v>
      </c>
      <c r="D910" s="46" t="n">
        <f aca="false">D909+C910</f>
        <v>1353.54155719434</v>
      </c>
      <c r="E910" s="47" t="e">
        <f aca="false">MAX($D$3,(1+P909-VLOOKUP(VALUE(D910),$J$18:$Q909,7,TRUE()))*$D$3)</f>
        <v>#N/A</v>
      </c>
      <c r="F910" s="47" t="e">
        <f aca="false">MAX($D$4,(1+Q909-VLOOKUP(VALUE(D910),$M$18:$Q909,5,TRUE()))*$D$4)</f>
        <v>#N/A</v>
      </c>
      <c r="G910" s="48" t="n">
        <v>0.5</v>
      </c>
      <c r="H910" s="46" t="e">
        <f aca="true">IF((B910=1),(IF((F910&lt;E910),1,(IF((F910=E910),(IF(RAND()&lt;G910,1,0)),0)))),(IF((RAND()&lt;G910),1,0)))</f>
        <v>#N/A</v>
      </c>
      <c r="I910" s="46" t="e">
        <f aca="true">IF((H910=1),0,$D$3+$D$5*(RAND()-0.5))</f>
        <v>#N/A</v>
      </c>
      <c r="J910" s="46" t="e">
        <f aca="false">I910+MAX(D910,J909)</f>
        <v>#N/A</v>
      </c>
      <c r="K910" s="46" t="e">
        <f aca="false">IF((H910=0),J910-D910,0)</f>
        <v>#N/A</v>
      </c>
      <c r="L910" s="46" t="e">
        <f aca="true">IF(($H910=0),0,$D$4+$D$5*(RAND()-0.5))</f>
        <v>#N/A</v>
      </c>
      <c r="M910" s="46" t="e">
        <f aca="false">L910+MAX(D910,M909)</f>
        <v>#N/A</v>
      </c>
      <c r="N910" s="46" t="e">
        <f aca="false">IF((H910=1),M910-D910,0)</f>
        <v>#N/A</v>
      </c>
      <c r="O910" s="29" t="n">
        <v>893</v>
      </c>
      <c r="P910" s="49" t="e">
        <f aca="false">IF((Arterial=0),P909+1,P909)</f>
        <v>#N/A</v>
      </c>
      <c r="Q910" s="49" t="e">
        <f aca="false">IF((Arterial=1),Q909+1,Q909)</f>
        <v>#N/A</v>
      </c>
      <c r="R910" s="50" t="n">
        <f aca="false">IF((RESET=1),0,R910+K910)</f>
        <v>0</v>
      </c>
      <c r="S910" s="19" t="n">
        <f aca="false">IF(RESET=1,0,S910+N910)</f>
        <v>0</v>
      </c>
      <c r="T910" s="0" t="n">
        <f aca="false">IF(RESET=1,0,T910+IF(H910=0,1,0))</f>
        <v>0</v>
      </c>
      <c r="U910" s="0" t="n">
        <f aca="false">IF(RESET=1,0,U910+H910)</f>
        <v>0</v>
      </c>
      <c r="V910" s="19" t="n">
        <f aca="false">R910/(T910+0.00001)</f>
        <v>0</v>
      </c>
      <c r="W910" s="19" t="n">
        <f aca="false">S910/(U910+0.0001)</f>
        <v>0</v>
      </c>
      <c r="X910" s="47" t="e">
        <f aca="false">IF(Informed=1,K910,0)</f>
        <v>#N/A</v>
      </c>
      <c r="Y910" s="47" t="n">
        <f aca="false">IF(Informed=0,K910,0)</f>
        <v>0</v>
      </c>
      <c r="Z910" s="47" t="e">
        <f aca="false">IF(Informed=1,N910,0)</f>
        <v>#N/A</v>
      </c>
      <c r="AA910" s="47" t="n">
        <f aca="false">IF(Informed=0,N910,0)</f>
        <v>0</v>
      </c>
      <c r="AB910" s="51" t="e">
        <f aca="false">IF(Arterial=0,IF(Informed=1,1,0),0)</f>
        <v>#N/A</v>
      </c>
      <c r="AC910" s="51" t="e">
        <f aca="false">IF(Arterial=0,IF(Informed=0,1,0),0)</f>
        <v>#N/A</v>
      </c>
      <c r="AD910" s="51" t="e">
        <f aca="false">IF(Arterial=1,IF(Informed=1,1,0),0)</f>
        <v>#N/A</v>
      </c>
      <c r="AE910" s="51" t="e">
        <f aca="false">IF(Arterial=1,IF(Informed=0,1,0),0)</f>
        <v>#N/A</v>
      </c>
      <c r="AF910" s="44" t="e">
        <f aca="false">IF(AB910=1,(X910-G$1030)^2,0)</f>
        <v>#N/A</v>
      </c>
      <c r="AG910" s="44" t="e">
        <f aca="false">IF(AC910=1,(Y910-H$1030)^2,0)</f>
        <v>#N/A</v>
      </c>
      <c r="AH910" s="44" t="e">
        <f aca="false">IF(AD910=1,(Z910-I$1030)^2,0)</f>
        <v>#N/A</v>
      </c>
      <c r="AI910" s="44" t="e">
        <f aca="false">IF(AE910=1,(AA910-J$1030)^2,0)</f>
        <v>#N/A</v>
      </c>
    </row>
    <row r="911" customFormat="false" ht="12" hidden="false" customHeight="false" outlineLevel="0" collapsed="false">
      <c r="A911" s="29" t="n">
        <v>894</v>
      </c>
      <c r="B911" s="45" t="n">
        <f aca="true">IF(RAND()&lt;$D$8,1,0)</f>
        <v>1</v>
      </c>
      <c r="C911" s="34" t="n">
        <f aca="true">-LN(RAND())/$D$2</f>
        <v>5.03773195380494</v>
      </c>
      <c r="D911" s="46" t="n">
        <f aca="false">D910+C911</f>
        <v>1358.57928914815</v>
      </c>
      <c r="E911" s="47" t="e">
        <f aca="false">MAX($D$3,(1+P910-VLOOKUP(VALUE(D911),$J$18:$Q910,7,TRUE()))*$D$3)</f>
        <v>#N/A</v>
      </c>
      <c r="F911" s="47" t="e">
        <f aca="false">MAX($D$4,(1+Q910-VLOOKUP(VALUE(D911),$M$18:$Q910,5,TRUE()))*$D$4)</f>
        <v>#N/A</v>
      </c>
      <c r="G911" s="48" t="n">
        <v>0.5</v>
      </c>
      <c r="H911" s="46" t="e">
        <f aca="true">IF((B911=1),(IF((F911&lt;E911),1,(IF((F911=E911),(IF(RAND()&lt;G911,1,0)),0)))),(IF((RAND()&lt;G911),1,0)))</f>
        <v>#N/A</v>
      </c>
      <c r="I911" s="46" t="e">
        <f aca="true">IF((H911=1),0,$D$3+$D$5*(RAND()-0.5))</f>
        <v>#N/A</v>
      </c>
      <c r="J911" s="46" t="e">
        <f aca="false">I911+MAX(D911,J910)</f>
        <v>#N/A</v>
      </c>
      <c r="K911" s="46" t="e">
        <f aca="false">IF((H911=0),J911-D911,0)</f>
        <v>#N/A</v>
      </c>
      <c r="L911" s="46" t="e">
        <f aca="true">IF(($H911=0),0,$D$4+$D$5*(RAND()-0.5))</f>
        <v>#N/A</v>
      </c>
      <c r="M911" s="46" t="e">
        <f aca="false">L911+MAX(D911,M910)</f>
        <v>#N/A</v>
      </c>
      <c r="N911" s="46" t="e">
        <f aca="false">IF((H911=1),M911-D911,0)</f>
        <v>#N/A</v>
      </c>
      <c r="O911" s="29" t="n">
        <v>894</v>
      </c>
      <c r="P911" s="49" t="e">
        <f aca="false">IF((Arterial=0),P910+1,P910)</f>
        <v>#N/A</v>
      </c>
      <c r="Q911" s="49" t="e">
        <f aca="false">IF((Arterial=1),Q910+1,Q910)</f>
        <v>#N/A</v>
      </c>
      <c r="R911" s="50" t="n">
        <f aca="false">IF((RESET=1),0,R911+K911)</f>
        <v>0</v>
      </c>
      <c r="S911" s="19" t="n">
        <f aca="false">IF(RESET=1,0,S911+N911)</f>
        <v>0</v>
      </c>
      <c r="T911" s="0" t="n">
        <f aca="false">IF(RESET=1,0,T911+IF(H911=0,1,0))</f>
        <v>0</v>
      </c>
      <c r="U911" s="0" t="n">
        <f aca="false">IF(RESET=1,0,U911+H911)</f>
        <v>0</v>
      </c>
      <c r="V911" s="19" t="n">
        <f aca="false">R911/(T911+0.00001)</f>
        <v>0</v>
      </c>
      <c r="W911" s="19" t="n">
        <f aca="false">S911/(U911+0.0001)</f>
        <v>0</v>
      </c>
      <c r="X911" s="47" t="e">
        <f aca="false">IF(Informed=1,K911,0)</f>
        <v>#N/A</v>
      </c>
      <c r="Y911" s="47" t="n">
        <f aca="false">IF(Informed=0,K911,0)</f>
        <v>0</v>
      </c>
      <c r="Z911" s="47" t="e">
        <f aca="false">IF(Informed=1,N911,0)</f>
        <v>#N/A</v>
      </c>
      <c r="AA911" s="47" t="n">
        <f aca="false">IF(Informed=0,N911,0)</f>
        <v>0</v>
      </c>
      <c r="AB911" s="51" t="e">
        <f aca="false">IF(Arterial=0,IF(Informed=1,1,0),0)</f>
        <v>#N/A</v>
      </c>
      <c r="AC911" s="51" t="e">
        <f aca="false">IF(Arterial=0,IF(Informed=0,1,0),0)</f>
        <v>#N/A</v>
      </c>
      <c r="AD911" s="51" t="e">
        <f aca="false">IF(Arterial=1,IF(Informed=1,1,0),0)</f>
        <v>#N/A</v>
      </c>
      <c r="AE911" s="51" t="e">
        <f aca="false">IF(Arterial=1,IF(Informed=0,1,0),0)</f>
        <v>#N/A</v>
      </c>
      <c r="AF911" s="44" t="e">
        <f aca="false">IF(AB911=1,(X911-G$1030)^2,0)</f>
        <v>#N/A</v>
      </c>
      <c r="AG911" s="44" t="e">
        <f aca="false">IF(AC911=1,(Y911-H$1030)^2,0)</f>
        <v>#N/A</v>
      </c>
      <c r="AH911" s="44" t="e">
        <f aca="false">IF(AD911=1,(Z911-I$1030)^2,0)</f>
        <v>#N/A</v>
      </c>
      <c r="AI911" s="44" t="e">
        <f aca="false">IF(AE911=1,(AA911-J$1030)^2,0)</f>
        <v>#N/A</v>
      </c>
    </row>
    <row r="912" customFormat="false" ht="12" hidden="false" customHeight="false" outlineLevel="0" collapsed="false">
      <c r="A912" s="29" t="n">
        <v>895</v>
      </c>
      <c r="B912" s="45" t="n">
        <f aca="true">IF(RAND()&lt;$D$8,1,0)</f>
        <v>1</v>
      </c>
      <c r="C912" s="34" t="n">
        <f aca="true">-LN(RAND())/$D$2</f>
        <v>2.00889742023349</v>
      </c>
      <c r="D912" s="46" t="n">
        <f aca="false">D911+C912</f>
        <v>1360.58818656838</v>
      </c>
      <c r="E912" s="47" t="e">
        <f aca="false">MAX($D$3,(1+P911-VLOOKUP(VALUE(D912),$J$18:$Q911,7,TRUE()))*$D$3)</f>
        <v>#N/A</v>
      </c>
      <c r="F912" s="47" t="e">
        <f aca="false">MAX($D$4,(1+Q911-VLOOKUP(VALUE(D912),$M$18:$Q911,5,TRUE()))*$D$4)</f>
        <v>#N/A</v>
      </c>
      <c r="G912" s="48" t="n">
        <v>0.5</v>
      </c>
      <c r="H912" s="46" t="e">
        <f aca="true">IF((B912=1),(IF((F912&lt;E912),1,(IF((F912=E912),(IF(RAND()&lt;G912,1,0)),0)))),(IF((RAND()&lt;G912),1,0)))</f>
        <v>#N/A</v>
      </c>
      <c r="I912" s="46" t="e">
        <f aca="true">IF((H912=1),0,$D$3+$D$5*(RAND()-0.5))</f>
        <v>#N/A</v>
      </c>
      <c r="J912" s="46" t="e">
        <f aca="false">I912+MAX(D912,J911)</f>
        <v>#N/A</v>
      </c>
      <c r="K912" s="46" t="e">
        <f aca="false">IF((H912=0),J912-D912,0)</f>
        <v>#N/A</v>
      </c>
      <c r="L912" s="46" t="e">
        <f aca="true">IF(($H912=0),0,$D$4+$D$5*(RAND()-0.5))</f>
        <v>#N/A</v>
      </c>
      <c r="M912" s="46" t="e">
        <f aca="false">L912+MAX(D912,M911)</f>
        <v>#N/A</v>
      </c>
      <c r="N912" s="46" t="e">
        <f aca="false">IF((H912=1),M912-D912,0)</f>
        <v>#N/A</v>
      </c>
      <c r="O912" s="29" t="n">
        <v>895</v>
      </c>
      <c r="P912" s="49" t="e">
        <f aca="false">IF((Arterial=0),P911+1,P911)</f>
        <v>#N/A</v>
      </c>
      <c r="Q912" s="49" t="e">
        <f aca="false">IF((Arterial=1),Q911+1,Q911)</f>
        <v>#N/A</v>
      </c>
      <c r="R912" s="50" t="n">
        <f aca="false">IF((RESET=1),0,R912+K912)</f>
        <v>0</v>
      </c>
      <c r="S912" s="19" t="n">
        <f aca="false">IF(RESET=1,0,S912+N912)</f>
        <v>0</v>
      </c>
      <c r="T912" s="0" t="n">
        <f aca="false">IF(RESET=1,0,T912+IF(H912=0,1,0))</f>
        <v>0</v>
      </c>
      <c r="U912" s="0" t="n">
        <f aca="false">IF(RESET=1,0,U912+H912)</f>
        <v>0</v>
      </c>
      <c r="V912" s="19" t="n">
        <f aca="false">R912/(T912+0.00001)</f>
        <v>0</v>
      </c>
      <c r="W912" s="19" t="n">
        <f aca="false">S912/(U912+0.0001)</f>
        <v>0</v>
      </c>
      <c r="X912" s="47" t="e">
        <f aca="false">IF(Informed=1,K912,0)</f>
        <v>#N/A</v>
      </c>
      <c r="Y912" s="47" t="n">
        <f aca="false">IF(Informed=0,K912,0)</f>
        <v>0</v>
      </c>
      <c r="Z912" s="47" t="e">
        <f aca="false">IF(Informed=1,N912,0)</f>
        <v>#N/A</v>
      </c>
      <c r="AA912" s="47" t="n">
        <f aca="false">IF(Informed=0,N912,0)</f>
        <v>0</v>
      </c>
      <c r="AB912" s="51" t="e">
        <f aca="false">IF(Arterial=0,IF(Informed=1,1,0),0)</f>
        <v>#N/A</v>
      </c>
      <c r="AC912" s="51" t="e">
        <f aca="false">IF(Arterial=0,IF(Informed=0,1,0),0)</f>
        <v>#N/A</v>
      </c>
      <c r="AD912" s="51" t="e">
        <f aca="false">IF(Arterial=1,IF(Informed=1,1,0),0)</f>
        <v>#N/A</v>
      </c>
      <c r="AE912" s="51" t="e">
        <f aca="false">IF(Arterial=1,IF(Informed=0,1,0),0)</f>
        <v>#N/A</v>
      </c>
      <c r="AF912" s="44" t="e">
        <f aca="false">IF(AB912=1,(X912-G$1030)^2,0)</f>
        <v>#N/A</v>
      </c>
      <c r="AG912" s="44" t="e">
        <f aca="false">IF(AC912=1,(Y912-H$1030)^2,0)</f>
        <v>#N/A</v>
      </c>
      <c r="AH912" s="44" t="e">
        <f aca="false">IF(AD912=1,(Z912-I$1030)^2,0)</f>
        <v>#N/A</v>
      </c>
      <c r="AI912" s="44" t="e">
        <f aca="false">IF(AE912=1,(AA912-J$1030)^2,0)</f>
        <v>#N/A</v>
      </c>
    </row>
    <row r="913" customFormat="false" ht="12" hidden="false" customHeight="false" outlineLevel="0" collapsed="false">
      <c r="A913" s="29" t="n">
        <v>896</v>
      </c>
      <c r="B913" s="45" t="n">
        <f aca="true">IF(RAND()&lt;$D$8,1,0)</f>
        <v>1</v>
      </c>
      <c r="C913" s="34" t="n">
        <f aca="true">-LN(RAND())/$D$2</f>
        <v>1.10761534914013</v>
      </c>
      <c r="D913" s="46" t="n">
        <f aca="false">D912+C913</f>
        <v>1361.69580191752</v>
      </c>
      <c r="E913" s="47" t="e">
        <f aca="false">MAX($D$3,(1+P912-VLOOKUP(VALUE(D913),$J$18:$Q912,7,TRUE()))*$D$3)</f>
        <v>#N/A</v>
      </c>
      <c r="F913" s="47" t="e">
        <f aca="false">MAX($D$4,(1+Q912-VLOOKUP(VALUE(D913),$M$18:$Q912,5,TRUE()))*$D$4)</f>
        <v>#N/A</v>
      </c>
      <c r="G913" s="48" t="n">
        <v>0.5</v>
      </c>
      <c r="H913" s="46" t="e">
        <f aca="true">IF((B913=1),(IF((F913&lt;E913),1,(IF((F913=E913),(IF(RAND()&lt;G913,1,0)),0)))),(IF((RAND()&lt;G913),1,0)))</f>
        <v>#N/A</v>
      </c>
      <c r="I913" s="46" t="e">
        <f aca="true">IF((H913=1),0,$D$3+$D$5*(RAND()-0.5))</f>
        <v>#N/A</v>
      </c>
      <c r="J913" s="46" t="e">
        <f aca="false">I913+MAX(D913,J912)</f>
        <v>#N/A</v>
      </c>
      <c r="K913" s="46" t="e">
        <f aca="false">IF((H913=0),J913-D913,0)</f>
        <v>#N/A</v>
      </c>
      <c r="L913" s="46" t="e">
        <f aca="true">IF(($H913=0),0,$D$4+$D$5*(RAND()-0.5))</f>
        <v>#N/A</v>
      </c>
      <c r="M913" s="46" t="e">
        <f aca="false">L913+MAX(D913,M912)</f>
        <v>#N/A</v>
      </c>
      <c r="N913" s="46" t="e">
        <f aca="false">IF((H913=1),M913-D913,0)</f>
        <v>#N/A</v>
      </c>
      <c r="O913" s="29" t="n">
        <v>896</v>
      </c>
      <c r="P913" s="49" t="e">
        <f aca="false">IF((Arterial=0),P912+1,P912)</f>
        <v>#N/A</v>
      </c>
      <c r="Q913" s="49" t="e">
        <f aca="false">IF((Arterial=1),Q912+1,Q912)</f>
        <v>#N/A</v>
      </c>
      <c r="R913" s="50" t="n">
        <f aca="false">IF((RESET=1),0,R913+K913)</f>
        <v>0</v>
      </c>
      <c r="S913" s="19" t="n">
        <f aca="false">IF(RESET=1,0,S913+N913)</f>
        <v>0</v>
      </c>
      <c r="T913" s="0" t="n">
        <f aca="false">IF(RESET=1,0,T913+IF(H913=0,1,0))</f>
        <v>0</v>
      </c>
      <c r="U913" s="0" t="n">
        <f aca="false">IF(RESET=1,0,U913+H913)</f>
        <v>0</v>
      </c>
      <c r="V913" s="19" t="n">
        <f aca="false">R913/(T913+0.00001)</f>
        <v>0</v>
      </c>
      <c r="W913" s="19" t="n">
        <f aca="false">S913/(U913+0.0001)</f>
        <v>0</v>
      </c>
      <c r="X913" s="47" t="e">
        <f aca="false">IF(Informed=1,K913,0)</f>
        <v>#N/A</v>
      </c>
      <c r="Y913" s="47" t="n">
        <f aca="false">IF(Informed=0,K913,0)</f>
        <v>0</v>
      </c>
      <c r="Z913" s="47" t="e">
        <f aca="false">IF(Informed=1,N913,0)</f>
        <v>#N/A</v>
      </c>
      <c r="AA913" s="47" t="n">
        <f aca="false">IF(Informed=0,N913,0)</f>
        <v>0</v>
      </c>
      <c r="AB913" s="51" t="e">
        <f aca="false">IF(Arterial=0,IF(Informed=1,1,0),0)</f>
        <v>#N/A</v>
      </c>
      <c r="AC913" s="51" t="e">
        <f aca="false">IF(Arterial=0,IF(Informed=0,1,0),0)</f>
        <v>#N/A</v>
      </c>
      <c r="AD913" s="51" t="e">
        <f aca="false">IF(Arterial=1,IF(Informed=1,1,0),0)</f>
        <v>#N/A</v>
      </c>
      <c r="AE913" s="51" t="e">
        <f aca="false">IF(Arterial=1,IF(Informed=0,1,0),0)</f>
        <v>#N/A</v>
      </c>
      <c r="AF913" s="44" t="e">
        <f aca="false">IF(AB913=1,(X913-G$1030)^2,0)</f>
        <v>#N/A</v>
      </c>
      <c r="AG913" s="44" t="e">
        <f aca="false">IF(AC913=1,(Y913-H$1030)^2,0)</f>
        <v>#N/A</v>
      </c>
      <c r="AH913" s="44" t="e">
        <f aca="false">IF(AD913=1,(Z913-I$1030)^2,0)</f>
        <v>#N/A</v>
      </c>
      <c r="AI913" s="44" t="e">
        <f aca="false">IF(AE913=1,(AA913-J$1030)^2,0)</f>
        <v>#N/A</v>
      </c>
    </row>
    <row r="914" customFormat="false" ht="12" hidden="false" customHeight="false" outlineLevel="0" collapsed="false">
      <c r="A914" s="29" t="n">
        <v>897</v>
      </c>
      <c r="B914" s="45" t="n">
        <f aca="true">IF(RAND()&lt;$D$8,1,0)</f>
        <v>1</v>
      </c>
      <c r="C914" s="34" t="n">
        <f aca="true">-LN(RAND())/$D$2</f>
        <v>4.7645227192205</v>
      </c>
      <c r="D914" s="46" t="n">
        <f aca="false">D913+C914</f>
        <v>1366.46032463674</v>
      </c>
      <c r="E914" s="47" t="e">
        <f aca="false">MAX($D$3,(1+P913-VLOOKUP(VALUE(D914),$J$18:$Q913,7,TRUE()))*$D$3)</f>
        <v>#N/A</v>
      </c>
      <c r="F914" s="47" t="e">
        <f aca="false">MAX($D$4,(1+Q913-VLOOKUP(VALUE(D914),$M$18:$Q913,5,TRUE()))*$D$4)</f>
        <v>#N/A</v>
      </c>
      <c r="G914" s="48" t="n">
        <v>0.5</v>
      </c>
      <c r="H914" s="46" t="e">
        <f aca="true">IF((B914=1),(IF((F914&lt;E914),1,(IF((F914=E914),(IF(RAND()&lt;G914,1,0)),0)))),(IF((RAND()&lt;G914),1,0)))</f>
        <v>#N/A</v>
      </c>
      <c r="I914" s="46" t="e">
        <f aca="true">IF((H914=1),0,$D$3+$D$5*(RAND()-0.5))</f>
        <v>#N/A</v>
      </c>
      <c r="J914" s="46" t="e">
        <f aca="false">I914+MAX(D914,J913)</f>
        <v>#N/A</v>
      </c>
      <c r="K914" s="46" t="e">
        <f aca="false">IF((H914=0),J914-D914,0)</f>
        <v>#N/A</v>
      </c>
      <c r="L914" s="46" t="e">
        <f aca="true">IF(($H914=0),0,$D$4+$D$5*(RAND()-0.5))</f>
        <v>#N/A</v>
      </c>
      <c r="M914" s="46" t="e">
        <f aca="false">L914+MAX(D914,M913)</f>
        <v>#N/A</v>
      </c>
      <c r="N914" s="46" t="e">
        <f aca="false">IF((H914=1),M914-D914,0)</f>
        <v>#N/A</v>
      </c>
      <c r="O914" s="29" t="n">
        <v>897</v>
      </c>
      <c r="P914" s="49" t="e">
        <f aca="false">IF((Arterial=0),P913+1,P913)</f>
        <v>#N/A</v>
      </c>
      <c r="Q914" s="49" t="e">
        <f aca="false">IF((Arterial=1),Q913+1,Q913)</f>
        <v>#N/A</v>
      </c>
      <c r="R914" s="50" t="n">
        <f aca="false">IF((RESET=1),0,R914+K914)</f>
        <v>0</v>
      </c>
      <c r="S914" s="19" t="n">
        <f aca="false">IF(RESET=1,0,S914+N914)</f>
        <v>0</v>
      </c>
      <c r="T914" s="0" t="n">
        <f aca="false">IF(RESET=1,0,T914+IF(H914=0,1,0))</f>
        <v>0</v>
      </c>
      <c r="U914" s="0" t="n">
        <f aca="false">IF(RESET=1,0,U914+H914)</f>
        <v>0</v>
      </c>
      <c r="V914" s="19" t="n">
        <f aca="false">R914/(T914+0.00001)</f>
        <v>0</v>
      </c>
      <c r="W914" s="19" t="n">
        <f aca="false">S914/(U914+0.0001)</f>
        <v>0</v>
      </c>
      <c r="X914" s="47" t="e">
        <f aca="false">IF(Informed=1,K914,0)</f>
        <v>#N/A</v>
      </c>
      <c r="Y914" s="47" t="n">
        <f aca="false">IF(Informed=0,K914,0)</f>
        <v>0</v>
      </c>
      <c r="Z914" s="47" t="e">
        <f aca="false">IF(Informed=1,N914,0)</f>
        <v>#N/A</v>
      </c>
      <c r="AA914" s="47" t="n">
        <f aca="false">IF(Informed=0,N914,0)</f>
        <v>0</v>
      </c>
      <c r="AB914" s="51" t="e">
        <f aca="false">IF(Arterial=0,IF(Informed=1,1,0),0)</f>
        <v>#N/A</v>
      </c>
      <c r="AC914" s="51" t="e">
        <f aca="false">IF(Arterial=0,IF(Informed=0,1,0),0)</f>
        <v>#N/A</v>
      </c>
      <c r="AD914" s="51" t="e">
        <f aca="false">IF(Arterial=1,IF(Informed=1,1,0),0)</f>
        <v>#N/A</v>
      </c>
      <c r="AE914" s="51" t="e">
        <f aca="false">IF(Arterial=1,IF(Informed=0,1,0),0)</f>
        <v>#N/A</v>
      </c>
      <c r="AF914" s="44" t="e">
        <f aca="false">IF(AB914=1,(X914-G$1030)^2,0)</f>
        <v>#N/A</v>
      </c>
      <c r="AG914" s="44" t="e">
        <f aca="false">IF(AC914=1,(Y914-H$1030)^2,0)</f>
        <v>#N/A</v>
      </c>
      <c r="AH914" s="44" t="e">
        <f aca="false">IF(AD914=1,(Z914-I$1030)^2,0)</f>
        <v>#N/A</v>
      </c>
      <c r="AI914" s="44" t="e">
        <f aca="false">IF(AE914=1,(AA914-J$1030)^2,0)</f>
        <v>#N/A</v>
      </c>
    </row>
    <row r="915" customFormat="false" ht="12" hidden="false" customHeight="false" outlineLevel="0" collapsed="false">
      <c r="A915" s="29" t="n">
        <v>898</v>
      </c>
      <c r="B915" s="45" t="n">
        <f aca="true">IF(RAND()&lt;$D$8,1,0)</f>
        <v>1</v>
      </c>
      <c r="C915" s="34" t="n">
        <f aca="true">-LN(RAND())/$D$2</f>
        <v>0.979544688459141</v>
      </c>
      <c r="D915" s="46" t="n">
        <f aca="false">D914+C915</f>
        <v>1367.4398693252</v>
      </c>
      <c r="E915" s="47" t="e">
        <f aca="false">MAX($D$3,(1+P914-VLOOKUP(VALUE(D915),$J$18:$Q914,7,TRUE()))*$D$3)</f>
        <v>#N/A</v>
      </c>
      <c r="F915" s="47" t="e">
        <f aca="false">MAX($D$4,(1+Q914-VLOOKUP(VALUE(D915),$M$18:$Q914,5,TRUE()))*$D$4)</f>
        <v>#N/A</v>
      </c>
      <c r="G915" s="48" t="n">
        <v>0.5</v>
      </c>
      <c r="H915" s="46" t="e">
        <f aca="true">IF((B915=1),(IF((F915&lt;E915),1,(IF((F915=E915),(IF(RAND()&lt;G915,1,0)),0)))),(IF((RAND()&lt;G915),1,0)))</f>
        <v>#N/A</v>
      </c>
      <c r="I915" s="46" t="e">
        <f aca="true">IF((H915=1),0,$D$3+$D$5*(RAND()-0.5))</f>
        <v>#N/A</v>
      </c>
      <c r="J915" s="46" t="e">
        <f aca="false">I915+MAX(D915,J914)</f>
        <v>#N/A</v>
      </c>
      <c r="K915" s="46" t="e">
        <f aca="false">IF((H915=0),J915-D915,0)</f>
        <v>#N/A</v>
      </c>
      <c r="L915" s="46" t="e">
        <f aca="true">IF(($H915=0),0,$D$4+$D$5*(RAND()-0.5))</f>
        <v>#N/A</v>
      </c>
      <c r="M915" s="46" t="e">
        <f aca="false">L915+MAX(D915,M914)</f>
        <v>#N/A</v>
      </c>
      <c r="N915" s="46" t="e">
        <f aca="false">IF((H915=1),M915-D915,0)</f>
        <v>#N/A</v>
      </c>
      <c r="O915" s="29" t="n">
        <v>898</v>
      </c>
      <c r="P915" s="49" t="e">
        <f aca="false">IF((Arterial=0),P914+1,P914)</f>
        <v>#N/A</v>
      </c>
      <c r="Q915" s="49" t="e">
        <f aca="false">IF((Arterial=1),Q914+1,Q914)</f>
        <v>#N/A</v>
      </c>
      <c r="R915" s="50" t="n">
        <f aca="false">IF((RESET=1),0,R915+K915)</f>
        <v>0</v>
      </c>
      <c r="S915" s="19" t="n">
        <f aca="false">IF(RESET=1,0,S915+N915)</f>
        <v>0</v>
      </c>
      <c r="T915" s="0" t="n">
        <f aca="false">IF(RESET=1,0,T915+IF(H915=0,1,0))</f>
        <v>0</v>
      </c>
      <c r="U915" s="0" t="n">
        <f aca="false">IF(RESET=1,0,U915+H915)</f>
        <v>0</v>
      </c>
      <c r="V915" s="19" t="n">
        <f aca="false">R915/(T915+0.00001)</f>
        <v>0</v>
      </c>
      <c r="W915" s="19" t="n">
        <f aca="false">S915/(U915+0.0001)</f>
        <v>0</v>
      </c>
      <c r="X915" s="47" t="e">
        <f aca="false">IF(Informed=1,K915,0)</f>
        <v>#N/A</v>
      </c>
      <c r="Y915" s="47" t="n">
        <f aca="false">IF(Informed=0,K915,0)</f>
        <v>0</v>
      </c>
      <c r="Z915" s="47" t="e">
        <f aca="false">IF(Informed=1,N915,0)</f>
        <v>#N/A</v>
      </c>
      <c r="AA915" s="47" t="n">
        <f aca="false">IF(Informed=0,N915,0)</f>
        <v>0</v>
      </c>
      <c r="AB915" s="51" t="e">
        <f aca="false">IF(Arterial=0,IF(Informed=1,1,0),0)</f>
        <v>#N/A</v>
      </c>
      <c r="AC915" s="51" t="e">
        <f aca="false">IF(Arterial=0,IF(Informed=0,1,0),0)</f>
        <v>#N/A</v>
      </c>
      <c r="AD915" s="51" t="e">
        <f aca="false">IF(Arterial=1,IF(Informed=1,1,0),0)</f>
        <v>#N/A</v>
      </c>
      <c r="AE915" s="51" t="e">
        <f aca="false">IF(Arterial=1,IF(Informed=0,1,0),0)</f>
        <v>#N/A</v>
      </c>
      <c r="AF915" s="44" t="e">
        <f aca="false">IF(AB915=1,(X915-G$1030)^2,0)</f>
        <v>#N/A</v>
      </c>
      <c r="AG915" s="44" t="e">
        <f aca="false">IF(AC915=1,(Y915-H$1030)^2,0)</f>
        <v>#N/A</v>
      </c>
      <c r="AH915" s="44" t="e">
        <f aca="false">IF(AD915=1,(Z915-I$1030)^2,0)</f>
        <v>#N/A</v>
      </c>
      <c r="AI915" s="44" t="e">
        <f aca="false">IF(AE915=1,(AA915-J$1030)^2,0)</f>
        <v>#N/A</v>
      </c>
    </row>
    <row r="916" customFormat="false" ht="12" hidden="false" customHeight="false" outlineLevel="0" collapsed="false">
      <c r="A916" s="29" t="n">
        <v>899</v>
      </c>
      <c r="B916" s="45" t="n">
        <f aca="true">IF(RAND()&lt;$D$8,1,0)</f>
        <v>1</v>
      </c>
      <c r="C916" s="34" t="n">
        <f aca="true">-LN(RAND())/$D$2</f>
        <v>0.495862738428837</v>
      </c>
      <c r="D916" s="46" t="n">
        <f aca="false">D915+C916</f>
        <v>1367.93573206363</v>
      </c>
      <c r="E916" s="47" t="e">
        <f aca="false">MAX($D$3,(1+P915-VLOOKUP(VALUE(D916),$J$18:$Q915,7,TRUE()))*$D$3)</f>
        <v>#N/A</v>
      </c>
      <c r="F916" s="47" t="e">
        <f aca="false">MAX($D$4,(1+Q915-VLOOKUP(VALUE(D916),$M$18:$Q915,5,TRUE()))*$D$4)</f>
        <v>#N/A</v>
      </c>
      <c r="G916" s="48" t="n">
        <v>0.5</v>
      </c>
      <c r="H916" s="46" t="e">
        <f aca="true">IF((B916=1),(IF((F916&lt;E916),1,(IF((F916=E916),(IF(RAND()&lt;G916,1,0)),0)))),(IF((RAND()&lt;G916),1,0)))</f>
        <v>#N/A</v>
      </c>
      <c r="I916" s="46" t="e">
        <f aca="true">IF((H916=1),0,$D$3+$D$5*(RAND()-0.5))</f>
        <v>#N/A</v>
      </c>
      <c r="J916" s="46" t="e">
        <f aca="false">I916+MAX(D916,J915)</f>
        <v>#N/A</v>
      </c>
      <c r="K916" s="46" t="e">
        <f aca="false">IF((H916=0),J916-D916,0)</f>
        <v>#N/A</v>
      </c>
      <c r="L916" s="46" t="e">
        <f aca="true">IF(($H916=0),0,$D$4+$D$5*(RAND()-0.5))</f>
        <v>#N/A</v>
      </c>
      <c r="M916" s="46" t="e">
        <f aca="false">L916+MAX(D916,M915)</f>
        <v>#N/A</v>
      </c>
      <c r="N916" s="46" t="e">
        <f aca="false">IF((H916=1),M916-D916,0)</f>
        <v>#N/A</v>
      </c>
      <c r="O916" s="29" t="n">
        <v>899</v>
      </c>
      <c r="P916" s="49" t="e">
        <f aca="false">IF((Arterial=0),P915+1,P915)</f>
        <v>#N/A</v>
      </c>
      <c r="Q916" s="49" t="e">
        <f aca="false">IF((Arterial=1),Q915+1,Q915)</f>
        <v>#N/A</v>
      </c>
      <c r="R916" s="50" t="n">
        <f aca="false">IF((RESET=1),0,R916+K916)</f>
        <v>0</v>
      </c>
      <c r="S916" s="19" t="n">
        <f aca="false">IF(RESET=1,0,S916+N916)</f>
        <v>0</v>
      </c>
      <c r="T916" s="0" t="n">
        <f aca="false">IF(RESET=1,0,T916+IF(H916=0,1,0))</f>
        <v>0</v>
      </c>
      <c r="U916" s="0" t="n">
        <f aca="false">IF(RESET=1,0,U916+H916)</f>
        <v>0</v>
      </c>
      <c r="V916" s="19" t="n">
        <f aca="false">R916/(T916+0.00001)</f>
        <v>0</v>
      </c>
      <c r="W916" s="19" t="n">
        <f aca="false">S916/(U916+0.0001)</f>
        <v>0</v>
      </c>
      <c r="X916" s="47" t="e">
        <f aca="false">IF(Informed=1,K916,0)</f>
        <v>#N/A</v>
      </c>
      <c r="Y916" s="47" t="n">
        <f aca="false">IF(Informed=0,K916,0)</f>
        <v>0</v>
      </c>
      <c r="Z916" s="47" t="e">
        <f aca="false">IF(Informed=1,N916,0)</f>
        <v>#N/A</v>
      </c>
      <c r="AA916" s="47" t="n">
        <f aca="false">IF(Informed=0,N916,0)</f>
        <v>0</v>
      </c>
      <c r="AB916" s="51" t="e">
        <f aca="false">IF(Arterial=0,IF(Informed=1,1,0),0)</f>
        <v>#N/A</v>
      </c>
      <c r="AC916" s="51" t="e">
        <f aca="false">IF(Arterial=0,IF(Informed=0,1,0),0)</f>
        <v>#N/A</v>
      </c>
      <c r="AD916" s="51" t="e">
        <f aca="false">IF(Arterial=1,IF(Informed=1,1,0),0)</f>
        <v>#N/A</v>
      </c>
      <c r="AE916" s="51" t="e">
        <f aca="false">IF(Arterial=1,IF(Informed=0,1,0),0)</f>
        <v>#N/A</v>
      </c>
      <c r="AF916" s="44" t="e">
        <f aca="false">IF(AB916=1,(X916-G$1030)^2,0)</f>
        <v>#N/A</v>
      </c>
      <c r="AG916" s="44" t="e">
        <f aca="false">IF(AC916=1,(Y916-H$1030)^2,0)</f>
        <v>#N/A</v>
      </c>
      <c r="AH916" s="44" t="e">
        <f aca="false">IF(AD916=1,(Z916-I$1030)^2,0)</f>
        <v>#N/A</v>
      </c>
      <c r="AI916" s="44" t="e">
        <f aca="false">IF(AE916=1,(AA916-J$1030)^2,0)</f>
        <v>#N/A</v>
      </c>
    </row>
    <row r="917" customFormat="false" ht="12" hidden="false" customHeight="false" outlineLevel="0" collapsed="false">
      <c r="A917" s="29" t="n">
        <v>900</v>
      </c>
      <c r="B917" s="45" t="n">
        <f aca="true">IF(RAND()&lt;$D$8,1,0)</f>
        <v>1</v>
      </c>
      <c r="C917" s="34" t="n">
        <f aca="true">-LN(RAND())/$D$2</f>
        <v>1.86086177025844</v>
      </c>
      <c r="D917" s="46" t="n">
        <f aca="false">D916+C917</f>
        <v>1369.79659383389</v>
      </c>
      <c r="E917" s="47" t="e">
        <f aca="false">MAX($D$3,(1+P916-VLOOKUP(VALUE(D917),$J$18:$Q916,7,TRUE()))*$D$3)</f>
        <v>#N/A</v>
      </c>
      <c r="F917" s="47" t="e">
        <f aca="false">MAX($D$4,(1+Q916-VLOOKUP(VALUE(D917),$M$18:$Q916,5,TRUE()))*$D$4)</f>
        <v>#N/A</v>
      </c>
      <c r="G917" s="48" t="n">
        <v>0.5</v>
      </c>
      <c r="H917" s="46" t="e">
        <f aca="true">IF((B917=1),(IF((F917&lt;E917),1,(IF((F917=E917),(IF(RAND()&lt;G917,1,0)),0)))),(IF((RAND()&lt;G917),1,0)))</f>
        <v>#N/A</v>
      </c>
      <c r="I917" s="46" t="e">
        <f aca="true">IF((H917=1),0,$D$3+$D$5*(RAND()-0.5))</f>
        <v>#N/A</v>
      </c>
      <c r="J917" s="46" t="e">
        <f aca="false">I917+MAX(D917,J916)</f>
        <v>#N/A</v>
      </c>
      <c r="K917" s="46" t="e">
        <f aca="false">IF((H917=0),J917-D917,0)</f>
        <v>#N/A</v>
      </c>
      <c r="L917" s="46" t="e">
        <f aca="true">IF(($H917=0),0,$D$4+$D$5*(RAND()-0.5))</f>
        <v>#N/A</v>
      </c>
      <c r="M917" s="46" t="e">
        <f aca="false">L917+MAX(D917,M916)</f>
        <v>#N/A</v>
      </c>
      <c r="N917" s="46" t="e">
        <f aca="false">IF((H917=1),M917-D917,0)</f>
        <v>#N/A</v>
      </c>
      <c r="O917" s="29" t="n">
        <v>900</v>
      </c>
      <c r="P917" s="49" t="e">
        <f aca="false">IF((Arterial=0),P916+1,P916)</f>
        <v>#N/A</v>
      </c>
      <c r="Q917" s="49" t="e">
        <f aca="false">IF((Arterial=1),Q916+1,Q916)</f>
        <v>#N/A</v>
      </c>
      <c r="R917" s="50" t="n">
        <f aca="false">IF((RESET=1),0,R917+K917)</f>
        <v>0</v>
      </c>
      <c r="S917" s="19" t="n">
        <f aca="false">IF(RESET=1,0,S917+N917)</f>
        <v>0</v>
      </c>
      <c r="T917" s="0" t="n">
        <f aca="false">IF(RESET=1,0,T917+IF(H917=0,1,0))</f>
        <v>0</v>
      </c>
      <c r="U917" s="0" t="n">
        <f aca="false">IF(RESET=1,0,U917+H917)</f>
        <v>0</v>
      </c>
      <c r="V917" s="19" t="n">
        <f aca="false">R917/(T917+0.00001)</f>
        <v>0</v>
      </c>
      <c r="W917" s="19" t="n">
        <f aca="false">S917/(U917+0.0001)</f>
        <v>0</v>
      </c>
      <c r="X917" s="47" t="e">
        <f aca="false">IF(Informed=1,K917,0)</f>
        <v>#N/A</v>
      </c>
      <c r="Y917" s="47" t="n">
        <f aca="false">IF(Informed=0,K917,0)</f>
        <v>0</v>
      </c>
      <c r="Z917" s="47" t="e">
        <f aca="false">IF(Informed=1,N917,0)</f>
        <v>#N/A</v>
      </c>
      <c r="AA917" s="47" t="n">
        <f aca="false">IF(Informed=0,N917,0)</f>
        <v>0</v>
      </c>
      <c r="AB917" s="51" t="e">
        <f aca="false">IF(Arterial=0,IF(Informed=1,1,0),0)</f>
        <v>#N/A</v>
      </c>
      <c r="AC917" s="51" t="e">
        <f aca="false">IF(Arterial=0,IF(Informed=0,1,0),0)</f>
        <v>#N/A</v>
      </c>
      <c r="AD917" s="51" t="e">
        <f aca="false">IF(Arterial=1,IF(Informed=1,1,0),0)</f>
        <v>#N/A</v>
      </c>
      <c r="AE917" s="51" t="e">
        <f aca="false">IF(Arterial=1,IF(Informed=0,1,0),0)</f>
        <v>#N/A</v>
      </c>
      <c r="AF917" s="44" t="e">
        <f aca="false">IF(AB917=1,(X917-G$1030)^2,0)</f>
        <v>#N/A</v>
      </c>
      <c r="AG917" s="44" t="e">
        <f aca="false">IF(AC917=1,(Y917-H$1030)^2,0)</f>
        <v>#N/A</v>
      </c>
      <c r="AH917" s="44" t="e">
        <f aca="false">IF(AD917=1,(Z917-I$1030)^2,0)</f>
        <v>#N/A</v>
      </c>
      <c r="AI917" s="44" t="e">
        <f aca="false">IF(AE917=1,(AA917-J$1030)^2,0)</f>
        <v>#N/A</v>
      </c>
    </row>
    <row r="918" customFormat="false" ht="12" hidden="false" customHeight="false" outlineLevel="0" collapsed="false">
      <c r="A918" s="29" t="n">
        <v>901</v>
      </c>
      <c r="B918" s="45" t="n">
        <f aca="true">IF(RAND()&lt;$D$8,1,0)</f>
        <v>1</v>
      </c>
      <c r="C918" s="34" t="n">
        <f aca="true">-LN(RAND())/$D$2</f>
        <v>1.27331845020639</v>
      </c>
      <c r="D918" s="46" t="n">
        <f aca="false">D917+C918</f>
        <v>1371.06991228409</v>
      </c>
      <c r="E918" s="47" t="e">
        <f aca="false">MAX($D$3,(1+P917-VLOOKUP(VALUE(D918),$J$18:$Q917,7,TRUE()))*$D$3)</f>
        <v>#N/A</v>
      </c>
      <c r="F918" s="47" t="e">
        <f aca="false">MAX($D$4,(1+Q917-VLOOKUP(VALUE(D918),$M$18:$Q917,5,TRUE()))*$D$4)</f>
        <v>#N/A</v>
      </c>
      <c r="G918" s="48" t="n">
        <v>0.5</v>
      </c>
      <c r="H918" s="46" t="e">
        <f aca="true">IF((B918=1),(IF((F918&lt;E918),1,(IF((F918=E918),(IF(RAND()&lt;G918,1,0)),0)))),(IF((RAND()&lt;G918),1,0)))</f>
        <v>#N/A</v>
      </c>
      <c r="I918" s="46" t="e">
        <f aca="true">IF((H918=1),0,$D$3+$D$5*(RAND()-0.5))</f>
        <v>#N/A</v>
      </c>
      <c r="J918" s="46" t="e">
        <f aca="false">I918+MAX(D918,J917)</f>
        <v>#N/A</v>
      </c>
      <c r="K918" s="46" t="e">
        <f aca="false">IF((H918=0),J918-D918,0)</f>
        <v>#N/A</v>
      </c>
      <c r="L918" s="46" t="e">
        <f aca="true">IF(($H918=0),0,$D$4+$D$5*(RAND()-0.5))</f>
        <v>#N/A</v>
      </c>
      <c r="M918" s="46" t="e">
        <f aca="false">L918+MAX(D918,M917)</f>
        <v>#N/A</v>
      </c>
      <c r="N918" s="46" t="e">
        <f aca="false">IF((H918=1),M918-D918,0)</f>
        <v>#N/A</v>
      </c>
      <c r="O918" s="29" t="n">
        <v>901</v>
      </c>
      <c r="P918" s="49" t="e">
        <f aca="false">IF((Arterial=0),P917+1,P917)</f>
        <v>#N/A</v>
      </c>
      <c r="Q918" s="49" t="e">
        <f aca="false">IF((Arterial=1),Q917+1,Q917)</f>
        <v>#N/A</v>
      </c>
      <c r="R918" s="50" t="n">
        <f aca="false">IF((RESET=1),0,R918+K918)</f>
        <v>0</v>
      </c>
      <c r="S918" s="19" t="n">
        <f aca="false">IF(RESET=1,0,S918+N918)</f>
        <v>0</v>
      </c>
      <c r="T918" s="0" t="n">
        <f aca="false">IF(RESET=1,0,T918+IF(H918=0,1,0))</f>
        <v>0</v>
      </c>
      <c r="U918" s="0" t="n">
        <f aca="false">IF(RESET=1,0,U918+H918)</f>
        <v>0</v>
      </c>
      <c r="V918" s="19" t="n">
        <f aca="false">R918/(T918+0.00001)</f>
        <v>0</v>
      </c>
      <c r="W918" s="19" t="n">
        <f aca="false">S918/(U918+0.0001)</f>
        <v>0</v>
      </c>
      <c r="X918" s="47" t="e">
        <f aca="false">IF(Informed=1,K918,0)</f>
        <v>#N/A</v>
      </c>
      <c r="Y918" s="47" t="n">
        <f aca="false">IF(Informed=0,K918,0)</f>
        <v>0</v>
      </c>
      <c r="Z918" s="47" t="e">
        <f aca="false">IF(Informed=1,N918,0)</f>
        <v>#N/A</v>
      </c>
      <c r="AA918" s="47" t="n">
        <f aca="false">IF(Informed=0,N918,0)</f>
        <v>0</v>
      </c>
      <c r="AB918" s="51" t="e">
        <f aca="false">IF(Arterial=0,IF(Informed=1,1,0),0)</f>
        <v>#N/A</v>
      </c>
      <c r="AC918" s="51" t="e">
        <f aca="false">IF(Arterial=0,IF(Informed=0,1,0),0)</f>
        <v>#N/A</v>
      </c>
      <c r="AD918" s="51" t="e">
        <f aca="false">IF(Arterial=1,IF(Informed=1,1,0),0)</f>
        <v>#N/A</v>
      </c>
      <c r="AE918" s="51" t="e">
        <f aca="false">IF(Arterial=1,IF(Informed=0,1,0),0)</f>
        <v>#N/A</v>
      </c>
      <c r="AF918" s="44" t="e">
        <f aca="false">IF(AB918=1,(X918-G$1030)^2,0)</f>
        <v>#N/A</v>
      </c>
      <c r="AG918" s="44" t="e">
        <f aca="false">IF(AC918=1,(Y918-H$1030)^2,0)</f>
        <v>#N/A</v>
      </c>
      <c r="AH918" s="44" t="e">
        <f aca="false">IF(AD918=1,(Z918-I$1030)^2,0)</f>
        <v>#N/A</v>
      </c>
      <c r="AI918" s="44" t="e">
        <f aca="false">IF(AE918=1,(AA918-J$1030)^2,0)</f>
        <v>#N/A</v>
      </c>
    </row>
    <row r="919" customFormat="false" ht="12" hidden="false" customHeight="false" outlineLevel="0" collapsed="false">
      <c r="A919" s="29" t="n">
        <v>902</v>
      </c>
      <c r="B919" s="45" t="n">
        <f aca="true">IF(RAND()&lt;$D$8,1,0)</f>
        <v>1</v>
      </c>
      <c r="C919" s="34" t="n">
        <f aca="true">-LN(RAND())/$D$2</f>
        <v>0.471304725584804</v>
      </c>
      <c r="D919" s="46" t="n">
        <f aca="false">D918+C919</f>
        <v>1371.54121700968</v>
      </c>
      <c r="E919" s="47" t="e">
        <f aca="false">MAX($D$3,(1+P918-VLOOKUP(VALUE(D919),$J$18:$Q918,7,TRUE()))*$D$3)</f>
        <v>#N/A</v>
      </c>
      <c r="F919" s="47" t="e">
        <f aca="false">MAX($D$4,(1+Q918-VLOOKUP(VALUE(D919),$M$18:$Q918,5,TRUE()))*$D$4)</f>
        <v>#N/A</v>
      </c>
      <c r="G919" s="48" t="n">
        <v>0.5</v>
      </c>
      <c r="H919" s="46" t="e">
        <f aca="true">IF((B919=1),(IF((F919&lt;E919),1,(IF((F919=E919),(IF(RAND()&lt;G919,1,0)),0)))),(IF((RAND()&lt;G919),1,0)))</f>
        <v>#N/A</v>
      </c>
      <c r="I919" s="46" t="e">
        <f aca="true">IF((H919=1),0,$D$3+$D$5*(RAND()-0.5))</f>
        <v>#N/A</v>
      </c>
      <c r="J919" s="46" t="e">
        <f aca="false">I919+MAX(D919,J918)</f>
        <v>#N/A</v>
      </c>
      <c r="K919" s="46" t="e">
        <f aca="false">IF((H919=0),J919-D919,0)</f>
        <v>#N/A</v>
      </c>
      <c r="L919" s="46" t="e">
        <f aca="true">IF(($H919=0),0,$D$4+$D$5*(RAND()-0.5))</f>
        <v>#N/A</v>
      </c>
      <c r="M919" s="46" t="e">
        <f aca="false">L919+MAX(D919,M918)</f>
        <v>#N/A</v>
      </c>
      <c r="N919" s="46" t="e">
        <f aca="false">IF((H919=1),M919-D919,0)</f>
        <v>#N/A</v>
      </c>
      <c r="O919" s="29" t="n">
        <v>902</v>
      </c>
      <c r="P919" s="49" t="e">
        <f aca="false">IF((Arterial=0),P918+1,P918)</f>
        <v>#N/A</v>
      </c>
      <c r="Q919" s="49" t="e">
        <f aca="false">IF((Arterial=1),Q918+1,Q918)</f>
        <v>#N/A</v>
      </c>
      <c r="R919" s="50" t="n">
        <f aca="false">IF((RESET=1),0,R919+K919)</f>
        <v>0</v>
      </c>
      <c r="S919" s="19" t="n">
        <f aca="false">IF(RESET=1,0,S919+N919)</f>
        <v>0</v>
      </c>
      <c r="T919" s="0" t="n">
        <f aca="false">IF(RESET=1,0,T919+IF(H919=0,1,0))</f>
        <v>0</v>
      </c>
      <c r="U919" s="0" t="n">
        <f aca="false">IF(RESET=1,0,U919+H919)</f>
        <v>0</v>
      </c>
      <c r="V919" s="19" t="n">
        <f aca="false">R919/(T919+0.00001)</f>
        <v>0</v>
      </c>
      <c r="W919" s="19" t="n">
        <f aca="false">S919/(U919+0.0001)</f>
        <v>0</v>
      </c>
      <c r="X919" s="47" t="e">
        <f aca="false">IF(Informed=1,K919,0)</f>
        <v>#N/A</v>
      </c>
      <c r="Y919" s="47" t="n">
        <f aca="false">IF(Informed=0,K919,0)</f>
        <v>0</v>
      </c>
      <c r="Z919" s="47" t="e">
        <f aca="false">IF(Informed=1,N919,0)</f>
        <v>#N/A</v>
      </c>
      <c r="AA919" s="47" t="n">
        <f aca="false">IF(Informed=0,N919,0)</f>
        <v>0</v>
      </c>
      <c r="AB919" s="51" t="e">
        <f aca="false">IF(Arterial=0,IF(Informed=1,1,0),0)</f>
        <v>#N/A</v>
      </c>
      <c r="AC919" s="51" t="e">
        <f aca="false">IF(Arterial=0,IF(Informed=0,1,0),0)</f>
        <v>#N/A</v>
      </c>
      <c r="AD919" s="51" t="e">
        <f aca="false">IF(Arterial=1,IF(Informed=1,1,0),0)</f>
        <v>#N/A</v>
      </c>
      <c r="AE919" s="51" t="e">
        <f aca="false">IF(Arterial=1,IF(Informed=0,1,0),0)</f>
        <v>#N/A</v>
      </c>
      <c r="AF919" s="44" t="e">
        <f aca="false">IF(AB919=1,(X919-G$1030)^2,0)</f>
        <v>#N/A</v>
      </c>
      <c r="AG919" s="44" t="e">
        <f aca="false">IF(AC919=1,(Y919-H$1030)^2,0)</f>
        <v>#N/A</v>
      </c>
      <c r="AH919" s="44" t="e">
        <f aca="false">IF(AD919=1,(Z919-I$1030)^2,0)</f>
        <v>#N/A</v>
      </c>
      <c r="AI919" s="44" t="e">
        <f aca="false">IF(AE919=1,(AA919-J$1030)^2,0)</f>
        <v>#N/A</v>
      </c>
    </row>
    <row r="920" customFormat="false" ht="12" hidden="false" customHeight="false" outlineLevel="0" collapsed="false">
      <c r="A920" s="29" t="n">
        <v>903</v>
      </c>
      <c r="B920" s="45" t="n">
        <f aca="true">IF(RAND()&lt;$D$8,1,0)</f>
        <v>1</v>
      </c>
      <c r="C920" s="34" t="n">
        <f aca="true">-LN(RAND())/$D$2</f>
        <v>4.05227057693397</v>
      </c>
      <c r="D920" s="46" t="n">
        <f aca="false">D919+C920</f>
        <v>1375.59348758661</v>
      </c>
      <c r="E920" s="47" t="e">
        <f aca="false">MAX($D$3,(1+P919-VLOOKUP(VALUE(D920),$J$18:$Q919,7,TRUE()))*$D$3)</f>
        <v>#N/A</v>
      </c>
      <c r="F920" s="47" t="e">
        <f aca="false">MAX($D$4,(1+Q919-VLOOKUP(VALUE(D920),$M$18:$Q919,5,TRUE()))*$D$4)</f>
        <v>#N/A</v>
      </c>
      <c r="G920" s="48" t="n">
        <v>0.5</v>
      </c>
      <c r="H920" s="46" t="e">
        <f aca="true">IF((B920=1),(IF((F920&lt;E920),1,(IF((F920=E920),(IF(RAND()&lt;G920,1,0)),0)))),(IF((RAND()&lt;G920),1,0)))</f>
        <v>#N/A</v>
      </c>
      <c r="I920" s="46" t="e">
        <f aca="true">IF((H920=1),0,$D$3+$D$5*(RAND()-0.5))</f>
        <v>#N/A</v>
      </c>
      <c r="J920" s="46" t="e">
        <f aca="false">I920+MAX(D920,J919)</f>
        <v>#N/A</v>
      </c>
      <c r="K920" s="46" t="e">
        <f aca="false">IF((H920=0),J920-D920,0)</f>
        <v>#N/A</v>
      </c>
      <c r="L920" s="46" t="e">
        <f aca="true">IF(($H920=0),0,$D$4+$D$5*(RAND()-0.5))</f>
        <v>#N/A</v>
      </c>
      <c r="M920" s="46" t="e">
        <f aca="false">L920+MAX(D920,M919)</f>
        <v>#N/A</v>
      </c>
      <c r="N920" s="46" t="e">
        <f aca="false">IF((H920=1),M920-D920,0)</f>
        <v>#N/A</v>
      </c>
      <c r="O920" s="29" t="n">
        <v>903</v>
      </c>
      <c r="P920" s="49" t="e">
        <f aca="false">IF((Arterial=0),P919+1,P919)</f>
        <v>#N/A</v>
      </c>
      <c r="Q920" s="49" t="e">
        <f aca="false">IF((Arterial=1),Q919+1,Q919)</f>
        <v>#N/A</v>
      </c>
      <c r="R920" s="50" t="n">
        <f aca="false">IF((RESET=1),0,R920+K920)</f>
        <v>0</v>
      </c>
      <c r="S920" s="19" t="n">
        <f aca="false">IF(RESET=1,0,S920+N920)</f>
        <v>0</v>
      </c>
      <c r="T920" s="0" t="n">
        <f aca="false">IF(RESET=1,0,T920+IF(H920=0,1,0))</f>
        <v>0</v>
      </c>
      <c r="U920" s="0" t="n">
        <f aca="false">IF(RESET=1,0,U920+H920)</f>
        <v>0</v>
      </c>
      <c r="V920" s="19" t="n">
        <f aca="false">R920/(T920+0.00001)</f>
        <v>0</v>
      </c>
      <c r="W920" s="19" t="n">
        <f aca="false">S920/(U920+0.0001)</f>
        <v>0</v>
      </c>
      <c r="X920" s="47" t="e">
        <f aca="false">IF(Informed=1,K920,0)</f>
        <v>#N/A</v>
      </c>
      <c r="Y920" s="47" t="n">
        <f aca="false">IF(Informed=0,K920,0)</f>
        <v>0</v>
      </c>
      <c r="Z920" s="47" t="e">
        <f aca="false">IF(Informed=1,N920,0)</f>
        <v>#N/A</v>
      </c>
      <c r="AA920" s="47" t="n">
        <f aca="false">IF(Informed=0,N920,0)</f>
        <v>0</v>
      </c>
      <c r="AB920" s="51" t="e">
        <f aca="false">IF(Arterial=0,IF(Informed=1,1,0),0)</f>
        <v>#N/A</v>
      </c>
      <c r="AC920" s="51" t="e">
        <f aca="false">IF(Arterial=0,IF(Informed=0,1,0),0)</f>
        <v>#N/A</v>
      </c>
      <c r="AD920" s="51" t="e">
        <f aca="false">IF(Arterial=1,IF(Informed=1,1,0),0)</f>
        <v>#N/A</v>
      </c>
      <c r="AE920" s="51" t="e">
        <f aca="false">IF(Arterial=1,IF(Informed=0,1,0),0)</f>
        <v>#N/A</v>
      </c>
      <c r="AF920" s="44" t="e">
        <f aca="false">IF(AB920=1,(X920-G$1030)^2,0)</f>
        <v>#N/A</v>
      </c>
      <c r="AG920" s="44" t="e">
        <f aca="false">IF(AC920=1,(Y920-H$1030)^2,0)</f>
        <v>#N/A</v>
      </c>
      <c r="AH920" s="44" t="e">
        <f aca="false">IF(AD920=1,(Z920-I$1030)^2,0)</f>
        <v>#N/A</v>
      </c>
      <c r="AI920" s="44" t="e">
        <f aca="false">IF(AE920=1,(AA920-J$1030)^2,0)</f>
        <v>#N/A</v>
      </c>
    </row>
    <row r="921" customFormat="false" ht="12" hidden="false" customHeight="false" outlineLevel="0" collapsed="false">
      <c r="A921" s="29" t="n">
        <v>904</v>
      </c>
      <c r="B921" s="45" t="n">
        <f aca="true">IF(RAND()&lt;$D$8,1,0)</f>
        <v>1</v>
      </c>
      <c r="C921" s="34" t="n">
        <f aca="true">-LN(RAND())/$D$2</f>
        <v>2.03760049876048</v>
      </c>
      <c r="D921" s="46" t="n">
        <f aca="false">D920+C921</f>
        <v>1377.63108808537</v>
      </c>
      <c r="E921" s="47" t="e">
        <f aca="false">MAX($D$3,(1+P920-VLOOKUP(VALUE(D921),$J$18:$Q920,7,TRUE()))*$D$3)</f>
        <v>#N/A</v>
      </c>
      <c r="F921" s="47" t="e">
        <f aca="false">MAX($D$4,(1+Q920-VLOOKUP(VALUE(D921),$M$18:$Q920,5,TRUE()))*$D$4)</f>
        <v>#N/A</v>
      </c>
      <c r="G921" s="48" t="n">
        <v>0.5</v>
      </c>
      <c r="H921" s="46" t="e">
        <f aca="true">IF((B921=1),(IF((F921&lt;E921),1,(IF((F921=E921),(IF(RAND()&lt;G921,1,0)),0)))),(IF((RAND()&lt;G921),1,0)))</f>
        <v>#N/A</v>
      </c>
      <c r="I921" s="46" t="e">
        <f aca="true">IF((H921=1),0,$D$3+$D$5*(RAND()-0.5))</f>
        <v>#N/A</v>
      </c>
      <c r="J921" s="46" t="e">
        <f aca="false">I921+MAX(D921,J920)</f>
        <v>#N/A</v>
      </c>
      <c r="K921" s="46" t="e">
        <f aca="false">IF((H921=0),J921-D921,0)</f>
        <v>#N/A</v>
      </c>
      <c r="L921" s="46" t="e">
        <f aca="true">IF(($H921=0),0,$D$4+$D$5*(RAND()-0.5))</f>
        <v>#N/A</v>
      </c>
      <c r="M921" s="46" t="e">
        <f aca="false">L921+MAX(D921,M920)</f>
        <v>#N/A</v>
      </c>
      <c r="N921" s="46" t="e">
        <f aca="false">IF((H921=1),M921-D921,0)</f>
        <v>#N/A</v>
      </c>
      <c r="O921" s="29" t="n">
        <v>904</v>
      </c>
      <c r="P921" s="49" t="e">
        <f aca="false">IF((Arterial=0),P920+1,P920)</f>
        <v>#N/A</v>
      </c>
      <c r="Q921" s="49" t="e">
        <f aca="false">IF((Arterial=1),Q920+1,Q920)</f>
        <v>#N/A</v>
      </c>
      <c r="R921" s="50" t="n">
        <f aca="false">IF((RESET=1),0,R921+K921)</f>
        <v>0</v>
      </c>
      <c r="S921" s="19" t="n">
        <f aca="false">IF(RESET=1,0,S921+N921)</f>
        <v>0</v>
      </c>
      <c r="T921" s="0" t="n">
        <f aca="false">IF(RESET=1,0,T921+IF(H921=0,1,0))</f>
        <v>0</v>
      </c>
      <c r="U921" s="0" t="n">
        <f aca="false">IF(RESET=1,0,U921+H921)</f>
        <v>0</v>
      </c>
      <c r="V921" s="19" t="n">
        <f aca="false">R921/(T921+0.00001)</f>
        <v>0</v>
      </c>
      <c r="W921" s="19" t="n">
        <f aca="false">S921/(U921+0.0001)</f>
        <v>0</v>
      </c>
      <c r="X921" s="47" t="e">
        <f aca="false">IF(Informed=1,K921,0)</f>
        <v>#N/A</v>
      </c>
      <c r="Y921" s="47" t="n">
        <f aca="false">IF(Informed=0,K921,0)</f>
        <v>0</v>
      </c>
      <c r="Z921" s="47" t="e">
        <f aca="false">IF(Informed=1,N921,0)</f>
        <v>#N/A</v>
      </c>
      <c r="AA921" s="47" t="n">
        <f aca="false">IF(Informed=0,N921,0)</f>
        <v>0</v>
      </c>
      <c r="AB921" s="51" t="e">
        <f aca="false">IF(Arterial=0,IF(Informed=1,1,0),0)</f>
        <v>#N/A</v>
      </c>
      <c r="AC921" s="51" t="e">
        <f aca="false">IF(Arterial=0,IF(Informed=0,1,0),0)</f>
        <v>#N/A</v>
      </c>
      <c r="AD921" s="51" t="e">
        <f aca="false">IF(Arterial=1,IF(Informed=1,1,0),0)</f>
        <v>#N/A</v>
      </c>
      <c r="AE921" s="51" t="e">
        <f aca="false">IF(Arterial=1,IF(Informed=0,1,0),0)</f>
        <v>#N/A</v>
      </c>
      <c r="AF921" s="44" t="e">
        <f aca="false">IF(AB921=1,(X921-G$1030)^2,0)</f>
        <v>#N/A</v>
      </c>
      <c r="AG921" s="44" t="e">
        <f aca="false">IF(AC921=1,(Y921-H$1030)^2,0)</f>
        <v>#N/A</v>
      </c>
      <c r="AH921" s="44" t="e">
        <f aca="false">IF(AD921=1,(Z921-I$1030)^2,0)</f>
        <v>#N/A</v>
      </c>
      <c r="AI921" s="44" t="e">
        <f aca="false">IF(AE921=1,(AA921-J$1030)^2,0)</f>
        <v>#N/A</v>
      </c>
    </row>
    <row r="922" customFormat="false" ht="12" hidden="false" customHeight="false" outlineLevel="0" collapsed="false">
      <c r="A922" s="29" t="n">
        <v>905</v>
      </c>
      <c r="B922" s="45" t="n">
        <f aca="true">IF(RAND()&lt;$D$8,1,0)</f>
        <v>1</v>
      </c>
      <c r="C922" s="34" t="n">
        <f aca="true">-LN(RAND())/$D$2</f>
        <v>3.32881712893166</v>
      </c>
      <c r="D922" s="46" t="n">
        <f aca="false">D921+C922</f>
        <v>1380.9599052143</v>
      </c>
      <c r="E922" s="47" t="e">
        <f aca="false">MAX($D$3,(1+P921-VLOOKUP(VALUE(D922),$J$18:$Q921,7,TRUE()))*$D$3)</f>
        <v>#N/A</v>
      </c>
      <c r="F922" s="47" t="e">
        <f aca="false">MAX($D$4,(1+Q921-VLOOKUP(VALUE(D922),$M$18:$Q921,5,TRUE()))*$D$4)</f>
        <v>#N/A</v>
      </c>
      <c r="G922" s="48" t="n">
        <v>0.5</v>
      </c>
      <c r="H922" s="46" t="e">
        <f aca="true">IF((B922=1),(IF((F922&lt;E922),1,(IF((F922=E922),(IF(RAND()&lt;G922,1,0)),0)))),(IF((RAND()&lt;G922),1,0)))</f>
        <v>#N/A</v>
      </c>
      <c r="I922" s="46" t="e">
        <f aca="true">IF((H922=1),0,$D$3+$D$5*(RAND()-0.5))</f>
        <v>#N/A</v>
      </c>
      <c r="J922" s="46" t="e">
        <f aca="false">I922+MAX(D922,J921)</f>
        <v>#N/A</v>
      </c>
      <c r="K922" s="46" t="e">
        <f aca="false">IF((H922=0),J922-D922,0)</f>
        <v>#N/A</v>
      </c>
      <c r="L922" s="46" t="e">
        <f aca="true">IF(($H922=0),0,$D$4+$D$5*(RAND()-0.5))</f>
        <v>#N/A</v>
      </c>
      <c r="M922" s="46" t="e">
        <f aca="false">L922+MAX(D922,M921)</f>
        <v>#N/A</v>
      </c>
      <c r="N922" s="46" t="e">
        <f aca="false">IF((H922=1),M922-D922,0)</f>
        <v>#N/A</v>
      </c>
      <c r="O922" s="29" t="n">
        <v>905</v>
      </c>
      <c r="P922" s="49" t="e">
        <f aca="false">IF((Arterial=0),P921+1,P921)</f>
        <v>#N/A</v>
      </c>
      <c r="Q922" s="49" t="e">
        <f aca="false">IF((Arterial=1),Q921+1,Q921)</f>
        <v>#N/A</v>
      </c>
      <c r="R922" s="50" t="n">
        <f aca="false">IF((RESET=1),0,R922+K922)</f>
        <v>0</v>
      </c>
      <c r="S922" s="19" t="n">
        <f aca="false">IF(RESET=1,0,S922+N922)</f>
        <v>0</v>
      </c>
      <c r="T922" s="0" t="n">
        <f aca="false">IF(RESET=1,0,T922+IF(H922=0,1,0))</f>
        <v>0</v>
      </c>
      <c r="U922" s="0" t="n">
        <f aca="false">IF(RESET=1,0,U922+H922)</f>
        <v>0</v>
      </c>
      <c r="V922" s="19" t="n">
        <f aca="false">R922/(T922+0.00001)</f>
        <v>0</v>
      </c>
      <c r="W922" s="19" t="n">
        <f aca="false">S922/(U922+0.0001)</f>
        <v>0</v>
      </c>
      <c r="X922" s="47" t="e">
        <f aca="false">IF(Informed=1,K922,0)</f>
        <v>#N/A</v>
      </c>
      <c r="Y922" s="47" t="n">
        <f aca="false">IF(Informed=0,K922,0)</f>
        <v>0</v>
      </c>
      <c r="Z922" s="47" t="e">
        <f aca="false">IF(Informed=1,N922,0)</f>
        <v>#N/A</v>
      </c>
      <c r="AA922" s="47" t="n">
        <f aca="false">IF(Informed=0,N922,0)</f>
        <v>0</v>
      </c>
      <c r="AB922" s="51" t="e">
        <f aca="false">IF(Arterial=0,IF(Informed=1,1,0),0)</f>
        <v>#N/A</v>
      </c>
      <c r="AC922" s="51" t="e">
        <f aca="false">IF(Arterial=0,IF(Informed=0,1,0),0)</f>
        <v>#N/A</v>
      </c>
      <c r="AD922" s="51" t="e">
        <f aca="false">IF(Arterial=1,IF(Informed=1,1,0),0)</f>
        <v>#N/A</v>
      </c>
      <c r="AE922" s="51" t="e">
        <f aca="false">IF(Arterial=1,IF(Informed=0,1,0),0)</f>
        <v>#N/A</v>
      </c>
      <c r="AF922" s="44" t="e">
        <f aca="false">IF(AB922=1,(X922-G$1030)^2,0)</f>
        <v>#N/A</v>
      </c>
      <c r="AG922" s="44" t="e">
        <f aca="false">IF(AC922=1,(Y922-H$1030)^2,0)</f>
        <v>#N/A</v>
      </c>
      <c r="AH922" s="44" t="e">
        <f aca="false">IF(AD922=1,(Z922-I$1030)^2,0)</f>
        <v>#N/A</v>
      </c>
      <c r="AI922" s="44" t="e">
        <f aca="false">IF(AE922=1,(AA922-J$1030)^2,0)</f>
        <v>#N/A</v>
      </c>
    </row>
    <row r="923" customFormat="false" ht="12" hidden="false" customHeight="false" outlineLevel="0" collapsed="false">
      <c r="A923" s="29" t="n">
        <v>906</v>
      </c>
      <c r="B923" s="45" t="n">
        <f aca="true">IF(RAND()&lt;$D$8,1,0)</f>
        <v>1</v>
      </c>
      <c r="C923" s="34" t="n">
        <f aca="true">-LN(RAND())/$D$2</f>
        <v>1.37200335923318</v>
      </c>
      <c r="D923" s="46" t="n">
        <f aca="false">D922+C923</f>
        <v>1382.33190857354</v>
      </c>
      <c r="E923" s="47" t="e">
        <f aca="false">MAX($D$3,(1+P922-VLOOKUP(VALUE(D923),$J$18:$Q922,7,TRUE()))*$D$3)</f>
        <v>#N/A</v>
      </c>
      <c r="F923" s="47" t="e">
        <f aca="false">MAX($D$4,(1+Q922-VLOOKUP(VALUE(D923),$M$18:$Q922,5,TRUE()))*$D$4)</f>
        <v>#N/A</v>
      </c>
      <c r="G923" s="48" t="n">
        <v>0.5</v>
      </c>
      <c r="H923" s="46" t="e">
        <f aca="true">IF((B923=1),(IF((F923&lt;E923),1,(IF((F923=E923),(IF(RAND()&lt;G923,1,0)),0)))),(IF((RAND()&lt;G923),1,0)))</f>
        <v>#N/A</v>
      </c>
      <c r="I923" s="46" t="e">
        <f aca="true">IF((H923=1),0,$D$3+$D$5*(RAND()-0.5))</f>
        <v>#N/A</v>
      </c>
      <c r="J923" s="46" t="e">
        <f aca="false">I923+MAX(D923,J922)</f>
        <v>#N/A</v>
      </c>
      <c r="K923" s="46" t="e">
        <f aca="false">IF((H923=0),J923-D923,0)</f>
        <v>#N/A</v>
      </c>
      <c r="L923" s="46" t="e">
        <f aca="true">IF(($H923=0),0,$D$4+$D$5*(RAND()-0.5))</f>
        <v>#N/A</v>
      </c>
      <c r="M923" s="46" t="e">
        <f aca="false">L923+MAX(D923,M922)</f>
        <v>#N/A</v>
      </c>
      <c r="N923" s="46" t="e">
        <f aca="false">IF((H923=1),M923-D923,0)</f>
        <v>#N/A</v>
      </c>
      <c r="O923" s="29" t="n">
        <v>906</v>
      </c>
      <c r="P923" s="49" t="e">
        <f aca="false">IF((Arterial=0),P922+1,P922)</f>
        <v>#N/A</v>
      </c>
      <c r="Q923" s="49" t="e">
        <f aca="false">IF((Arterial=1),Q922+1,Q922)</f>
        <v>#N/A</v>
      </c>
      <c r="R923" s="50" t="n">
        <f aca="false">IF((RESET=1),0,R923+K923)</f>
        <v>0</v>
      </c>
      <c r="S923" s="19" t="n">
        <f aca="false">IF(RESET=1,0,S923+N923)</f>
        <v>0</v>
      </c>
      <c r="T923" s="0" t="n">
        <f aca="false">IF(RESET=1,0,T923+IF(H923=0,1,0))</f>
        <v>0</v>
      </c>
      <c r="U923" s="0" t="n">
        <f aca="false">IF(RESET=1,0,U923+H923)</f>
        <v>0</v>
      </c>
      <c r="V923" s="19" t="n">
        <f aca="false">R923/(T923+0.00001)</f>
        <v>0</v>
      </c>
      <c r="W923" s="19" t="n">
        <f aca="false">S923/(U923+0.0001)</f>
        <v>0</v>
      </c>
      <c r="X923" s="47" t="e">
        <f aca="false">IF(Informed=1,K923,0)</f>
        <v>#N/A</v>
      </c>
      <c r="Y923" s="47" t="n">
        <f aca="false">IF(Informed=0,K923,0)</f>
        <v>0</v>
      </c>
      <c r="Z923" s="47" t="e">
        <f aca="false">IF(Informed=1,N923,0)</f>
        <v>#N/A</v>
      </c>
      <c r="AA923" s="47" t="n">
        <f aca="false">IF(Informed=0,N923,0)</f>
        <v>0</v>
      </c>
      <c r="AB923" s="51" t="e">
        <f aca="false">IF(Arterial=0,IF(Informed=1,1,0),0)</f>
        <v>#N/A</v>
      </c>
      <c r="AC923" s="51" t="e">
        <f aca="false">IF(Arterial=0,IF(Informed=0,1,0),0)</f>
        <v>#N/A</v>
      </c>
      <c r="AD923" s="51" t="e">
        <f aca="false">IF(Arterial=1,IF(Informed=1,1,0),0)</f>
        <v>#N/A</v>
      </c>
      <c r="AE923" s="51" t="e">
        <f aca="false">IF(Arterial=1,IF(Informed=0,1,0),0)</f>
        <v>#N/A</v>
      </c>
      <c r="AF923" s="44" t="e">
        <f aca="false">IF(AB923=1,(X923-G$1030)^2,0)</f>
        <v>#N/A</v>
      </c>
      <c r="AG923" s="44" t="e">
        <f aca="false">IF(AC923=1,(Y923-H$1030)^2,0)</f>
        <v>#N/A</v>
      </c>
      <c r="AH923" s="44" t="e">
        <f aca="false">IF(AD923=1,(Z923-I$1030)^2,0)</f>
        <v>#N/A</v>
      </c>
      <c r="AI923" s="44" t="e">
        <f aca="false">IF(AE923=1,(AA923-J$1030)^2,0)</f>
        <v>#N/A</v>
      </c>
    </row>
    <row r="924" customFormat="false" ht="12" hidden="false" customHeight="false" outlineLevel="0" collapsed="false">
      <c r="A924" s="29" t="n">
        <v>907</v>
      </c>
      <c r="B924" s="45" t="n">
        <f aca="true">IF(RAND()&lt;$D$8,1,0)</f>
        <v>1</v>
      </c>
      <c r="C924" s="34" t="n">
        <f aca="true">-LN(RAND())/$D$2</f>
        <v>1.70474456588102</v>
      </c>
      <c r="D924" s="46" t="n">
        <f aca="false">D923+C924</f>
        <v>1384.03665313942</v>
      </c>
      <c r="E924" s="47" t="e">
        <f aca="false">MAX($D$3,(1+P923-VLOOKUP(VALUE(D924),$J$18:$Q923,7,TRUE()))*$D$3)</f>
        <v>#N/A</v>
      </c>
      <c r="F924" s="47" t="e">
        <f aca="false">MAX($D$4,(1+Q923-VLOOKUP(VALUE(D924),$M$18:$Q923,5,TRUE()))*$D$4)</f>
        <v>#N/A</v>
      </c>
      <c r="G924" s="48" t="n">
        <v>0.5</v>
      </c>
      <c r="H924" s="46" t="e">
        <f aca="true">IF((B924=1),(IF((F924&lt;E924),1,(IF((F924=E924),(IF(RAND()&lt;G924,1,0)),0)))),(IF((RAND()&lt;G924),1,0)))</f>
        <v>#N/A</v>
      </c>
      <c r="I924" s="46" t="e">
        <f aca="true">IF((H924=1),0,$D$3+$D$5*(RAND()-0.5))</f>
        <v>#N/A</v>
      </c>
      <c r="J924" s="46" t="e">
        <f aca="false">I924+MAX(D924,J923)</f>
        <v>#N/A</v>
      </c>
      <c r="K924" s="46" t="e">
        <f aca="false">IF((H924=0),J924-D924,0)</f>
        <v>#N/A</v>
      </c>
      <c r="L924" s="46" t="e">
        <f aca="true">IF(($H924=0),0,$D$4+$D$5*(RAND()-0.5))</f>
        <v>#N/A</v>
      </c>
      <c r="M924" s="46" t="e">
        <f aca="false">L924+MAX(D924,M923)</f>
        <v>#N/A</v>
      </c>
      <c r="N924" s="46" t="e">
        <f aca="false">IF((H924=1),M924-D924,0)</f>
        <v>#N/A</v>
      </c>
      <c r="O924" s="29" t="n">
        <v>907</v>
      </c>
      <c r="P924" s="49" t="e">
        <f aca="false">IF((Arterial=0),P923+1,P923)</f>
        <v>#N/A</v>
      </c>
      <c r="Q924" s="49" t="e">
        <f aca="false">IF((Arterial=1),Q923+1,Q923)</f>
        <v>#N/A</v>
      </c>
      <c r="R924" s="50" t="n">
        <f aca="false">IF((RESET=1),0,R924+K924)</f>
        <v>0</v>
      </c>
      <c r="S924" s="19" t="n">
        <f aca="false">IF(RESET=1,0,S924+N924)</f>
        <v>0</v>
      </c>
      <c r="T924" s="0" t="n">
        <f aca="false">IF(RESET=1,0,T924+IF(H924=0,1,0))</f>
        <v>0</v>
      </c>
      <c r="U924" s="0" t="n">
        <f aca="false">IF(RESET=1,0,U924+H924)</f>
        <v>0</v>
      </c>
      <c r="V924" s="19" t="n">
        <f aca="false">R924/(T924+0.00001)</f>
        <v>0</v>
      </c>
      <c r="W924" s="19" t="n">
        <f aca="false">S924/(U924+0.0001)</f>
        <v>0</v>
      </c>
      <c r="X924" s="47" t="e">
        <f aca="false">IF(Informed=1,K924,0)</f>
        <v>#N/A</v>
      </c>
      <c r="Y924" s="47" t="n">
        <f aca="false">IF(Informed=0,K924,0)</f>
        <v>0</v>
      </c>
      <c r="Z924" s="47" t="e">
        <f aca="false">IF(Informed=1,N924,0)</f>
        <v>#N/A</v>
      </c>
      <c r="AA924" s="47" t="n">
        <f aca="false">IF(Informed=0,N924,0)</f>
        <v>0</v>
      </c>
      <c r="AB924" s="51" t="e">
        <f aca="false">IF(Arterial=0,IF(Informed=1,1,0),0)</f>
        <v>#N/A</v>
      </c>
      <c r="AC924" s="51" t="e">
        <f aca="false">IF(Arterial=0,IF(Informed=0,1,0),0)</f>
        <v>#N/A</v>
      </c>
      <c r="AD924" s="51" t="e">
        <f aca="false">IF(Arterial=1,IF(Informed=1,1,0),0)</f>
        <v>#N/A</v>
      </c>
      <c r="AE924" s="51" t="e">
        <f aca="false">IF(Arterial=1,IF(Informed=0,1,0),0)</f>
        <v>#N/A</v>
      </c>
      <c r="AF924" s="44" t="e">
        <f aca="false">IF(AB924=1,(X924-G$1030)^2,0)</f>
        <v>#N/A</v>
      </c>
      <c r="AG924" s="44" t="e">
        <f aca="false">IF(AC924=1,(Y924-H$1030)^2,0)</f>
        <v>#N/A</v>
      </c>
      <c r="AH924" s="44" t="e">
        <f aca="false">IF(AD924=1,(Z924-I$1030)^2,0)</f>
        <v>#N/A</v>
      </c>
      <c r="AI924" s="44" t="e">
        <f aca="false">IF(AE924=1,(AA924-J$1030)^2,0)</f>
        <v>#N/A</v>
      </c>
    </row>
    <row r="925" customFormat="false" ht="12" hidden="false" customHeight="false" outlineLevel="0" collapsed="false">
      <c r="A925" s="29" t="n">
        <v>908</v>
      </c>
      <c r="B925" s="45" t="n">
        <f aca="true">IF(RAND()&lt;$D$8,1,0)</f>
        <v>1</v>
      </c>
      <c r="C925" s="34" t="n">
        <f aca="true">-LN(RAND())/$D$2</f>
        <v>0.0937979163023329</v>
      </c>
      <c r="D925" s="46" t="n">
        <f aca="false">D924+C925</f>
        <v>1384.13045105572</v>
      </c>
      <c r="E925" s="47" t="e">
        <f aca="false">MAX($D$3,(1+P924-VLOOKUP(VALUE(D925),$J$18:$Q924,7,TRUE()))*$D$3)</f>
        <v>#N/A</v>
      </c>
      <c r="F925" s="47" t="e">
        <f aca="false">MAX($D$4,(1+Q924-VLOOKUP(VALUE(D925),$M$18:$Q924,5,TRUE()))*$D$4)</f>
        <v>#N/A</v>
      </c>
      <c r="G925" s="48" t="n">
        <v>0.5</v>
      </c>
      <c r="H925" s="46" t="e">
        <f aca="true">IF((B925=1),(IF((F925&lt;E925),1,(IF((F925=E925),(IF(RAND()&lt;G925,1,0)),0)))),(IF((RAND()&lt;G925),1,0)))</f>
        <v>#N/A</v>
      </c>
      <c r="I925" s="46" t="e">
        <f aca="true">IF((H925=1),0,$D$3+$D$5*(RAND()-0.5))</f>
        <v>#N/A</v>
      </c>
      <c r="J925" s="46" t="e">
        <f aca="false">I925+MAX(D925,J924)</f>
        <v>#N/A</v>
      </c>
      <c r="K925" s="46" t="e">
        <f aca="false">IF((H925=0),J925-D925,0)</f>
        <v>#N/A</v>
      </c>
      <c r="L925" s="46" t="e">
        <f aca="true">IF(($H925=0),0,$D$4+$D$5*(RAND()-0.5))</f>
        <v>#N/A</v>
      </c>
      <c r="M925" s="46" t="e">
        <f aca="false">L925+MAX(D925,M924)</f>
        <v>#N/A</v>
      </c>
      <c r="N925" s="46" t="e">
        <f aca="false">IF((H925=1),M925-D925,0)</f>
        <v>#N/A</v>
      </c>
      <c r="O925" s="29" t="n">
        <v>908</v>
      </c>
      <c r="P925" s="49" t="e">
        <f aca="false">IF((Arterial=0),P924+1,P924)</f>
        <v>#N/A</v>
      </c>
      <c r="Q925" s="49" t="e">
        <f aca="false">IF((Arterial=1),Q924+1,Q924)</f>
        <v>#N/A</v>
      </c>
      <c r="R925" s="50" t="n">
        <f aca="false">IF((RESET=1),0,R925+K925)</f>
        <v>0</v>
      </c>
      <c r="S925" s="19" t="n">
        <f aca="false">IF(RESET=1,0,S925+N925)</f>
        <v>0</v>
      </c>
      <c r="T925" s="0" t="n">
        <f aca="false">IF(RESET=1,0,T925+IF(H925=0,1,0))</f>
        <v>0</v>
      </c>
      <c r="U925" s="0" t="n">
        <f aca="false">IF(RESET=1,0,U925+H925)</f>
        <v>0</v>
      </c>
      <c r="V925" s="19" t="n">
        <f aca="false">R925/(T925+0.00001)</f>
        <v>0</v>
      </c>
      <c r="W925" s="19" t="n">
        <f aca="false">S925/(U925+0.0001)</f>
        <v>0</v>
      </c>
      <c r="X925" s="47" t="e">
        <f aca="false">IF(Informed=1,K925,0)</f>
        <v>#N/A</v>
      </c>
      <c r="Y925" s="47" t="n">
        <f aca="false">IF(Informed=0,K925,0)</f>
        <v>0</v>
      </c>
      <c r="Z925" s="47" t="e">
        <f aca="false">IF(Informed=1,N925,0)</f>
        <v>#N/A</v>
      </c>
      <c r="AA925" s="47" t="n">
        <f aca="false">IF(Informed=0,N925,0)</f>
        <v>0</v>
      </c>
      <c r="AB925" s="51" t="e">
        <f aca="false">IF(Arterial=0,IF(Informed=1,1,0),0)</f>
        <v>#N/A</v>
      </c>
      <c r="AC925" s="51" t="e">
        <f aca="false">IF(Arterial=0,IF(Informed=0,1,0),0)</f>
        <v>#N/A</v>
      </c>
      <c r="AD925" s="51" t="e">
        <f aca="false">IF(Arterial=1,IF(Informed=1,1,0),0)</f>
        <v>#N/A</v>
      </c>
      <c r="AE925" s="51" t="e">
        <f aca="false">IF(Arterial=1,IF(Informed=0,1,0),0)</f>
        <v>#N/A</v>
      </c>
      <c r="AF925" s="44" t="e">
        <f aca="false">IF(AB925=1,(X925-G$1030)^2,0)</f>
        <v>#N/A</v>
      </c>
      <c r="AG925" s="44" t="e">
        <f aca="false">IF(AC925=1,(Y925-H$1030)^2,0)</f>
        <v>#N/A</v>
      </c>
      <c r="AH925" s="44" t="e">
        <f aca="false">IF(AD925=1,(Z925-I$1030)^2,0)</f>
        <v>#N/A</v>
      </c>
      <c r="AI925" s="44" t="e">
        <f aca="false">IF(AE925=1,(AA925-J$1030)^2,0)</f>
        <v>#N/A</v>
      </c>
    </row>
    <row r="926" customFormat="false" ht="12" hidden="false" customHeight="false" outlineLevel="0" collapsed="false">
      <c r="A926" s="29" t="n">
        <v>909</v>
      </c>
      <c r="B926" s="45" t="n">
        <f aca="true">IF(RAND()&lt;$D$8,1,0)</f>
        <v>1</v>
      </c>
      <c r="C926" s="34" t="n">
        <f aca="true">-LN(RAND())/$D$2</f>
        <v>1.73279664140905</v>
      </c>
      <c r="D926" s="46" t="n">
        <f aca="false">D925+C926</f>
        <v>1385.86324769713</v>
      </c>
      <c r="E926" s="47" t="e">
        <f aca="false">MAX($D$3,(1+P925-VLOOKUP(VALUE(D926),$J$18:$Q925,7,TRUE()))*$D$3)</f>
        <v>#N/A</v>
      </c>
      <c r="F926" s="47" t="e">
        <f aca="false">MAX($D$4,(1+Q925-VLOOKUP(VALUE(D926),$M$18:$Q925,5,TRUE()))*$D$4)</f>
        <v>#N/A</v>
      </c>
      <c r="G926" s="48" t="n">
        <v>0.5</v>
      </c>
      <c r="H926" s="46" t="e">
        <f aca="true">IF((B926=1),(IF((F926&lt;E926),1,(IF((F926=E926),(IF(RAND()&lt;G926,1,0)),0)))),(IF((RAND()&lt;G926),1,0)))</f>
        <v>#N/A</v>
      </c>
      <c r="I926" s="46" t="e">
        <f aca="true">IF((H926=1),0,$D$3+$D$5*(RAND()-0.5))</f>
        <v>#N/A</v>
      </c>
      <c r="J926" s="46" t="e">
        <f aca="false">I926+MAX(D926,J925)</f>
        <v>#N/A</v>
      </c>
      <c r="K926" s="46" t="e">
        <f aca="false">IF((H926=0),J926-D926,0)</f>
        <v>#N/A</v>
      </c>
      <c r="L926" s="46" t="e">
        <f aca="true">IF(($H926=0),0,$D$4+$D$5*(RAND()-0.5))</f>
        <v>#N/A</v>
      </c>
      <c r="M926" s="46" t="e">
        <f aca="false">L926+MAX(D926,M925)</f>
        <v>#N/A</v>
      </c>
      <c r="N926" s="46" t="e">
        <f aca="false">IF((H926=1),M926-D926,0)</f>
        <v>#N/A</v>
      </c>
      <c r="O926" s="29" t="n">
        <v>909</v>
      </c>
      <c r="P926" s="49" t="e">
        <f aca="false">IF((Arterial=0),P925+1,P925)</f>
        <v>#N/A</v>
      </c>
      <c r="Q926" s="49" t="e">
        <f aca="false">IF((Arterial=1),Q925+1,Q925)</f>
        <v>#N/A</v>
      </c>
      <c r="R926" s="50" t="n">
        <f aca="false">IF((RESET=1),0,R926+K926)</f>
        <v>0</v>
      </c>
      <c r="S926" s="19" t="n">
        <f aca="false">IF(RESET=1,0,S926+N926)</f>
        <v>0</v>
      </c>
      <c r="T926" s="0" t="n">
        <f aca="false">IF(RESET=1,0,T926+IF(H926=0,1,0))</f>
        <v>0</v>
      </c>
      <c r="U926" s="0" t="n">
        <f aca="false">IF(RESET=1,0,U926+H926)</f>
        <v>0</v>
      </c>
      <c r="V926" s="19" t="n">
        <f aca="false">R926/(T926+0.00001)</f>
        <v>0</v>
      </c>
      <c r="W926" s="19" t="n">
        <f aca="false">S926/(U926+0.0001)</f>
        <v>0</v>
      </c>
      <c r="X926" s="47" t="e">
        <f aca="false">IF(Informed=1,K926,0)</f>
        <v>#N/A</v>
      </c>
      <c r="Y926" s="47" t="n">
        <f aca="false">IF(Informed=0,K926,0)</f>
        <v>0</v>
      </c>
      <c r="Z926" s="47" t="e">
        <f aca="false">IF(Informed=1,N926,0)</f>
        <v>#N/A</v>
      </c>
      <c r="AA926" s="47" t="n">
        <f aca="false">IF(Informed=0,N926,0)</f>
        <v>0</v>
      </c>
      <c r="AB926" s="51" t="e">
        <f aca="false">IF(Arterial=0,IF(Informed=1,1,0),0)</f>
        <v>#N/A</v>
      </c>
      <c r="AC926" s="51" t="e">
        <f aca="false">IF(Arterial=0,IF(Informed=0,1,0),0)</f>
        <v>#N/A</v>
      </c>
      <c r="AD926" s="51" t="e">
        <f aca="false">IF(Arterial=1,IF(Informed=1,1,0),0)</f>
        <v>#N/A</v>
      </c>
      <c r="AE926" s="51" t="e">
        <f aca="false">IF(Arterial=1,IF(Informed=0,1,0),0)</f>
        <v>#N/A</v>
      </c>
      <c r="AF926" s="44" t="e">
        <f aca="false">IF(AB926=1,(X926-G$1030)^2,0)</f>
        <v>#N/A</v>
      </c>
      <c r="AG926" s="44" t="e">
        <f aca="false">IF(AC926=1,(Y926-H$1030)^2,0)</f>
        <v>#N/A</v>
      </c>
      <c r="AH926" s="44" t="e">
        <f aca="false">IF(AD926=1,(Z926-I$1030)^2,0)</f>
        <v>#N/A</v>
      </c>
      <c r="AI926" s="44" t="e">
        <f aca="false">IF(AE926=1,(AA926-J$1030)^2,0)</f>
        <v>#N/A</v>
      </c>
    </row>
    <row r="927" customFormat="false" ht="12" hidden="false" customHeight="false" outlineLevel="0" collapsed="false">
      <c r="A927" s="29" t="n">
        <v>910</v>
      </c>
      <c r="B927" s="45" t="n">
        <f aca="true">IF(RAND()&lt;$D$8,1,0)</f>
        <v>1</v>
      </c>
      <c r="C927" s="34" t="n">
        <f aca="true">-LN(RAND())/$D$2</f>
        <v>0.748663986910861</v>
      </c>
      <c r="D927" s="46" t="n">
        <f aca="false">D926+C927</f>
        <v>1386.61191168404</v>
      </c>
      <c r="E927" s="47" t="e">
        <f aca="false">MAX($D$3,(1+P926-VLOOKUP(VALUE(D927),$J$18:$Q926,7,TRUE()))*$D$3)</f>
        <v>#N/A</v>
      </c>
      <c r="F927" s="47" t="e">
        <f aca="false">MAX($D$4,(1+Q926-VLOOKUP(VALUE(D927),$M$18:$Q926,5,TRUE()))*$D$4)</f>
        <v>#N/A</v>
      </c>
      <c r="G927" s="48" t="n">
        <v>0.5</v>
      </c>
      <c r="H927" s="46" t="e">
        <f aca="true">IF((B927=1),(IF((F927&lt;E927),1,(IF((F927=E927),(IF(RAND()&lt;G927,1,0)),0)))),(IF((RAND()&lt;G927),1,0)))</f>
        <v>#N/A</v>
      </c>
      <c r="I927" s="46" t="e">
        <f aca="true">IF((H927=1),0,$D$3+$D$5*(RAND()-0.5))</f>
        <v>#N/A</v>
      </c>
      <c r="J927" s="46" t="e">
        <f aca="false">I927+MAX(D927,J926)</f>
        <v>#N/A</v>
      </c>
      <c r="K927" s="46" t="e">
        <f aca="false">IF((H927=0),J927-D927,0)</f>
        <v>#N/A</v>
      </c>
      <c r="L927" s="46" t="e">
        <f aca="true">IF(($H927=0),0,$D$4+$D$5*(RAND()-0.5))</f>
        <v>#N/A</v>
      </c>
      <c r="M927" s="46" t="e">
        <f aca="false">L927+MAX(D927,M926)</f>
        <v>#N/A</v>
      </c>
      <c r="N927" s="46" t="e">
        <f aca="false">IF((H927=1),M927-D927,0)</f>
        <v>#N/A</v>
      </c>
      <c r="O927" s="29" t="n">
        <v>910</v>
      </c>
      <c r="P927" s="49" t="e">
        <f aca="false">IF((Arterial=0),P926+1,P926)</f>
        <v>#N/A</v>
      </c>
      <c r="Q927" s="49" t="e">
        <f aca="false">IF((Arterial=1),Q926+1,Q926)</f>
        <v>#N/A</v>
      </c>
      <c r="R927" s="50" t="n">
        <f aca="false">IF((RESET=1),0,R927+K927)</f>
        <v>0</v>
      </c>
      <c r="S927" s="19" t="n">
        <f aca="false">IF(RESET=1,0,S927+N927)</f>
        <v>0</v>
      </c>
      <c r="T927" s="0" t="n">
        <f aca="false">IF(RESET=1,0,T927+IF(H927=0,1,0))</f>
        <v>0</v>
      </c>
      <c r="U927" s="0" t="n">
        <f aca="false">IF(RESET=1,0,U927+H927)</f>
        <v>0</v>
      </c>
      <c r="V927" s="19" t="n">
        <f aca="false">R927/(T927+0.00001)</f>
        <v>0</v>
      </c>
      <c r="W927" s="19" t="n">
        <f aca="false">S927/(U927+0.0001)</f>
        <v>0</v>
      </c>
      <c r="X927" s="47" t="e">
        <f aca="false">IF(Informed=1,K927,0)</f>
        <v>#N/A</v>
      </c>
      <c r="Y927" s="47" t="n">
        <f aca="false">IF(Informed=0,K927,0)</f>
        <v>0</v>
      </c>
      <c r="Z927" s="47" t="e">
        <f aca="false">IF(Informed=1,N927,0)</f>
        <v>#N/A</v>
      </c>
      <c r="AA927" s="47" t="n">
        <f aca="false">IF(Informed=0,N927,0)</f>
        <v>0</v>
      </c>
      <c r="AB927" s="51" t="e">
        <f aca="false">IF(Arterial=0,IF(Informed=1,1,0),0)</f>
        <v>#N/A</v>
      </c>
      <c r="AC927" s="51" t="e">
        <f aca="false">IF(Arterial=0,IF(Informed=0,1,0),0)</f>
        <v>#N/A</v>
      </c>
      <c r="AD927" s="51" t="e">
        <f aca="false">IF(Arterial=1,IF(Informed=1,1,0),0)</f>
        <v>#N/A</v>
      </c>
      <c r="AE927" s="51" t="e">
        <f aca="false">IF(Arterial=1,IF(Informed=0,1,0),0)</f>
        <v>#N/A</v>
      </c>
      <c r="AF927" s="44" t="e">
        <f aca="false">IF(AB927=1,(X927-G$1030)^2,0)</f>
        <v>#N/A</v>
      </c>
      <c r="AG927" s="44" t="e">
        <f aca="false">IF(AC927=1,(Y927-H$1030)^2,0)</f>
        <v>#N/A</v>
      </c>
      <c r="AH927" s="44" t="e">
        <f aca="false">IF(AD927=1,(Z927-I$1030)^2,0)</f>
        <v>#N/A</v>
      </c>
      <c r="AI927" s="44" t="e">
        <f aca="false">IF(AE927=1,(AA927-J$1030)^2,0)</f>
        <v>#N/A</v>
      </c>
    </row>
    <row r="928" customFormat="false" ht="12" hidden="false" customHeight="false" outlineLevel="0" collapsed="false">
      <c r="A928" s="29" t="n">
        <v>911</v>
      </c>
      <c r="B928" s="45" t="n">
        <f aca="true">IF(RAND()&lt;$D$8,1,0)</f>
        <v>1</v>
      </c>
      <c r="C928" s="34" t="n">
        <f aca="true">-LN(RAND())/$D$2</f>
        <v>2.69112346171488</v>
      </c>
      <c r="D928" s="46" t="n">
        <f aca="false">D927+C928</f>
        <v>1389.30303514576</v>
      </c>
      <c r="E928" s="47" t="e">
        <f aca="false">MAX($D$3,(1+P927-VLOOKUP(VALUE(D928),$J$18:$Q927,7,TRUE()))*$D$3)</f>
        <v>#N/A</v>
      </c>
      <c r="F928" s="47" t="e">
        <f aca="false">MAX($D$4,(1+Q927-VLOOKUP(VALUE(D928),$M$18:$Q927,5,TRUE()))*$D$4)</f>
        <v>#N/A</v>
      </c>
      <c r="G928" s="48" t="n">
        <v>0.5</v>
      </c>
      <c r="H928" s="46" t="e">
        <f aca="true">IF((B928=1),(IF((F928&lt;E928),1,(IF((F928=E928),(IF(RAND()&lt;G928,1,0)),0)))),(IF((RAND()&lt;G928),1,0)))</f>
        <v>#N/A</v>
      </c>
      <c r="I928" s="46" t="e">
        <f aca="true">IF((H928=1),0,$D$3+$D$5*(RAND()-0.5))</f>
        <v>#N/A</v>
      </c>
      <c r="J928" s="46" t="e">
        <f aca="false">I928+MAX(D928,J927)</f>
        <v>#N/A</v>
      </c>
      <c r="K928" s="46" t="e">
        <f aca="false">IF((H928=0),J928-D928,0)</f>
        <v>#N/A</v>
      </c>
      <c r="L928" s="46" t="e">
        <f aca="true">IF(($H928=0),0,$D$4+$D$5*(RAND()-0.5))</f>
        <v>#N/A</v>
      </c>
      <c r="M928" s="46" t="e">
        <f aca="false">L928+MAX(D928,M927)</f>
        <v>#N/A</v>
      </c>
      <c r="N928" s="46" t="e">
        <f aca="false">IF((H928=1),M928-D928,0)</f>
        <v>#N/A</v>
      </c>
      <c r="O928" s="29" t="n">
        <v>911</v>
      </c>
      <c r="P928" s="49" t="e">
        <f aca="false">IF((Arterial=0),P927+1,P927)</f>
        <v>#N/A</v>
      </c>
      <c r="Q928" s="49" t="e">
        <f aca="false">IF((Arterial=1),Q927+1,Q927)</f>
        <v>#N/A</v>
      </c>
      <c r="R928" s="50" t="n">
        <f aca="false">IF((RESET=1),0,R928+K928)</f>
        <v>0</v>
      </c>
      <c r="S928" s="19" t="n">
        <f aca="false">IF(RESET=1,0,S928+N928)</f>
        <v>0</v>
      </c>
      <c r="T928" s="0" t="n">
        <f aca="false">IF(RESET=1,0,T928+IF(H928=0,1,0))</f>
        <v>0</v>
      </c>
      <c r="U928" s="0" t="n">
        <f aca="false">IF(RESET=1,0,U928+H928)</f>
        <v>0</v>
      </c>
      <c r="V928" s="19" t="n">
        <f aca="false">R928/(T928+0.00001)</f>
        <v>0</v>
      </c>
      <c r="W928" s="19" t="n">
        <f aca="false">S928/(U928+0.0001)</f>
        <v>0</v>
      </c>
      <c r="X928" s="47" t="e">
        <f aca="false">IF(Informed=1,K928,0)</f>
        <v>#N/A</v>
      </c>
      <c r="Y928" s="47" t="n">
        <f aca="false">IF(Informed=0,K928,0)</f>
        <v>0</v>
      </c>
      <c r="Z928" s="47" t="e">
        <f aca="false">IF(Informed=1,N928,0)</f>
        <v>#N/A</v>
      </c>
      <c r="AA928" s="47" t="n">
        <f aca="false">IF(Informed=0,N928,0)</f>
        <v>0</v>
      </c>
      <c r="AB928" s="51" t="e">
        <f aca="false">IF(Arterial=0,IF(Informed=1,1,0),0)</f>
        <v>#N/A</v>
      </c>
      <c r="AC928" s="51" t="e">
        <f aca="false">IF(Arterial=0,IF(Informed=0,1,0),0)</f>
        <v>#N/A</v>
      </c>
      <c r="AD928" s="51" t="e">
        <f aca="false">IF(Arterial=1,IF(Informed=1,1,0),0)</f>
        <v>#N/A</v>
      </c>
      <c r="AE928" s="51" t="e">
        <f aca="false">IF(Arterial=1,IF(Informed=0,1,0),0)</f>
        <v>#N/A</v>
      </c>
      <c r="AF928" s="44" t="e">
        <f aca="false">IF(AB928=1,(X928-G$1030)^2,0)</f>
        <v>#N/A</v>
      </c>
      <c r="AG928" s="44" t="e">
        <f aca="false">IF(AC928=1,(Y928-H$1030)^2,0)</f>
        <v>#N/A</v>
      </c>
      <c r="AH928" s="44" t="e">
        <f aca="false">IF(AD928=1,(Z928-I$1030)^2,0)</f>
        <v>#N/A</v>
      </c>
      <c r="AI928" s="44" t="e">
        <f aca="false">IF(AE928=1,(AA928-J$1030)^2,0)</f>
        <v>#N/A</v>
      </c>
    </row>
    <row r="929" customFormat="false" ht="12" hidden="false" customHeight="false" outlineLevel="0" collapsed="false">
      <c r="A929" s="29" t="n">
        <v>912</v>
      </c>
      <c r="B929" s="45" t="n">
        <f aca="true">IF(RAND()&lt;$D$8,1,0)</f>
        <v>1</v>
      </c>
      <c r="C929" s="34" t="n">
        <f aca="true">-LN(RAND())/$D$2</f>
        <v>0.795683476426884</v>
      </c>
      <c r="D929" s="46" t="n">
        <f aca="false">D928+C929</f>
        <v>1390.09871862218</v>
      </c>
      <c r="E929" s="47" t="e">
        <f aca="false">MAX($D$3,(1+P928-VLOOKUP(VALUE(D929),$J$18:$Q928,7,TRUE()))*$D$3)</f>
        <v>#N/A</v>
      </c>
      <c r="F929" s="47" t="e">
        <f aca="false">MAX($D$4,(1+Q928-VLOOKUP(VALUE(D929),$M$18:$Q928,5,TRUE()))*$D$4)</f>
        <v>#N/A</v>
      </c>
      <c r="G929" s="48" t="n">
        <v>0.5</v>
      </c>
      <c r="H929" s="46" t="e">
        <f aca="true">IF((B929=1),(IF((F929&lt;E929),1,(IF((F929=E929),(IF(RAND()&lt;G929,1,0)),0)))),(IF((RAND()&lt;G929),1,0)))</f>
        <v>#N/A</v>
      </c>
      <c r="I929" s="46" t="e">
        <f aca="true">IF((H929=1),0,$D$3+$D$5*(RAND()-0.5))</f>
        <v>#N/A</v>
      </c>
      <c r="J929" s="46" t="e">
        <f aca="false">I929+MAX(D929,J928)</f>
        <v>#N/A</v>
      </c>
      <c r="K929" s="46" t="e">
        <f aca="false">IF((H929=0),J929-D929,0)</f>
        <v>#N/A</v>
      </c>
      <c r="L929" s="46" t="e">
        <f aca="true">IF(($H929=0),0,$D$4+$D$5*(RAND()-0.5))</f>
        <v>#N/A</v>
      </c>
      <c r="M929" s="46" t="e">
        <f aca="false">L929+MAX(D929,M928)</f>
        <v>#N/A</v>
      </c>
      <c r="N929" s="46" t="e">
        <f aca="false">IF((H929=1),M929-D929,0)</f>
        <v>#N/A</v>
      </c>
      <c r="O929" s="29" t="n">
        <v>912</v>
      </c>
      <c r="P929" s="49" t="e">
        <f aca="false">IF((Arterial=0),P928+1,P928)</f>
        <v>#N/A</v>
      </c>
      <c r="Q929" s="49" t="e">
        <f aca="false">IF((Arterial=1),Q928+1,Q928)</f>
        <v>#N/A</v>
      </c>
      <c r="R929" s="50" t="n">
        <f aca="false">IF((RESET=1),0,R929+K929)</f>
        <v>0</v>
      </c>
      <c r="S929" s="19" t="n">
        <f aca="false">IF(RESET=1,0,S929+N929)</f>
        <v>0</v>
      </c>
      <c r="T929" s="0" t="n">
        <f aca="false">IF(RESET=1,0,T929+IF(H929=0,1,0))</f>
        <v>0</v>
      </c>
      <c r="U929" s="0" t="n">
        <f aca="false">IF(RESET=1,0,U929+H929)</f>
        <v>0</v>
      </c>
      <c r="V929" s="19" t="n">
        <f aca="false">R929/(T929+0.00001)</f>
        <v>0</v>
      </c>
      <c r="W929" s="19" t="n">
        <f aca="false">S929/(U929+0.0001)</f>
        <v>0</v>
      </c>
      <c r="X929" s="47" t="e">
        <f aca="false">IF(Informed=1,K929,0)</f>
        <v>#N/A</v>
      </c>
      <c r="Y929" s="47" t="n">
        <f aca="false">IF(Informed=0,K929,0)</f>
        <v>0</v>
      </c>
      <c r="Z929" s="47" t="e">
        <f aca="false">IF(Informed=1,N929,0)</f>
        <v>#N/A</v>
      </c>
      <c r="AA929" s="47" t="n">
        <f aca="false">IF(Informed=0,N929,0)</f>
        <v>0</v>
      </c>
      <c r="AB929" s="51" t="e">
        <f aca="false">IF(Arterial=0,IF(Informed=1,1,0),0)</f>
        <v>#N/A</v>
      </c>
      <c r="AC929" s="51" t="e">
        <f aca="false">IF(Arterial=0,IF(Informed=0,1,0),0)</f>
        <v>#N/A</v>
      </c>
      <c r="AD929" s="51" t="e">
        <f aca="false">IF(Arterial=1,IF(Informed=1,1,0),0)</f>
        <v>#N/A</v>
      </c>
      <c r="AE929" s="51" t="e">
        <f aca="false">IF(Arterial=1,IF(Informed=0,1,0),0)</f>
        <v>#N/A</v>
      </c>
      <c r="AF929" s="44" t="e">
        <f aca="false">IF(AB929=1,(X929-G$1030)^2,0)</f>
        <v>#N/A</v>
      </c>
      <c r="AG929" s="44" t="e">
        <f aca="false">IF(AC929=1,(Y929-H$1030)^2,0)</f>
        <v>#N/A</v>
      </c>
      <c r="AH929" s="44" t="e">
        <f aca="false">IF(AD929=1,(Z929-I$1030)^2,0)</f>
        <v>#N/A</v>
      </c>
      <c r="AI929" s="44" t="e">
        <f aca="false">IF(AE929=1,(AA929-J$1030)^2,0)</f>
        <v>#N/A</v>
      </c>
    </row>
    <row r="930" customFormat="false" ht="12" hidden="false" customHeight="false" outlineLevel="0" collapsed="false">
      <c r="A930" s="29" t="n">
        <v>913</v>
      </c>
      <c r="B930" s="45" t="n">
        <f aca="true">IF(RAND()&lt;$D$8,1,0)</f>
        <v>1</v>
      </c>
      <c r="C930" s="34" t="n">
        <f aca="true">-LN(RAND())/$D$2</f>
        <v>3.55807648002022</v>
      </c>
      <c r="D930" s="46" t="n">
        <f aca="false">D929+C930</f>
        <v>1393.6567951022</v>
      </c>
      <c r="E930" s="47" t="e">
        <f aca="false">MAX($D$3,(1+P929-VLOOKUP(VALUE(D930),$J$18:$Q929,7,TRUE()))*$D$3)</f>
        <v>#N/A</v>
      </c>
      <c r="F930" s="47" t="e">
        <f aca="false">MAX($D$4,(1+Q929-VLOOKUP(VALUE(D930),$M$18:$Q929,5,TRUE()))*$D$4)</f>
        <v>#N/A</v>
      </c>
      <c r="G930" s="48" t="n">
        <v>0.5</v>
      </c>
      <c r="H930" s="46" t="e">
        <f aca="true">IF((B930=1),(IF((F930&lt;E930),1,(IF((F930=E930),(IF(RAND()&lt;G930,1,0)),0)))),(IF((RAND()&lt;G930),1,0)))</f>
        <v>#N/A</v>
      </c>
      <c r="I930" s="46" t="e">
        <f aca="true">IF((H930=1),0,$D$3+$D$5*(RAND()-0.5))</f>
        <v>#N/A</v>
      </c>
      <c r="J930" s="46" t="e">
        <f aca="false">I930+MAX(D930,J929)</f>
        <v>#N/A</v>
      </c>
      <c r="K930" s="46" t="e">
        <f aca="false">IF((H930=0),J930-D930,0)</f>
        <v>#N/A</v>
      </c>
      <c r="L930" s="46" t="e">
        <f aca="true">IF(($H930=0),0,$D$4+$D$5*(RAND()-0.5))</f>
        <v>#N/A</v>
      </c>
      <c r="M930" s="46" t="e">
        <f aca="false">L930+MAX(D930,M929)</f>
        <v>#N/A</v>
      </c>
      <c r="N930" s="46" t="e">
        <f aca="false">IF((H930=1),M930-D930,0)</f>
        <v>#N/A</v>
      </c>
      <c r="O930" s="29" t="n">
        <v>913</v>
      </c>
      <c r="P930" s="49" t="e">
        <f aca="false">IF((Arterial=0),P929+1,P929)</f>
        <v>#N/A</v>
      </c>
      <c r="Q930" s="49" t="e">
        <f aca="false">IF((Arterial=1),Q929+1,Q929)</f>
        <v>#N/A</v>
      </c>
      <c r="R930" s="50" t="n">
        <f aca="false">IF((RESET=1),0,R930+K930)</f>
        <v>0</v>
      </c>
      <c r="S930" s="19" t="n">
        <f aca="false">IF(RESET=1,0,S930+N930)</f>
        <v>0</v>
      </c>
      <c r="T930" s="0" t="n">
        <f aca="false">IF(RESET=1,0,T930+IF(H930=0,1,0))</f>
        <v>0</v>
      </c>
      <c r="U930" s="0" t="n">
        <f aca="false">IF(RESET=1,0,U930+H930)</f>
        <v>0</v>
      </c>
      <c r="V930" s="19" t="n">
        <f aca="false">R930/(T930+0.00001)</f>
        <v>0</v>
      </c>
      <c r="W930" s="19" t="n">
        <f aca="false">S930/(U930+0.0001)</f>
        <v>0</v>
      </c>
      <c r="X930" s="47" t="e">
        <f aca="false">IF(Informed=1,K930,0)</f>
        <v>#N/A</v>
      </c>
      <c r="Y930" s="47" t="n">
        <f aca="false">IF(Informed=0,K930,0)</f>
        <v>0</v>
      </c>
      <c r="Z930" s="47" t="e">
        <f aca="false">IF(Informed=1,N930,0)</f>
        <v>#N/A</v>
      </c>
      <c r="AA930" s="47" t="n">
        <f aca="false">IF(Informed=0,N930,0)</f>
        <v>0</v>
      </c>
      <c r="AB930" s="51" t="e">
        <f aca="false">IF(Arterial=0,IF(Informed=1,1,0),0)</f>
        <v>#N/A</v>
      </c>
      <c r="AC930" s="51" t="e">
        <f aca="false">IF(Arterial=0,IF(Informed=0,1,0),0)</f>
        <v>#N/A</v>
      </c>
      <c r="AD930" s="51" t="e">
        <f aca="false">IF(Arterial=1,IF(Informed=1,1,0),0)</f>
        <v>#N/A</v>
      </c>
      <c r="AE930" s="51" t="e">
        <f aca="false">IF(Arterial=1,IF(Informed=0,1,0),0)</f>
        <v>#N/A</v>
      </c>
      <c r="AF930" s="44" t="e">
        <f aca="false">IF(AB930=1,(X930-G$1030)^2,0)</f>
        <v>#N/A</v>
      </c>
      <c r="AG930" s="44" t="e">
        <f aca="false">IF(AC930=1,(Y930-H$1030)^2,0)</f>
        <v>#N/A</v>
      </c>
      <c r="AH930" s="44" t="e">
        <f aca="false">IF(AD930=1,(Z930-I$1030)^2,0)</f>
        <v>#N/A</v>
      </c>
      <c r="AI930" s="44" t="e">
        <f aca="false">IF(AE930=1,(AA930-J$1030)^2,0)</f>
        <v>#N/A</v>
      </c>
    </row>
    <row r="931" customFormat="false" ht="12" hidden="false" customHeight="false" outlineLevel="0" collapsed="false">
      <c r="A931" s="29" t="n">
        <v>914</v>
      </c>
      <c r="B931" s="45" t="n">
        <f aca="true">IF(RAND()&lt;$D$8,1,0)</f>
        <v>1</v>
      </c>
      <c r="C931" s="34" t="n">
        <f aca="true">-LN(RAND())/$D$2</f>
        <v>0.394144890506614</v>
      </c>
      <c r="D931" s="46" t="n">
        <f aca="false">D930+C931</f>
        <v>1394.05093999271</v>
      </c>
      <c r="E931" s="47" t="e">
        <f aca="false">MAX($D$3,(1+P930-VLOOKUP(VALUE(D931),$J$18:$Q930,7,TRUE()))*$D$3)</f>
        <v>#N/A</v>
      </c>
      <c r="F931" s="47" t="e">
        <f aca="false">MAX($D$4,(1+Q930-VLOOKUP(VALUE(D931),$M$18:$Q930,5,TRUE()))*$D$4)</f>
        <v>#N/A</v>
      </c>
      <c r="G931" s="48" t="n">
        <v>0.5</v>
      </c>
      <c r="H931" s="46" t="e">
        <f aca="true">IF((B931=1),(IF((F931&lt;E931),1,(IF((F931=E931),(IF(RAND()&lt;G931,1,0)),0)))),(IF((RAND()&lt;G931),1,0)))</f>
        <v>#N/A</v>
      </c>
      <c r="I931" s="46" t="e">
        <f aca="true">IF((H931=1),0,$D$3+$D$5*(RAND()-0.5))</f>
        <v>#N/A</v>
      </c>
      <c r="J931" s="46" t="e">
        <f aca="false">I931+MAX(D931,J930)</f>
        <v>#N/A</v>
      </c>
      <c r="K931" s="46" t="e">
        <f aca="false">IF((H931=0),J931-D931,0)</f>
        <v>#N/A</v>
      </c>
      <c r="L931" s="46" t="e">
        <f aca="true">IF(($H931=0),0,$D$4+$D$5*(RAND()-0.5))</f>
        <v>#N/A</v>
      </c>
      <c r="M931" s="46" t="e">
        <f aca="false">L931+MAX(D931,M930)</f>
        <v>#N/A</v>
      </c>
      <c r="N931" s="46" t="e">
        <f aca="false">IF((H931=1),M931-D931,0)</f>
        <v>#N/A</v>
      </c>
      <c r="O931" s="29" t="n">
        <v>914</v>
      </c>
      <c r="P931" s="49" t="e">
        <f aca="false">IF((Arterial=0),P930+1,P930)</f>
        <v>#N/A</v>
      </c>
      <c r="Q931" s="49" t="e">
        <f aca="false">IF((Arterial=1),Q930+1,Q930)</f>
        <v>#N/A</v>
      </c>
      <c r="R931" s="50" t="n">
        <f aca="false">IF((RESET=1),0,R931+K931)</f>
        <v>0</v>
      </c>
      <c r="S931" s="19" t="n">
        <f aca="false">IF(RESET=1,0,S931+N931)</f>
        <v>0</v>
      </c>
      <c r="T931" s="0" t="n">
        <f aca="false">IF(RESET=1,0,T931+IF(H931=0,1,0))</f>
        <v>0</v>
      </c>
      <c r="U931" s="0" t="n">
        <f aca="false">IF(RESET=1,0,U931+H931)</f>
        <v>0</v>
      </c>
      <c r="V931" s="19" t="n">
        <f aca="false">R931/(T931+0.00001)</f>
        <v>0</v>
      </c>
      <c r="W931" s="19" t="n">
        <f aca="false">S931/(U931+0.0001)</f>
        <v>0</v>
      </c>
      <c r="X931" s="47" t="e">
        <f aca="false">IF(Informed=1,K931,0)</f>
        <v>#N/A</v>
      </c>
      <c r="Y931" s="47" t="n">
        <f aca="false">IF(Informed=0,K931,0)</f>
        <v>0</v>
      </c>
      <c r="Z931" s="47" t="e">
        <f aca="false">IF(Informed=1,N931,0)</f>
        <v>#N/A</v>
      </c>
      <c r="AA931" s="47" t="n">
        <f aca="false">IF(Informed=0,N931,0)</f>
        <v>0</v>
      </c>
      <c r="AB931" s="51" t="e">
        <f aca="false">IF(Arterial=0,IF(Informed=1,1,0),0)</f>
        <v>#N/A</v>
      </c>
      <c r="AC931" s="51" t="e">
        <f aca="false">IF(Arterial=0,IF(Informed=0,1,0),0)</f>
        <v>#N/A</v>
      </c>
      <c r="AD931" s="51" t="e">
        <f aca="false">IF(Arterial=1,IF(Informed=1,1,0),0)</f>
        <v>#N/A</v>
      </c>
      <c r="AE931" s="51" t="e">
        <f aca="false">IF(Arterial=1,IF(Informed=0,1,0),0)</f>
        <v>#N/A</v>
      </c>
      <c r="AF931" s="44" t="e">
        <f aca="false">IF(AB931=1,(X931-G$1030)^2,0)</f>
        <v>#N/A</v>
      </c>
      <c r="AG931" s="44" t="e">
        <f aca="false">IF(AC931=1,(Y931-H$1030)^2,0)</f>
        <v>#N/A</v>
      </c>
      <c r="AH931" s="44" t="e">
        <f aca="false">IF(AD931=1,(Z931-I$1030)^2,0)</f>
        <v>#N/A</v>
      </c>
      <c r="AI931" s="44" t="e">
        <f aca="false">IF(AE931=1,(AA931-J$1030)^2,0)</f>
        <v>#N/A</v>
      </c>
    </row>
    <row r="932" customFormat="false" ht="12" hidden="false" customHeight="false" outlineLevel="0" collapsed="false">
      <c r="A932" s="29" t="n">
        <v>915</v>
      </c>
      <c r="B932" s="45" t="n">
        <f aca="true">IF(RAND()&lt;$D$8,1,0)</f>
        <v>1</v>
      </c>
      <c r="C932" s="34" t="n">
        <f aca="true">-LN(RAND())/$D$2</f>
        <v>0.605163375699694</v>
      </c>
      <c r="D932" s="46" t="n">
        <f aca="false">D931+C932</f>
        <v>1394.65610336841</v>
      </c>
      <c r="E932" s="47" t="e">
        <f aca="false">MAX($D$3,(1+P931-VLOOKUP(VALUE(D932),$J$18:$Q931,7,TRUE()))*$D$3)</f>
        <v>#N/A</v>
      </c>
      <c r="F932" s="47" t="e">
        <f aca="false">MAX($D$4,(1+Q931-VLOOKUP(VALUE(D932),$M$18:$Q931,5,TRUE()))*$D$4)</f>
        <v>#N/A</v>
      </c>
      <c r="G932" s="48" t="n">
        <v>0.5</v>
      </c>
      <c r="H932" s="46" t="e">
        <f aca="true">IF((B932=1),(IF((F932&lt;E932),1,(IF((F932=E932),(IF(RAND()&lt;G932,1,0)),0)))),(IF((RAND()&lt;G932),1,0)))</f>
        <v>#N/A</v>
      </c>
      <c r="I932" s="46" t="e">
        <f aca="true">IF((H932=1),0,$D$3+$D$5*(RAND()-0.5))</f>
        <v>#N/A</v>
      </c>
      <c r="J932" s="46" t="e">
        <f aca="false">I932+MAX(D932,J931)</f>
        <v>#N/A</v>
      </c>
      <c r="K932" s="46" t="e">
        <f aca="false">IF((H932=0),J932-D932,0)</f>
        <v>#N/A</v>
      </c>
      <c r="L932" s="46" t="e">
        <f aca="true">IF(($H932=0),0,$D$4+$D$5*(RAND()-0.5))</f>
        <v>#N/A</v>
      </c>
      <c r="M932" s="46" t="e">
        <f aca="false">L932+MAX(D932,M931)</f>
        <v>#N/A</v>
      </c>
      <c r="N932" s="46" t="e">
        <f aca="false">IF((H932=1),M932-D932,0)</f>
        <v>#N/A</v>
      </c>
      <c r="O932" s="29" t="n">
        <v>915</v>
      </c>
      <c r="P932" s="49" t="e">
        <f aca="false">IF((Arterial=0),P931+1,P931)</f>
        <v>#N/A</v>
      </c>
      <c r="Q932" s="49" t="e">
        <f aca="false">IF((Arterial=1),Q931+1,Q931)</f>
        <v>#N/A</v>
      </c>
      <c r="R932" s="50" t="n">
        <f aca="false">IF((RESET=1),0,R932+K932)</f>
        <v>0</v>
      </c>
      <c r="S932" s="19" t="n">
        <f aca="false">IF(RESET=1,0,S932+N932)</f>
        <v>0</v>
      </c>
      <c r="T932" s="0" t="n">
        <f aca="false">IF(RESET=1,0,T932+IF(H932=0,1,0))</f>
        <v>0</v>
      </c>
      <c r="U932" s="0" t="n">
        <f aca="false">IF(RESET=1,0,U932+H932)</f>
        <v>0</v>
      </c>
      <c r="V932" s="19" t="n">
        <f aca="false">R932/(T932+0.00001)</f>
        <v>0</v>
      </c>
      <c r="W932" s="19" t="n">
        <f aca="false">S932/(U932+0.0001)</f>
        <v>0</v>
      </c>
      <c r="X932" s="47" t="e">
        <f aca="false">IF(Informed=1,K932,0)</f>
        <v>#N/A</v>
      </c>
      <c r="Y932" s="47" t="n">
        <f aca="false">IF(Informed=0,K932,0)</f>
        <v>0</v>
      </c>
      <c r="Z932" s="47" t="e">
        <f aca="false">IF(Informed=1,N932,0)</f>
        <v>#N/A</v>
      </c>
      <c r="AA932" s="47" t="n">
        <f aca="false">IF(Informed=0,N932,0)</f>
        <v>0</v>
      </c>
      <c r="AB932" s="51" t="e">
        <f aca="false">IF(Arterial=0,IF(Informed=1,1,0),0)</f>
        <v>#N/A</v>
      </c>
      <c r="AC932" s="51" t="e">
        <f aca="false">IF(Arterial=0,IF(Informed=0,1,0),0)</f>
        <v>#N/A</v>
      </c>
      <c r="AD932" s="51" t="e">
        <f aca="false">IF(Arterial=1,IF(Informed=1,1,0),0)</f>
        <v>#N/A</v>
      </c>
      <c r="AE932" s="51" t="e">
        <f aca="false">IF(Arterial=1,IF(Informed=0,1,0),0)</f>
        <v>#N/A</v>
      </c>
      <c r="AF932" s="44" t="e">
        <f aca="false">IF(AB932=1,(X932-G$1030)^2,0)</f>
        <v>#N/A</v>
      </c>
      <c r="AG932" s="44" t="e">
        <f aca="false">IF(AC932=1,(Y932-H$1030)^2,0)</f>
        <v>#N/A</v>
      </c>
      <c r="AH932" s="44" t="e">
        <f aca="false">IF(AD932=1,(Z932-I$1030)^2,0)</f>
        <v>#N/A</v>
      </c>
      <c r="AI932" s="44" t="e">
        <f aca="false">IF(AE932=1,(AA932-J$1030)^2,0)</f>
        <v>#N/A</v>
      </c>
    </row>
    <row r="933" customFormat="false" ht="12" hidden="false" customHeight="false" outlineLevel="0" collapsed="false">
      <c r="A933" s="29" t="n">
        <v>916</v>
      </c>
      <c r="B933" s="45" t="n">
        <f aca="true">IF(RAND()&lt;$D$8,1,0)</f>
        <v>1</v>
      </c>
      <c r="C933" s="34" t="n">
        <f aca="true">-LN(RAND())/$D$2</f>
        <v>0.709326283378919</v>
      </c>
      <c r="D933" s="46" t="n">
        <f aca="false">D932+C933</f>
        <v>1395.36542965179</v>
      </c>
      <c r="E933" s="47" t="e">
        <f aca="false">MAX($D$3,(1+P932-VLOOKUP(VALUE(D933),$J$18:$Q932,7,TRUE()))*$D$3)</f>
        <v>#N/A</v>
      </c>
      <c r="F933" s="47" t="e">
        <f aca="false">MAX($D$4,(1+Q932-VLOOKUP(VALUE(D933),$M$18:$Q932,5,TRUE()))*$D$4)</f>
        <v>#N/A</v>
      </c>
      <c r="G933" s="48" t="n">
        <v>0.5</v>
      </c>
      <c r="H933" s="46" t="e">
        <f aca="true">IF((B933=1),(IF((F933&lt;E933),1,(IF((F933=E933),(IF(RAND()&lt;G933,1,0)),0)))),(IF((RAND()&lt;G933),1,0)))</f>
        <v>#N/A</v>
      </c>
      <c r="I933" s="46" t="e">
        <f aca="true">IF((H933=1),0,$D$3+$D$5*(RAND()-0.5))</f>
        <v>#N/A</v>
      </c>
      <c r="J933" s="46" t="e">
        <f aca="false">I933+MAX(D933,J932)</f>
        <v>#N/A</v>
      </c>
      <c r="K933" s="46" t="e">
        <f aca="false">IF((H933=0),J933-D933,0)</f>
        <v>#N/A</v>
      </c>
      <c r="L933" s="46" t="e">
        <f aca="true">IF(($H933=0),0,$D$4+$D$5*(RAND()-0.5))</f>
        <v>#N/A</v>
      </c>
      <c r="M933" s="46" t="e">
        <f aca="false">L933+MAX(D933,M932)</f>
        <v>#N/A</v>
      </c>
      <c r="N933" s="46" t="e">
        <f aca="false">IF((H933=1),M933-D933,0)</f>
        <v>#N/A</v>
      </c>
      <c r="O933" s="29" t="n">
        <v>916</v>
      </c>
      <c r="P933" s="49" t="e">
        <f aca="false">IF((Arterial=0),P932+1,P932)</f>
        <v>#N/A</v>
      </c>
      <c r="Q933" s="49" t="e">
        <f aca="false">IF((Arterial=1),Q932+1,Q932)</f>
        <v>#N/A</v>
      </c>
      <c r="R933" s="50" t="n">
        <f aca="false">IF((RESET=1),0,R933+K933)</f>
        <v>0</v>
      </c>
      <c r="S933" s="19" t="n">
        <f aca="false">IF(RESET=1,0,S933+N933)</f>
        <v>0</v>
      </c>
      <c r="T933" s="0" t="n">
        <f aca="false">IF(RESET=1,0,T933+IF(H933=0,1,0))</f>
        <v>0</v>
      </c>
      <c r="U933" s="0" t="n">
        <f aca="false">IF(RESET=1,0,U933+H933)</f>
        <v>0</v>
      </c>
      <c r="V933" s="19" t="n">
        <f aca="false">R933/(T933+0.00001)</f>
        <v>0</v>
      </c>
      <c r="W933" s="19" t="n">
        <f aca="false">S933/(U933+0.0001)</f>
        <v>0</v>
      </c>
      <c r="X933" s="47" t="e">
        <f aca="false">IF(Informed=1,K933,0)</f>
        <v>#N/A</v>
      </c>
      <c r="Y933" s="47" t="n">
        <f aca="false">IF(Informed=0,K933,0)</f>
        <v>0</v>
      </c>
      <c r="Z933" s="47" t="e">
        <f aca="false">IF(Informed=1,N933,0)</f>
        <v>#N/A</v>
      </c>
      <c r="AA933" s="47" t="n">
        <f aca="false">IF(Informed=0,N933,0)</f>
        <v>0</v>
      </c>
      <c r="AB933" s="51" t="e">
        <f aca="false">IF(Arterial=0,IF(Informed=1,1,0),0)</f>
        <v>#N/A</v>
      </c>
      <c r="AC933" s="51" t="e">
        <f aca="false">IF(Arterial=0,IF(Informed=0,1,0),0)</f>
        <v>#N/A</v>
      </c>
      <c r="AD933" s="51" t="e">
        <f aca="false">IF(Arterial=1,IF(Informed=1,1,0),0)</f>
        <v>#N/A</v>
      </c>
      <c r="AE933" s="51" t="e">
        <f aca="false">IF(Arterial=1,IF(Informed=0,1,0),0)</f>
        <v>#N/A</v>
      </c>
      <c r="AF933" s="44" t="e">
        <f aca="false">IF(AB933=1,(X933-G$1030)^2,0)</f>
        <v>#N/A</v>
      </c>
      <c r="AG933" s="44" t="e">
        <f aca="false">IF(AC933=1,(Y933-H$1030)^2,0)</f>
        <v>#N/A</v>
      </c>
      <c r="AH933" s="44" t="e">
        <f aca="false">IF(AD933=1,(Z933-I$1030)^2,0)</f>
        <v>#N/A</v>
      </c>
      <c r="AI933" s="44" t="e">
        <f aca="false">IF(AE933=1,(AA933-J$1030)^2,0)</f>
        <v>#N/A</v>
      </c>
    </row>
    <row r="934" customFormat="false" ht="12" hidden="false" customHeight="false" outlineLevel="0" collapsed="false">
      <c r="A934" s="29" t="n">
        <v>917</v>
      </c>
      <c r="B934" s="45" t="n">
        <f aca="true">IF(RAND()&lt;$D$8,1,0)</f>
        <v>1</v>
      </c>
      <c r="C934" s="34" t="n">
        <f aca="true">-LN(RAND())/$D$2</f>
        <v>4.87465011456698</v>
      </c>
      <c r="D934" s="46" t="n">
        <f aca="false">D933+C934</f>
        <v>1400.24007976636</v>
      </c>
      <c r="E934" s="47" t="e">
        <f aca="false">MAX($D$3,(1+P933-VLOOKUP(VALUE(D934),$J$18:$Q933,7,TRUE()))*$D$3)</f>
        <v>#N/A</v>
      </c>
      <c r="F934" s="47" t="e">
        <f aca="false">MAX($D$4,(1+Q933-VLOOKUP(VALUE(D934),$M$18:$Q933,5,TRUE()))*$D$4)</f>
        <v>#N/A</v>
      </c>
      <c r="G934" s="48" t="n">
        <v>0.5</v>
      </c>
      <c r="H934" s="46" t="e">
        <f aca="true">IF((B934=1),(IF((F934&lt;E934),1,(IF((F934=E934),(IF(RAND()&lt;G934,1,0)),0)))),(IF((RAND()&lt;G934),1,0)))</f>
        <v>#N/A</v>
      </c>
      <c r="I934" s="46" t="e">
        <f aca="true">IF((H934=1),0,$D$3+$D$5*(RAND()-0.5))</f>
        <v>#N/A</v>
      </c>
      <c r="J934" s="46" t="e">
        <f aca="false">I934+MAX(D934,J933)</f>
        <v>#N/A</v>
      </c>
      <c r="K934" s="46" t="e">
        <f aca="false">IF((H934=0),J934-D934,0)</f>
        <v>#N/A</v>
      </c>
      <c r="L934" s="46" t="e">
        <f aca="true">IF(($H934=0),0,$D$4+$D$5*(RAND()-0.5))</f>
        <v>#N/A</v>
      </c>
      <c r="M934" s="46" t="e">
        <f aca="false">L934+MAX(D934,M933)</f>
        <v>#N/A</v>
      </c>
      <c r="N934" s="46" t="e">
        <f aca="false">IF((H934=1),M934-D934,0)</f>
        <v>#N/A</v>
      </c>
      <c r="O934" s="29" t="n">
        <v>917</v>
      </c>
      <c r="P934" s="49" t="e">
        <f aca="false">IF((Arterial=0),P933+1,P933)</f>
        <v>#N/A</v>
      </c>
      <c r="Q934" s="49" t="e">
        <f aca="false">IF((Arterial=1),Q933+1,Q933)</f>
        <v>#N/A</v>
      </c>
      <c r="R934" s="50" t="n">
        <f aca="false">IF((RESET=1),0,R934+K934)</f>
        <v>0</v>
      </c>
      <c r="S934" s="19" t="n">
        <f aca="false">IF(RESET=1,0,S934+N934)</f>
        <v>0</v>
      </c>
      <c r="T934" s="0" t="n">
        <f aca="false">IF(RESET=1,0,T934+IF(H934=0,1,0))</f>
        <v>0</v>
      </c>
      <c r="U934" s="0" t="n">
        <f aca="false">IF(RESET=1,0,U934+H934)</f>
        <v>0</v>
      </c>
      <c r="V934" s="19" t="n">
        <f aca="false">R934/(T934+0.00001)</f>
        <v>0</v>
      </c>
      <c r="W934" s="19" t="n">
        <f aca="false">S934/(U934+0.0001)</f>
        <v>0</v>
      </c>
      <c r="X934" s="47" t="e">
        <f aca="false">IF(Informed=1,K934,0)</f>
        <v>#N/A</v>
      </c>
      <c r="Y934" s="47" t="n">
        <f aca="false">IF(Informed=0,K934,0)</f>
        <v>0</v>
      </c>
      <c r="Z934" s="47" t="e">
        <f aca="false">IF(Informed=1,N934,0)</f>
        <v>#N/A</v>
      </c>
      <c r="AA934" s="47" t="n">
        <f aca="false">IF(Informed=0,N934,0)</f>
        <v>0</v>
      </c>
      <c r="AB934" s="51" t="e">
        <f aca="false">IF(Arterial=0,IF(Informed=1,1,0),0)</f>
        <v>#N/A</v>
      </c>
      <c r="AC934" s="51" t="e">
        <f aca="false">IF(Arterial=0,IF(Informed=0,1,0),0)</f>
        <v>#N/A</v>
      </c>
      <c r="AD934" s="51" t="e">
        <f aca="false">IF(Arterial=1,IF(Informed=1,1,0),0)</f>
        <v>#N/A</v>
      </c>
      <c r="AE934" s="51" t="e">
        <f aca="false">IF(Arterial=1,IF(Informed=0,1,0),0)</f>
        <v>#N/A</v>
      </c>
      <c r="AF934" s="44" t="e">
        <f aca="false">IF(AB934=1,(X934-G$1030)^2,0)</f>
        <v>#N/A</v>
      </c>
      <c r="AG934" s="44" t="e">
        <f aca="false">IF(AC934=1,(Y934-H$1030)^2,0)</f>
        <v>#N/A</v>
      </c>
      <c r="AH934" s="44" t="e">
        <f aca="false">IF(AD934=1,(Z934-I$1030)^2,0)</f>
        <v>#N/A</v>
      </c>
      <c r="AI934" s="44" t="e">
        <f aca="false">IF(AE934=1,(AA934-J$1030)^2,0)</f>
        <v>#N/A</v>
      </c>
    </row>
    <row r="935" customFormat="false" ht="12" hidden="false" customHeight="false" outlineLevel="0" collapsed="false">
      <c r="A935" s="29" t="n">
        <v>918</v>
      </c>
      <c r="B935" s="45" t="n">
        <f aca="true">IF(RAND()&lt;$D$8,1,0)</f>
        <v>1</v>
      </c>
      <c r="C935" s="34" t="n">
        <f aca="true">-LN(RAND())/$D$2</f>
        <v>0.125085598324607</v>
      </c>
      <c r="D935" s="46" t="n">
        <f aca="false">D934+C935</f>
        <v>1400.36516536468</v>
      </c>
      <c r="E935" s="47" t="e">
        <f aca="false">MAX($D$3,(1+P934-VLOOKUP(VALUE(D935),$J$18:$Q934,7,TRUE()))*$D$3)</f>
        <v>#N/A</v>
      </c>
      <c r="F935" s="47" t="e">
        <f aca="false">MAX($D$4,(1+Q934-VLOOKUP(VALUE(D935),$M$18:$Q934,5,TRUE()))*$D$4)</f>
        <v>#N/A</v>
      </c>
      <c r="G935" s="48" t="n">
        <v>0.5</v>
      </c>
      <c r="H935" s="46" t="e">
        <f aca="true">IF((B935=1),(IF((F935&lt;E935),1,(IF((F935=E935),(IF(RAND()&lt;G935,1,0)),0)))),(IF((RAND()&lt;G935),1,0)))</f>
        <v>#N/A</v>
      </c>
      <c r="I935" s="46" t="e">
        <f aca="true">IF((H935=1),0,$D$3+$D$5*(RAND()-0.5))</f>
        <v>#N/A</v>
      </c>
      <c r="J935" s="46" t="e">
        <f aca="false">I935+MAX(D935,J934)</f>
        <v>#N/A</v>
      </c>
      <c r="K935" s="46" t="e">
        <f aca="false">IF((H935=0),J935-D935,0)</f>
        <v>#N/A</v>
      </c>
      <c r="L935" s="46" t="e">
        <f aca="true">IF(($H935=0),0,$D$4+$D$5*(RAND()-0.5))</f>
        <v>#N/A</v>
      </c>
      <c r="M935" s="46" t="e">
        <f aca="false">L935+MAX(D935,M934)</f>
        <v>#N/A</v>
      </c>
      <c r="N935" s="46" t="e">
        <f aca="false">IF((H935=1),M935-D935,0)</f>
        <v>#N/A</v>
      </c>
      <c r="O935" s="29" t="n">
        <v>918</v>
      </c>
      <c r="P935" s="49" t="e">
        <f aca="false">IF((Arterial=0),P934+1,P934)</f>
        <v>#N/A</v>
      </c>
      <c r="Q935" s="49" t="e">
        <f aca="false">IF((Arterial=1),Q934+1,Q934)</f>
        <v>#N/A</v>
      </c>
      <c r="R935" s="50" t="n">
        <f aca="false">IF((RESET=1),0,R935+K935)</f>
        <v>0</v>
      </c>
      <c r="S935" s="19" t="n">
        <f aca="false">IF(RESET=1,0,S935+N935)</f>
        <v>0</v>
      </c>
      <c r="T935" s="0" t="n">
        <f aca="false">IF(RESET=1,0,T935+IF(H935=0,1,0))</f>
        <v>0</v>
      </c>
      <c r="U935" s="0" t="n">
        <f aca="false">IF(RESET=1,0,U935+H935)</f>
        <v>0</v>
      </c>
      <c r="V935" s="19" t="n">
        <f aca="false">R935/(T935+0.00001)</f>
        <v>0</v>
      </c>
      <c r="W935" s="19" t="n">
        <f aca="false">S935/(U935+0.0001)</f>
        <v>0</v>
      </c>
      <c r="X935" s="47" t="e">
        <f aca="false">IF(Informed=1,K935,0)</f>
        <v>#N/A</v>
      </c>
      <c r="Y935" s="47" t="n">
        <f aca="false">IF(Informed=0,K935,0)</f>
        <v>0</v>
      </c>
      <c r="Z935" s="47" t="e">
        <f aca="false">IF(Informed=1,N935,0)</f>
        <v>#N/A</v>
      </c>
      <c r="AA935" s="47" t="n">
        <f aca="false">IF(Informed=0,N935,0)</f>
        <v>0</v>
      </c>
      <c r="AB935" s="51" t="e">
        <f aca="false">IF(Arterial=0,IF(Informed=1,1,0),0)</f>
        <v>#N/A</v>
      </c>
      <c r="AC935" s="51" t="e">
        <f aca="false">IF(Arterial=0,IF(Informed=0,1,0),0)</f>
        <v>#N/A</v>
      </c>
      <c r="AD935" s="51" t="e">
        <f aca="false">IF(Arterial=1,IF(Informed=1,1,0),0)</f>
        <v>#N/A</v>
      </c>
      <c r="AE935" s="51" t="e">
        <f aca="false">IF(Arterial=1,IF(Informed=0,1,0),0)</f>
        <v>#N/A</v>
      </c>
      <c r="AF935" s="44" t="e">
        <f aca="false">IF(AB935=1,(X935-G$1030)^2,0)</f>
        <v>#N/A</v>
      </c>
      <c r="AG935" s="44" t="e">
        <f aca="false">IF(AC935=1,(Y935-H$1030)^2,0)</f>
        <v>#N/A</v>
      </c>
      <c r="AH935" s="44" t="e">
        <f aca="false">IF(AD935=1,(Z935-I$1030)^2,0)</f>
        <v>#N/A</v>
      </c>
      <c r="AI935" s="44" t="e">
        <f aca="false">IF(AE935=1,(AA935-J$1030)^2,0)</f>
        <v>#N/A</v>
      </c>
    </row>
    <row r="936" customFormat="false" ht="12" hidden="false" customHeight="false" outlineLevel="0" collapsed="false">
      <c r="A936" s="29" t="n">
        <v>919</v>
      </c>
      <c r="B936" s="45" t="n">
        <f aca="true">IF(RAND()&lt;$D$8,1,0)</f>
        <v>1</v>
      </c>
      <c r="C936" s="34" t="n">
        <f aca="true">-LN(RAND())/$D$2</f>
        <v>0.62701491388792</v>
      </c>
      <c r="D936" s="46" t="n">
        <f aca="false">D935+C936</f>
        <v>1400.99218027857</v>
      </c>
      <c r="E936" s="47" t="e">
        <f aca="false">MAX($D$3,(1+P935-VLOOKUP(VALUE(D936),$J$18:$Q935,7,TRUE()))*$D$3)</f>
        <v>#N/A</v>
      </c>
      <c r="F936" s="47" t="e">
        <f aca="false">MAX($D$4,(1+Q935-VLOOKUP(VALUE(D936),$M$18:$Q935,5,TRUE()))*$D$4)</f>
        <v>#N/A</v>
      </c>
      <c r="G936" s="48" t="n">
        <v>0.5</v>
      </c>
      <c r="H936" s="46" t="e">
        <f aca="true">IF((B936=1),(IF((F936&lt;E936),1,(IF((F936=E936),(IF(RAND()&lt;G936,1,0)),0)))),(IF((RAND()&lt;G936),1,0)))</f>
        <v>#N/A</v>
      </c>
      <c r="I936" s="46" t="e">
        <f aca="true">IF((H936=1),0,$D$3+$D$5*(RAND()-0.5))</f>
        <v>#N/A</v>
      </c>
      <c r="J936" s="46" t="e">
        <f aca="false">I936+MAX(D936,J935)</f>
        <v>#N/A</v>
      </c>
      <c r="K936" s="46" t="e">
        <f aca="false">IF((H936=0),J936-D936,0)</f>
        <v>#N/A</v>
      </c>
      <c r="L936" s="46" t="e">
        <f aca="true">IF(($H936=0),0,$D$4+$D$5*(RAND()-0.5))</f>
        <v>#N/A</v>
      </c>
      <c r="M936" s="46" t="e">
        <f aca="false">L936+MAX(D936,M935)</f>
        <v>#N/A</v>
      </c>
      <c r="N936" s="46" t="e">
        <f aca="false">IF((H936=1),M936-D936,0)</f>
        <v>#N/A</v>
      </c>
      <c r="O936" s="29" t="n">
        <v>919</v>
      </c>
      <c r="P936" s="49" t="e">
        <f aca="false">IF((Arterial=0),P935+1,P935)</f>
        <v>#N/A</v>
      </c>
      <c r="Q936" s="49" t="e">
        <f aca="false">IF((Arterial=1),Q935+1,Q935)</f>
        <v>#N/A</v>
      </c>
      <c r="R936" s="50" t="n">
        <f aca="false">IF((RESET=1),0,R936+K936)</f>
        <v>0</v>
      </c>
      <c r="S936" s="19" t="n">
        <f aca="false">IF(RESET=1,0,S936+N936)</f>
        <v>0</v>
      </c>
      <c r="T936" s="0" t="n">
        <f aca="false">IF(RESET=1,0,T936+IF(H936=0,1,0))</f>
        <v>0</v>
      </c>
      <c r="U936" s="0" t="n">
        <f aca="false">IF(RESET=1,0,U936+H936)</f>
        <v>0</v>
      </c>
      <c r="V936" s="19" t="n">
        <f aca="false">R936/(T936+0.00001)</f>
        <v>0</v>
      </c>
      <c r="W936" s="19" t="n">
        <f aca="false">S936/(U936+0.0001)</f>
        <v>0</v>
      </c>
      <c r="X936" s="47" t="e">
        <f aca="false">IF(Informed=1,K936,0)</f>
        <v>#N/A</v>
      </c>
      <c r="Y936" s="47" t="n">
        <f aca="false">IF(Informed=0,K936,0)</f>
        <v>0</v>
      </c>
      <c r="Z936" s="47" t="e">
        <f aca="false">IF(Informed=1,N936,0)</f>
        <v>#N/A</v>
      </c>
      <c r="AA936" s="47" t="n">
        <f aca="false">IF(Informed=0,N936,0)</f>
        <v>0</v>
      </c>
      <c r="AB936" s="51" t="e">
        <f aca="false">IF(Arterial=0,IF(Informed=1,1,0),0)</f>
        <v>#N/A</v>
      </c>
      <c r="AC936" s="51" t="e">
        <f aca="false">IF(Arterial=0,IF(Informed=0,1,0),0)</f>
        <v>#N/A</v>
      </c>
      <c r="AD936" s="51" t="e">
        <f aca="false">IF(Arterial=1,IF(Informed=1,1,0),0)</f>
        <v>#N/A</v>
      </c>
      <c r="AE936" s="51" t="e">
        <f aca="false">IF(Arterial=1,IF(Informed=0,1,0),0)</f>
        <v>#N/A</v>
      </c>
      <c r="AF936" s="44" t="e">
        <f aca="false">IF(AB936=1,(X936-G$1030)^2,0)</f>
        <v>#N/A</v>
      </c>
      <c r="AG936" s="44" t="e">
        <f aca="false">IF(AC936=1,(Y936-H$1030)^2,0)</f>
        <v>#N/A</v>
      </c>
      <c r="AH936" s="44" t="e">
        <f aca="false">IF(AD936=1,(Z936-I$1030)^2,0)</f>
        <v>#N/A</v>
      </c>
      <c r="AI936" s="44" t="e">
        <f aca="false">IF(AE936=1,(AA936-J$1030)^2,0)</f>
        <v>#N/A</v>
      </c>
    </row>
    <row r="937" customFormat="false" ht="12" hidden="false" customHeight="false" outlineLevel="0" collapsed="false">
      <c r="A937" s="29" t="n">
        <v>920</v>
      </c>
      <c r="B937" s="45" t="n">
        <f aca="true">IF(RAND()&lt;$D$8,1,0)</f>
        <v>1</v>
      </c>
      <c r="C937" s="34" t="n">
        <f aca="true">-LN(RAND())/$D$2</f>
        <v>1.52907098229389</v>
      </c>
      <c r="D937" s="46" t="n">
        <f aca="false">D936+C937</f>
        <v>1402.52125126086</v>
      </c>
      <c r="E937" s="47" t="e">
        <f aca="false">MAX($D$3,(1+P936-VLOOKUP(VALUE(D937),$J$18:$Q936,7,TRUE()))*$D$3)</f>
        <v>#N/A</v>
      </c>
      <c r="F937" s="47" t="e">
        <f aca="false">MAX($D$4,(1+Q936-VLOOKUP(VALUE(D937),$M$18:$Q936,5,TRUE()))*$D$4)</f>
        <v>#N/A</v>
      </c>
      <c r="G937" s="48" t="n">
        <v>0.5</v>
      </c>
      <c r="H937" s="46" t="e">
        <f aca="true">IF((B937=1),(IF((F937&lt;E937),1,(IF((F937=E937),(IF(RAND()&lt;G937,1,0)),0)))),(IF((RAND()&lt;G937),1,0)))</f>
        <v>#N/A</v>
      </c>
      <c r="I937" s="46" t="e">
        <f aca="true">IF((H937=1),0,$D$3+$D$5*(RAND()-0.5))</f>
        <v>#N/A</v>
      </c>
      <c r="J937" s="46" t="e">
        <f aca="false">I937+MAX(D937,J936)</f>
        <v>#N/A</v>
      </c>
      <c r="K937" s="46" t="e">
        <f aca="false">IF((H937=0),J937-D937,0)</f>
        <v>#N/A</v>
      </c>
      <c r="L937" s="46" t="e">
        <f aca="true">IF(($H937=0),0,$D$4+$D$5*(RAND()-0.5))</f>
        <v>#N/A</v>
      </c>
      <c r="M937" s="46" t="e">
        <f aca="false">L937+MAX(D937,M936)</f>
        <v>#N/A</v>
      </c>
      <c r="N937" s="46" t="e">
        <f aca="false">IF((H937=1),M937-D937,0)</f>
        <v>#N/A</v>
      </c>
      <c r="O937" s="29" t="n">
        <v>920</v>
      </c>
      <c r="P937" s="49" t="e">
        <f aca="false">IF((Arterial=0),P936+1,P936)</f>
        <v>#N/A</v>
      </c>
      <c r="Q937" s="49" t="e">
        <f aca="false">IF((Arterial=1),Q936+1,Q936)</f>
        <v>#N/A</v>
      </c>
      <c r="R937" s="50" t="n">
        <f aca="false">IF((RESET=1),0,R937+K937)</f>
        <v>0</v>
      </c>
      <c r="S937" s="19" t="n">
        <f aca="false">IF(RESET=1,0,S937+N937)</f>
        <v>0</v>
      </c>
      <c r="T937" s="0" t="n">
        <f aca="false">IF(RESET=1,0,T937+IF(H937=0,1,0))</f>
        <v>0</v>
      </c>
      <c r="U937" s="0" t="n">
        <f aca="false">IF(RESET=1,0,U937+H937)</f>
        <v>0</v>
      </c>
      <c r="V937" s="19" t="n">
        <f aca="false">R937/(T937+0.00001)</f>
        <v>0</v>
      </c>
      <c r="W937" s="19" t="n">
        <f aca="false">S937/(U937+0.0001)</f>
        <v>0</v>
      </c>
      <c r="X937" s="47" t="e">
        <f aca="false">IF(Informed=1,K937,0)</f>
        <v>#N/A</v>
      </c>
      <c r="Y937" s="47" t="n">
        <f aca="false">IF(Informed=0,K937,0)</f>
        <v>0</v>
      </c>
      <c r="Z937" s="47" t="e">
        <f aca="false">IF(Informed=1,N937,0)</f>
        <v>#N/A</v>
      </c>
      <c r="AA937" s="47" t="n">
        <f aca="false">IF(Informed=0,N937,0)</f>
        <v>0</v>
      </c>
      <c r="AB937" s="51" t="e">
        <f aca="false">IF(Arterial=0,IF(Informed=1,1,0),0)</f>
        <v>#N/A</v>
      </c>
      <c r="AC937" s="51" t="e">
        <f aca="false">IF(Arterial=0,IF(Informed=0,1,0),0)</f>
        <v>#N/A</v>
      </c>
      <c r="AD937" s="51" t="e">
        <f aca="false">IF(Arterial=1,IF(Informed=1,1,0),0)</f>
        <v>#N/A</v>
      </c>
      <c r="AE937" s="51" t="e">
        <f aca="false">IF(Arterial=1,IF(Informed=0,1,0),0)</f>
        <v>#N/A</v>
      </c>
      <c r="AF937" s="44" t="e">
        <f aca="false">IF(AB937=1,(X937-G$1030)^2,0)</f>
        <v>#N/A</v>
      </c>
      <c r="AG937" s="44" t="e">
        <f aca="false">IF(AC937=1,(Y937-H$1030)^2,0)</f>
        <v>#N/A</v>
      </c>
      <c r="AH937" s="44" t="e">
        <f aca="false">IF(AD937=1,(Z937-I$1030)^2,0)</f>
        <v>#N/A</v>
      </c>
      <c r="AI937" s="44" t="e">
        <f aca="false">IF(AE937=1,(AA937-J$1030)^2,0)</f>
        <v>#N/A</v>
      </c>
    </row>
    <row r="938" customFormat="false" ht="12" hidden="false" customHeight="false" outlineLevel="0" collapsed="false">
      <c r="A938" s="29" t="n">
        <v>921</v>
      </c>
      <c r="B938" s="45" t="n">
        <f aca="true">IF(RAND()&lt;$D$8,1,0)</f>
        <v>1</v>
      </c>
      <c r="C938" s="34" t="n">
        <f aca="true">-LN(RAND())/$D$2</f>
        <v>2.50379964087672</v>
      </c>
      <c r="D938" s="46" t="n">
        <f aca="false">D937+C938</f>
        <v>1405.02505090174</v>
      </c>
      <c r="E938" s="47" t="e">
        <f aca="false">MAX($D$3,(1+P937-VLOOKUP(VALUE(D938),$J$18:$Q937,7,TRUE()))*$D$3)</f>
        <v>#N/A</v>
      </c>
      <c r="F938" s="47" t="e">
        <f aca="false">MAX($D$4,(1+Q937-VLOOKUP(VALUE(D938),$M$18:$Q937,5,TRUE()))*$D$4)</f>
        <v>#N/A</v>
      </c>
      <c r="G938" s="48" t="n">
        <v>0.5</v>
      </c>
      <c r="H938" s="46" t="e">
        <f aca="true">IF((B938=1),(IF((F938&lt;E938),1,(IF((F938=E938),(IF(RAND()&lt;G938,1,0)),0)))),(IF((RAND()&lt;G938),1,0)))</f>
        <v>#N/A</v>
      </c>
      <c r="I938" s="46" t="e">
        <f aca="true">IF((H938=1),0,$D$3+$D$5*(RAND()-0.5))</f>
        <v>#N/A</v>
      </c>
      <c r="J938" s="46" t="e">
        <f aca="false">I938+MAX(D938,J937)</f>
        <v>#N/A</v>
      </c>
      <c r="K938" s="46" t="e">
        <f aca="false">IF((H938=0),J938-D938,0)</f>
        <v>#N/A</v>
      </c>
      <c r="L938" s="46" t="e">
        <f aca="true">IF(($H938=0),0,$D$4+$D$5*(RAND()-0.5))</f>
        <v>#N/A</v>
      </c>
      <c r="M938" s="46" t="e">
        <f aca="false">L938+MAX(D938,M937)</f>
        <v>#N/A</v>
      </c>
      <c r="N938" s="46" t="e">
        <f aca="false">IF((H938=1),M938-D938,0)</f>
        <v>#N/A</v>
      </c>
      <c r="O938" s="29" t="n">
        <v>921</v>
      </c>
      <c r="P938" s="49" t="e">
        <f aca="false">IF((Arterial=0),P937+1,P937)</f>
        <v>#N/A</v>
      </c>
      <c r="Q938" s="49" t="e">
        <f aca="false">IF((Arterial=1),Q937+1,Q937)</f>
        <v>#N/A</v>
      </c>
      <c r="R938" s="50" t="n">
        <f aca="false">IF((RESET=1),0,R938+K938)</f>
        <v>0</v>
      </c>
      <c r="S938" s="19" t="n">
        <f aca="false">IF(RESET=1,0,S938+N938)</f>
        <v>0</v>
      </c>
      <c r="T938" s="0" t="n">
        <f aca="false">IF(RESET=1,0,T938+IF(H938=0,1,0))</f>
        <v>0</v>
      </c>
      <c r="U938" s="0" t="n">
        <f aca="false">IF(RESET=1,0,U938+H938)</f>
        <v>0</v>
      </c>
      <c r="V938" s="19" t="n">
        <f aca="false">R938/(T938+0.00001)</f>
        <v>0</v>
      </c>
      <c r="W938" s="19" t="n">
        <f aca="false">S938/(U938+0.0001)</f>
        <v>0</v>
      </c>
      <c r="X938" s="47" t="e">
        <f aca="false">IF(Informed=1,K938,0)</f>
        <v>#N/A</v>
      </c>
      <c r="Y938" s="47" t="n">
        <f aca="false">IF(Informed=0,K938,0)</f>
        <v>0</v>
      </c>
      <c r="Z938" s="47" t="e">
        <f aca="false">IF(Informed=1,N938,0)</f>
        <v>#N/A</v>
      </c>
      <c r="AA938" s="47" t="n">
        <f aca="false">IF(Informed=0,N938,0)</f>
        <v>0</v>
      </c>
      <c r="AB938" s="51" t="e">
        <f aca="false">IF(Arterial=0,IF(Informed=1,1,0),0)</f>
        <v>#N/A</v>
      </c>
      <c r="AC938" s="51" t="e">
        <f aca="false">IF(Arterial=0,IF(Informed=0,1,0),0)</f>
        <v>#N/A</v>
      </c>
      <c r="AD938" s="51" t="e">
        <f aca="false">IF(Arterial=1,IF(Informed=1,1,0),0)</f>
        <v>#N/A</v>
      </c>
      <c r="AE938" s="51" t="e">
        <f aca="false">IF(Arterial=1,IF(Informed=0,1,0),0)</f>
        <v>#N/A</v>
      </c>
      <c r="AF938" s="44" t="e">
        <f aca="false">IF(AB938=1,(X938-G$1030)^2,0)</f>
        <v>#N/A</v>
      </c>
      <c r="AG938" s="44" t="e">
        <f aca="false">IF(AC938=1,(Y938-H$1030)^2,0)</f>
        <v>#N/A</v>
      </c>
      <c r="AH938" s="44" t="e">
        <f aca="false">IF(AD938=1,(Z938-I$1030)^2,0)</f>
        <v>#N/A</v>
      </c>
      <c r="AI938" s="44" t="e">
        <f aca="false">IF(AE938=1,(AA938-J$1030)^2,0)</f>
        <v>#N/A</v>
      </c>
    </row>
    <row r="939" customFormat="false" ht="12" hidden="false" customHeight="false" outlineLevel="0" collapsed="false">
      <c r="A939" s="29" t="n">
        <v>922</v>
      </c>
      <c r="B939" s="45" t="n">
        <f aca="true">IF(RAND()&lt;$D$8,1,0)</f>
        <v>1</v>
      </c>
      <c r="C939" s="34" t="n">
        <f aca="true">-LN(RAND())/$D$2</f>
        <v>1.08350885405428</v>
      </c>
      <c r="D939" s="46" t="n">
        <f aca="false">D938+C939</f>
        <v>1406.10855975579</v>
      </c>
      <c r="E939" s="47" t="e">
        <f aca="false">MAX($D$3,(1+P938-VLOOKUP(VALUE(D939),$J$18:$Q938,7,TRUE()))*$D$3)</f>
        <v>#N/A</v>
      </c>
      <c r="F939" s="47" t="e">
        <f aca="false">MAX($D$4,(1+Q938-VLOOKUP(VALUE(D939),$M$18:$Q938,5,TRUE()))*$D$4)</f>
        <v>#N/A</v>
      </c>
      <c r="G939" s="48" t="n">
        <v>0.5</v>
      </c>
      <c r="H939" s="46" t="e">
        <f aca="true">IF((B939=1),(IF((F939&lt;E939),1,(IF((F939=E939),(IF(RAND()&lt;G939,1,0)),0)))),(IF((RAND()&lt;G939),1,0)))</f>
        <v>#N/A</v>
      </c>
      <c r="I939" s="46" t="e">
        <f aca="true">IF((H939=1),0,$D$3+$D$5*(RAND()-0.5))</f>
        <v>#N/A</v>
      </c>
      <c r="J939" s="46" t="e">
        <f aca="false">I939+MAX(D939,J938)</f>
        <v>#N/A</v>
      </c>
      <c r="K939" s="46" t="e">
        <f aca="false">IF((H939=0),J939-D939,0)</f>
        <v>#N/A</v>
      </c>
      <c r="L939" s="46" t="e">
        <f aca="true">IF(($H939=0),0,$D$4+$D$5*(RAND()-0.5))</f>
        <v>#N/A</v>
      </c>
      <c r="M939" s="46" t="e">
        <f aca="false">L939+MAX(D939,M938)</f>
        <v>#N/A</v>
      </c>
      <c r="N939" s="46" t="e">
        <f aca="false">IF((H939=1),M939-D939,0)</f>
        <v>#N/A</v>
      </c>
      <c r="O939" s="29" t="n">
        <v>922</v>
      </c>
      <c r="P939" s="49" t="e">
        <f aca="false">IF((Arterial=0),P938+1,P938)</f>
        <v>#N/A</v>
      </c>
      <c r="Q939" s="49" t="e">
        <f aca="false">IF((Arterial=1),Q938+1,Q938)</f>
        <v>#N/A</v>
      </c>
      <c r="R939" s="50" t="n">
        <f aca="false">IF((RESET=1),0,R939+K939)</f>
        <v>0</v>
      </c>
      <c r="S939" s="19" t="n">
        <f aca="false">IF(RESET=1,0,S939+N939)</f>
        <v>0</v>
      </c>
      <c r="T939" s="0" t="n">
        <f aca="false">IF(RESET=1,0,T939+IF(H939=0,1,0))</f>
        <v>0</v>
      </c>
      <c r="U939" s="0" t="n">
        <f aca="false">IF(RESET=1,0,U939+H939)</f>
        <v>0</v>
      </c>
      <c r="V939" s="19" t="n">
        <f aca="false">R939/(T939+0.00001)</f>
        <v>0</v>
      </c>
      <c r="W939" s="19" t="n">
        <f aca="false">S939/(U939+0.0001)</f>
        <v>0</v>
      </c>
      <c r="X939" s="47" t="e">
        <f aca="false">IF(Informed=1,K939,0)</f>
        <v>#N/A</v>
      </c>
      <c r="Y939" s="47" t="n">
        <f aca="false">IF(Informed=0,K939,0)</f>
        <v>0</v>
      </c>
      <c r="Z939" s="47" t="e">
        <f aca="false">IF(Informed=1,N939,0)</f>
        <v>#N/A</v>
      </c>
      <c r="AA939" s="47" t="n">
        <f aca="false">IF(Informed=0,N939,0)</f>
        <v>0</v>
      </c>
      <c r="AB939" s="51" t="e">
        <f aca="false">IF(Arterial=0,IF(Informed=1,1,0),0)</f>
        <v>#N/A</v>
      </c>
      <c r="AC939" s="51" t="e">
        <f aca="false">IF(Arterial=0,IF(Informed=0,1,0),0)</f>
        <v>#N/A</v>
      </c>
      <c r="AD939" s="51" t="e">
        <f aca="false">IF(Arterial=1,IF(Informed=1,1,0),0)</f>
        <v>#N/A</v>
      </c>
      <c r="AE939" s="51" t="e">
        <f aca="false">IF(Arterial=1,IF(Informed=0,1,0),0)</f>
        <v>#N/A</v>
      </c>
      <c r="AF939" s="44" t="e">
        <f aca="false">IF(AB939=1,(X939-G$1030)^2,0)</f>
        <v>#N/A</v>
      </c>
      <c r="AG939" s="44" t="e">
        <f aca="false">IF(AC939=1,(Y939-H$1030)^2,0)</f>
        <v>#N/A</v>
      </c>
      <c r="AH939" s="44" t="e">
        <f aca="false">IF(AD939=1,(Z939-I$1030)^2,0)</f>
        <v>#N/A</v>
      </c>
      <c r="AI939" s="44" t="e">
        <f aca="false">IF(AE939=1,(AA939-J$1030)^2,0)</f>
        <v>#N/A</v>
      </c>
    </row>
    <row r="940" customFormat="false" ht="12" hidden="false" customHeight="false" outlineLevel="0" collapsed="false">
      <c r="A940" s="29" t="n">
        <v>923</v>
      </c>
      <c r="B940" s="45" t="n">
        <f aca="true">IF(RAND()&lt;$D$8,1,0)</f>
        <v>1</v>
      </c>
      <c r="C940" s="34" t="n">
        <f aca="true">-LN(RAND())/$D$2</f>
        <v>0.632938792950422</v>
      </c>
      <c r="D940" s="46" t="n">
        <f aca="false">D939+C940</f>
        <v>1406.74149854874</v>
      </c>
      <c r="E940" s="47" t="e">
        <f aca="false">MAX($D$3,(1+P939-VLOOKUP(VALUE(D940),$J$18:$Q939,7,TRUE()))*$D$3)</f>
        <v>#N/A</v>
      </c>
      <c r="F940" s="47" t="e">
        <f aca="false">MAX($D$4,(1+Q939-VLOOKUP(VALUE(D940),$M$18:$Q939,5,TRUE()))*$D$4)</f>
        <v>#N/A</v>
      </c>
      <c r="G940" s="48" t="n">
        <v>0.5</v>
      </c>
      <c r="H940" s="46" t="e">
        <f aca="true">IF((B940=1),(IF((F940&lt;E940),1,(IF((F940=E940),(IF(RAND()&lt;G940,1,0)),0)))),(IF((RAND()&lt;G940),1,0)))</f>
        <v>#N/A</v>
      </c>
      <c r="I940" s="46" t="e">
        <f aca="true">IF((H940=1),0,$D$3+$D$5*(RAND()-0.5))</f>
        <v>#N/A</v>
      </c>
      <c r="J940" s="46" t="e">
        <f aca="false">I940+MAX(D940,J939)</f>
        <v>#N/A</v>
      </c>
      <c r="K940" s="46" t="e">
        <f aca="false">IF((H940=0),J940-D940,0)</f>
        <v>#N/A</v>
      </c>
      <c r="L940" s="46" t="e">
        <f aca="true">IF(($H940=0),0,$D$4+$D$5*(RAND()-0.5))</f>
        <v>#N/A</v>
      </c>
      <c r="M940" s="46" t="e">
        <f aca="false">L940+MAX(D940,M939)</f>
        <v>#N/A</v>
      </c>
      <c r="N940" s="46" t="e">
        <f aca="false">IF((H940=1),M940-D940,0)</f>
        <v>#N/A</v>
      </c>
      <c r="O940" s="29" t="n">
        <v>923</v>
      </c>
      <c r="P940" s="49" t="e">
        <f aca="false">IF((Arterial=0),P939+1,P939)</f>
        <v>#N/A</v>
      </c>
      <c r="Q940" s="49" t="e">
        <f aca="false">IF((Arterial=1),Q939+1,Q939)</f>
        <v>#N/A</v>
      </c>
      <c r="R940" s="50" t="n">
        <f aca="false">IF((RESET=1),0,R940+K940)</f>
        <v>0</v>
      </c>
      <c r="S940" s="19" t="n">
        <f aca="false">IF(RESET=1,0,S940+N940)</f>
        <v>0</v>
      </c>
      <c r="T940" s="0" t="n">
        <f aca="false">IF(RESET=1,0,T940+IF(H940=0,1,0))</f>
        <v>0</v>
      </c>
      <c r="U940" s="0" t="n">
        <f aca="false">IF(RESET=1,0,U940+H940)</f>
        <v>0</v>
      </c>
      <c r="V940" s="19" t="n">
        <f aca="false">R940/(T940+0.00001)</f>
        <v>0</v>
      </c>
      <c r="W940" s="19" t="n">
        <f aca="false">S940/(U940+0.0001)</f>
        <v>0</v>
      </c>
      <c r="X940" s="47" t="e">
        <f aca="false">IF(Informed=1,K940,0)</f>
        <v>#N/A</v>
      </c>
      <c r="Y940" s="47" t="n">
        <f aca="false">IF(Informed=0,K940,0)</f>
        <v>0</v>
      </c>
      <c r="Z940" s="47" t="e">
        <f aca="false">IF(Informed=1,N940,0)</f>
        <v>#N/A</v>
      </c>
      <c r="AA940" s="47" t="n">
        <f aca="false">IF(Informed=0,N940,0)</f>
        <v>0</v>
      </c>
      <c r="AB940" s="51" t="e">
        <f aca="false">IF(Arterial=0,IF(Informed=1,1,0),0)</f>
        <v>#N/A</v>
      </c>
      <c r="AC940" s="51" t="e">
        <f aca="false">IF(Arterial=0,IF(Informed=0,1,0),0)</f>
        <v>#N/A</v>
      </c>
      <c r="AD940" s="51" t="e">
        <f aca="false">IF(Arterial=1,IF(Informed=1,1,0),0)</f>
        <v>#N/A</v>
      </c>
      <c r="AE940" s="51" t="e">
        <f aca="false">IF(Arterial=1,IF(Informed=0,1,0),0)</f>
        <v>#N/A</v>
      </c>
      <c r="AF940" s="44" t="e">
        <f aca="false">IF(AB940=1,(X940-G$1030)^2,0)</f>
        <v>#N/A</v>
      </c>
      <c r="AG940" s="44" t="e">
        <f aca="false">IF(AC940=1,(Y940-H$1030)^2,0)</f>
        <v>#N/A</v>
      </c>
      <c r="AH940" s="44" t="e">
        <f aca="false">IF(AD940=1,(Z940-I$1030)^2,0)</f>
        <v>#N/A</v>
      </c>
      <c r="AI940" s="44" t="e">
        <f aca="false">IF(AE940=1,(AA940-J$1030)^2,0)</f>
        <v>#N/A</v>
      </c>
    </row>
    <row r="941" customFormat="false" ht="12" hidden="false" customHeight="false" outlineLevel="0" collapsed="false">
      <c r="A941" s="29" t="n">
        <v>924</v>
      </c>
      <c r="B941" s="45" t="n">
        <f aca="true">IF(RAND()&lt;$D$8,1,0)</f>
        <v>1</v>
      </c>
      <c r="C941" s="34" t="n">
        <f aca="true">-LN(RAND())/$D$2</f>
        <v>0.400534129243712</v>
      </c>
      <c r="D941" s="46" t="n">
        <f aca="false">D940+C941</f>
        <v>1407.14203267799</v>
      </c>
      <c r="E941" s="47" t="e">
        <f aca="false">MAX($D$3,(1+P940-VLOOKUP(VALUE(D941),$J$18:$Q940,7,TRUE()))*$D$3)</f>
        <v>#N/A</v>
      </c>
      <c r="F941" s="47" t="e">
        <f aca="false">MAX($D$4,(1+Q940-VLOOKUP(VALUE(D941),$M$18:$Q940,5,TRUE()))*$D$4)</f>
        <v>#N/A</v>
      </c>
      <c r="G941" s="48" t="n">
        <v>0.5</v>
      </c>
      <c r="H941" s="46" t="e">
        <f aca="true">IF((B941=1),(IF((F941&lt;E941),1,(IF((F941=E941),(IF(RAND()&lt;G941,1,0)),0)))),(IF((RAND()&lt;G941),1,0)))</f>
        <v>#N/A</v>
      </c>
      <c r="I941" s="46" t="e">
        <f aca="true">IF((H941=1),0,$D$3+$D$5*(RAND()-0.5))</f>
        <v>#N/A</v>
      </c>
      <c r="J941" s="46" t="e">
        <f aca="false">I941+MAX(D941,J940)</f>
        <v>#N/A</v>
      </c>
      <c r="K941" s="46" t="e">
        <f aca="false">IF((H941=0),J941-D941,0)</f>
        <v>#N/A</v>
      </c>
      <c r="L941" s="46" t="e">
        <f aca="true">IF(($H941=0),0,$D$4+$D$5*(RAND()-0.5))</f>
        <v>#N/A</v>
      </c>
      <c r="M941" s="46" t="e">
        <f aca="false">L941+MAX(D941,M940)</f>
        <v>#N/A</v>
      </c>
      <c r="N941" s="46" t="e">
        <f aca="false">IF((H941=1),M941-D941,0)</f>
        <v>#N/A</v>
      </c>
      <c r="O941" s="29" t="n">
        <v>924</v>
      </c>
      <c r="P941" s="49" t="e">
        <f aca="false">IF((Arterial=0),P940+1,P940)</f>
        <v>#N/A</v>
      </c>
      <c r="Q941" s="49" t="e">
        <f aca="false">IF((Arterial=1),Q940+1,Q940)</f>
        <v>#N/A</v>
      </c>
      <c r="R941" s="50" t="n">
        <f aca="false">IF((RESET=1),0,R941+K941)</f>
        <v>0</v>
      </c>
      <c r="S941" s="19" t="n">
        <f aca="false">IF(RESET=1,0,S941+N941)</f>
        <v>0</v>
      </c>
      <c r="T941" s="0" t="n">
        <f aca="false">IF(RESET=1,0,T941+IF(H941=0,1,0))</f>
        <v>0</v>
      </c>
      <c r="U941" s="0" t="n">
        <f aca="false">IF(RESET=1,0,U941+H941)</f>
        <v>0</v>
      </c>
      <c r="V941" s="19" t="n">
        <f aca="false">R941/(T941+0.00001)</f>
        <v>0</v>
      </c>
      <c r="W941" s="19" t="n">
        <f aca="false">S941/(U941+0.0001)</f>
        <v>0</v>
      </c>
      <c r="X941" s="47" t="e">
        <f aca="false">IF(Informed=1,K941,0)</f>
        <v>#N/A</v>
      </c>
      <c r="Y941" s="47" t="n">
        <f aca="false">IF(Informed=0,K941,0)</f>
        <v>0</v>
      </c>
      <c r="Z941" s="47" t="e">
        <f aca="false">IF(Informed=1,N941,0)</f>
        <v>#N/A</v>
      </c>
      <c r="AA941" s="47" t="n">
        <f aca="false">IF(Informed=0,N941,0)</f>
        <v>0</v>
      </c>
      <c r="AB941" s="51" t="e">
        <f aca="false">IF(Arterial=0,IF(Informed=1,1,0),0)</f>
        <v>#N/A</v>
      </c>
      <c r="AC941" s="51" t="e">
        <f aca="false">IF(Arterial=0,IF(Informed=0,1,0),0)</f>
        <v>#N/A</v>
      </c>
      <c r="AD941" s="51" t="e">
        <f aca="false">IF(Arterial=1,IF(Informed=1,1,0),0)</f>
        <v>#N/A</v>
      </c>
      <c r="AE941" s="51" t="e">
        <f aca="false">IF(Arterial=1,IF(Informed=0,1,0),0)</f>
        <v>#N/A</v>
      </c>
      <c r="AF941" s="44" t="e">
        <f aca="false">IF(AB941=1,(X941-G$1030)^2,0)</f>
        <v>#N/A</v>
      </c>
      <c r="AG941" s="44" t="e">
        <f aca="false">IF(AC941=1,(Y941-H$1030)^2,0)</f>
        <v>#N/A</v>
      </c>
      <c r="AH941" s="44" t="e">
        <f aca="false">IF(AD941=1,(Z941-I$1030)^2,0)</f>
        <v>#N/A</v>
      </c>
      <c r="AI941" s="44" t="e">
        <f aca="false">IF(AE941=1,(AA941-J$1030)^2,0)</f>
        <v>#N/A</v>
      </c>
    </row>
    <row r="942" customFormat="false" ht="12" hidden="false" customHeight="false" outlineLevel="0" collapsed="false">
      <c r="A942" s="29" t="n">
        <v>925</v>
      </c>
      <c r="B942" s="45" t="n">
        <f aca="true">IF(RAND()&lt;$D$8,1,0)</f>
        <v>1</v>
      </c>
      <c r="C942" s="34" t="n">
        <f aca="true">-LN(RAND())/$D$2</f>
        <v>0.433542802196036</v>
      </c>
      <c r="D942" s="46" t="n">
        <f aca="false">D941+C942</f>
        <v>1407.57557548018</v>
      </c>
      <c r="E942" s="47" t="e">
        <f aca="false">MAX($D$3,(1+P941-VLOOKUP(VALUE(D942),$J$18:$Q941,7,TRUE()))*$D$3)</f>
        <v>#N/A</v>
      </c>
      <c r="F942" s="47" t="e">
        <f aca="false">MAX($D$4,(1+Q941-VLOOKUP(VALUE(D942),$M$18:$Q941,5,TRUE()))*$D$4)</f>
        <v>#N/A</v>
      </c>
      <c r="G942" s="48" t="n">
        <v>0.5</v>
      </c>
      <c r="H942" s="46" t="e">
        <f aca="true">IF((B942=1),(IF((F942&lt;E942),1,(IF((F942=E942),(IF(RAND()&lt;G942,1,0)),0)))),(IF((RAND()&lt;G942),1,0)))</f>
        <v>#N/A</v>
      </c>
      <c r="I942" s="46" t="e">
        <f aca="true">IF((H942=1),0,$D$3+$D$5*(RAND()-0.5))</f>
        <v>#N/A</v>
      </c>
      <c r="J942" s="46" t="e">
        <f aca="false">I942+MAX(D942,J941)</f>
        <v>#N/A</v>
      </c>
      <c r="K942" s="46" t="e">
        <f aca="false">IF((H942=0),J942-D942,0)</f>
        <v>#N/A</v>
      </c>
      <c r="L942" s="46" t="e">
        <f aca="true">IF(($H942=0),0,$D$4+$D$5*(RAND()-0.5))</f>
        <v>#N/A</v>
      </c>
      <c r="M942" s="46" t="e">
        <f aca="false">L942+MAX(D942,M941)</f>
        <v>#N/A</v>
      </c>
      <c r="N942" s="46" t="e">
        <f aca="false">IF((H942=1),M942-D942,0)</f>
        <v>#N/A</v>
      </c>
      <c r="O942" s="29" t="n">
        <v>925</v>
      </c>
      <c r="P942" s="49" t="e">
        <f aca="false">IF((Arterial=0),P941+1,P941)</f>
        <v>#N/A</v>
      </c>
      <c r="Q942" s="49" t="e">
        <f aca="false">IF((Arterial=1),Q941+1,Q941)</f>
        <v>#N/A</v>
      </c>
      <c r="R942" s="50" t="n">
        <f aca="false">IF((RESET=1),0,R942+K942)</f>
        <v>0</v>
      </c>
      <c r="S942" s="19" t="n">
        <f aca="false">IF(RESET=1,0,S942+N942)</f>
        <v>0</v>
      </c>
      <c r="T942" s="0" t="n">
        <f aca="false">IF(RESET=1,0,T942+IF(H942=0,1,0))</f>
        <v>0</v>
      </c>
      <c r="U942" s="0" t="n">
        <f aca="false">IF(RESET=1,0,U942+H942)</f>
        <v>0</v>
      </c>
      <c r="V942" s="19" t="n">
        <f aca="false">R942/(T942+0.00001)</f>
        <v>0</v>
      </c>
      <c r="W942" s="19" t="n">
        <f aca="false">S942/(U942+0.0001)</f>
        <v>0</v>
      </c>
      <c r="X942" s="47" t="e">
        <f aca="false">IF(Informed=1,K942,0)</f>
        <v>#N/A</v>
      </c>
      <c r="Y942" s="47" t="n">
        <f aca="false">IF(Informed=0,K942,0)</f>
        <v>0</v>
      </c>
      <c r="Z942" s="47" t="e">
        <f aca="false">IF(Informed=1,N942,0)</f>
        <v>#N/A</v>
      </c>
      <c r="AA942" s="47" t="n">
        <f aca="false">IF(Informed=0,N942,0)</f>
        <v>0</v>
      </c>
      <c r="AB942" s="51" t="e">
        <f aca="false">IF(Arterial=0,IF(Informed=1,1,0),0)</f>
        <v>#N/A</v>
      </c>
      <c r="AC942" s="51" t="e">
        <f aca="false">IF(Arterial=0,IF(Informed=0,1,0),0)</f>
        <v>#N/A</v>
      </c>
      <c r="AD942" s="51" t="e">
        <f aca="false">IF(Arterial=1,IF(Informed=1,1,0),0)</f>
        <v>#N/A</v>
      </c>
      <c r="AE942" s="51" t="e">
        <f aca="false">IF(Arterial=1,IF(Informed=0,1,0),0)</f>
        <v>#N/A</v>
      </c>
      <c r="AF942" s="44" t="e">
        <f aca="false">IF(AB942=1,(X942-G$1030)^2,0)</f>
        <v>#N/A</v>
      </c>
      <c r="AG942" s="44" t="e">
        <f aca="false">IF(AC942=1,(Y942-H$1030)^2,0)</f>
        <v>#N/A</v>
      </c>
      <c r="AH942" s="44" t="e">
        <f aca="false">IF(AD942=1,(Z942-I$1030)^2,0)</f>
        <v>#N/A</v>
      </c>
      <c r="AI942" s="44" t="e">
        <f aca="false">IF(AE942=1,(AA942-J$1030)^2,0)</f>
        <v>#N/A</v>
      </c>
    </row>
    <row r="943" customFormat="false" ht="12" hidden="false" customHeight="false" outlineLevel="0" collapsed="false">
      <c r="A943" s="29" t="n">
        <v>926</v>
      </c>
      <c r="B943" s="45" t="n">
        <f aca="true">IF(RAND()&lt;$D$8,1,0)</f>
        <v>1</v>
      </c>
      <c r="C943" s="34" t="n">
        <f aca="true">-LN(RAND())/$D$2</f>
        <v>3.98865414957426</v>
      </c>
      <c r="D943" s="46" t="n">
        <f aca="false">D942+C943</f>
        <v>1411.56422962976</v>
      </c>
      <c r="E943" s="47" t="e">
        <f aca="false">MAX($D$3,(1+P942-VLOOKUP(VALUE(D943),$J$18:$Q942,7,TRUE()))*$D$3)</f>
        <v>#N/A</v>
      </c>
      <c r="F943" s="47" t="e">
        <f aca="false">MAX($D$4,(1+Q942-VLOOKUP(VALUE(D943),$M$18:$Q942,5,TRUE()))*$D$4)</f>
        <v>#N/A</v>
      </c>
      <c r="G943" s="48" t="n">
        <v>0.5</v>
      </c>
      <c r="H943" s="46" t="e">
        <f aca="true">IF((B943=1),(IF((F943&lt;E943),1,(IF((F943=E943),(IF(RAND()&lt;G943,1,0)),0)))),(IF((RAND()&lt;G943),1,0)))</f>
        <v>#N/A</v>
      </c>
      <c r="I943" s="46" t="e">
        <f aca="true">IF((H943=1),0,$D$3+$D$5*(RAND()-0.5))</f>
        <v>#N/A</v>
      </c>
      <c r="J943" s="46" t="e">
        <f aca="false">I943+MAX(D943,J942)</f>
        <v>#N/A</v>
      </c>
      <c r="K943" s="46" t="e">
        <f aca="false">IF((H943=0),J943-D943,0)</f>
        <v>#N/A</v>
      </c>
      <c r="L943" s="46" t="e">
        <f aca="true">IF(($H943=0),0,$D$4+$D$5*(RAND()-0.5))</f>
        <v>#N/A</v>
      </c>
      <c r="M943" s="46" t="e">
        <f aca="false">L943+MAX(D943,M942)</f>
        <v>#N/A</v>
      </c>
      <c r="N943" s="46" t="e">
        <f aca="false">IF((H943=1),M943-D943,0)</f>
        <v>#N/A</v>
      </c>
      <c r="O943" s="29" t="n">
        <v>926</v>
      </c>
      <c r="P943" s="49" t="e">
        <f aca="false">IF((Arterial=0),P942+1,P942)</f>
        <v>#N/A</v>
      </c>
      <c r="Q943" s="49" t="e">
        <f aca="false">IF((Arterial=1),Q942+1,Q942)</f>
        <v>#N/A</v>
      </c>
      <c r="R943" s="50" t="n">
        <f aca="false">IF((RESET=1),0,R943+K943)</f>
        <v>0</v>
      </c>
      <c r="S943" s="19" t="n">
        <f aca="false">IF(RESET=1,0,S943+N943)</f>
        <v>0</v>
      </c>
      <c r="T943" s="0" t="n">
        <f aca="false">IF(RESET=1,0,T943+IF(H943=0,1,0))</f>
        <v>0</v>
      </c>
      <c r="U943" s="0" t="n">
        <f aca="false">IF(RESET=1,0,U943+H943)</f>
        <v>0</v>
      </c>
      <c r="V943" s="19" t="n">
        <f aca="false">R943/(T943+0.00001)</f>
        <v>0</v>
      </c>
      <c r="W943" s="19" t="n">
        <f aca="false">S943/(U943+0.0001)</f>
        <v>0</v>
      </c>
      <c r="X943" s="47" t="e">
        <f aca="false">IF(Informed=1,K943,0)</f>
        <v>#N/A</v>
      </c>
      <c r="Y943" s="47" t="n">
        <f aca="false">IF(Informed=0,K943,0)</f>
        <v>0</v>
      </c>
      <c r="Z943" s="47" t="e">
        <f aca="false">IF(Informed=1,N943,0)</f>
        <v>#N/A</v>
      </c>
      <c r="AA943" s="47" t="n">
        <f aca="false">IF(Informed=0,N943,0)</f>
        <v>0</v>
      </c>
      <c r="AB943" s="51" t="e">
        <f aca="false">IF(Arterial=0,IF(Informed=1,1,0),0)</f>
        <v>#N/A</v>
      </c>
      <c r="AC943" s="51" t="e">
        <f aca="false">IF(Arterial=0,IF(Informed=0,1,0),0)</f>
        <v>#N/A</v>
      </c>
      <c r="AD943" s="51" t="e">
        <f aca="false">IF(Arterial=1,IF(Informed=1,1,0),0)</f>
        <v>#N/A</v>
      </c>
      <c r="AE943" s="51" t="e">
        <f aca="false">IF(Arterial=1,IF(Informed=0,1,0),0)</f>
        <v>#N/A</v>
      </c>
      <c r="AF943" s="44" t="e">
        <f aca="false">IF(AB943=1,(X943-G$1030)^2,0)</f>
        <v>#N/A</v>
      </c>
      <c r="AG943" s="44" t="e">
        <f aca="false">IF(AC943=1,(Y943-H$1030)^2,0)</f>
        <v>#N/A</v>
      </c>
      <c r="AH943" s="44" t="e">
        <f aca="false">IF(AD943=1,(Z943-I$1030)^2,0)</f>
        <v>#N/A</v>
      </c>
      <c r="AI943" s="44" t="e">
        <f aca="false">IF(AE943=1,(AA943-J$1030)^2,0)</f>
        <v>#N/A</v>
      </c>
    </row>
    <row r="944" customFormat="false" ht="12" hidden="false" customHeight="false" outlineLevel="0" collapsed="false">
      <c r="A944" s="29" t="n">
        <v>927</v>
      </c>
      <c r="B944" s="45" t="n">
        <f aca="true">IF(RAND()&lt;$D$8,1,0)</f>
        <v>1</v>
      </c>
      <c r="C944" s="34" t="n">
        <f aca="true">-LN(RAND())/$D$2</f>
        <v>0.601495261357855</v>
      </c>
      <c r="D944" s="46" t="n">
        <f aca="false">D943+C944</f>
        <v>1412.16572489112</v>
      </c>
      <c r="E944" s="47" t="e">
        <f aca="false">MAX($D$3,(1+P943-VLOOKUP(VALUE(D944),$J$18:$Q943,7,TRUE()))*$D$3)</f>
        <v>#N/A</v>
      </c>
      <c r="F944" s="47" t="e">
        <f aca="false">MAX($D$4,(1+Q943-VLOOKUP(VALUE(D944),$M$18:$Q943,5,TRUE()))*$D$4)</f>
        <v>#N/A</v>
      </c>
      <c r="G944" s="48" t="n">
        <v>0.5</v>
      </c>
      <c r="H944" s="46" t="e">
        <f aca="true">IF((B944=1),(IF((F944&lt;E944),1,(IF((F944=E944),(IF(RAND()&lt;G944,1,0)),0)))),(IF((RAND()&lt;G944),1,0)))</f>
        <v>#N/A</v>
      </c>
      <c r="I944" s="46" t="e">
        <f aca="true">IF((H944=1),0,$D$3+$D$5*(RAND()-0.5))</f>
        <v>#N/A</v>
      </c>
      <c r="J944" s="46" t="e">
        <f aca="false">I944+MAX(D944,J943)</f>
        <v>#N/A</v>
      </c>
      <c r="K944" s="46" t="e">
        <f aca="false">IF((H944=0),J944-D944,0)</f>
        <v>#N/A</v>
      </c>
      <c r="L944" s="46" t="e">
        <f aca="true">IF(($H944=0),0,$D$4+$D$5*(RAND()-0.5))</f>
        <v>#N/A</v>
      </c>
      <c r="M944" s="46" t="e">
        <f aca="false">L944+MAX(D944,M943)</f>
        <v>#N/A</v>
      </c>
      <c r="N944" s="46" t="e">
        <f aca="false">IF((H944=1),M944-D944,0)</f>
        <v>#N/A</v>
      </c>
      <c r="O944" s="29" t="n">
        <v>927</v>
      </c>
      <c r="P944" s="49" t="e">
        <f aca="false">IF((Arterial=0),P943+1,P943)</f>
        <v>#N/A</v>
      </c>
      <c r="Q944" s="49" t="e">
        <f aca="false">IF((Arterial=1),Q943+1,Q943)</f>
        <v>#N/A</v>
      </c>
      <c r="R944" s="50" t="n">
        <f aca="false">IF((RESET=1),0,R944+K944)</f>
        <v>0</v>
      </c>
      <c r="S944" s="19" t="n">
        <f aca="false">IF(RESET=1,0,S944+N944)</f>
        <v>0</v>
      </c>
      <c r="T944" s="0" t="n">
        <f aca="false">IF(RESET=1,0,T944+IF(H944=0,1,0))</f>
        <v>0</v>
      </c>
      <c r="U944" s="0" t="n">
        <f aca="false">IF(RESET=1,0,U944+H944)</f>
        <v>0</v>
      </c>
      <c r="V944" s="19" t="n">
        <f aca="false">R944/(T944+0.00001)</f>
        <v>0</v>
      </c>
      <c r="W944" s="19" t="n">
        <f aca="false">S944/(U944+0.0001)</f>
        <v>0</v>
      </c>
      <c r="X944" s="47" t="e">
        <f aca="false">IF(Informed=1,K944,0)</f>
        <v>#N/A</v>
      </c>
      <c r="Y944" s="47" t="n">
        <f aca="false">IF(Informed=0,K944,0)</f>
        <v>0</v>
      </c>
      <c r="Z944" s="47" t="e">
        <f aca="false">IF(Informed=1,N944,0)</f>
        <v>#N/A</v>
      </c>
      <c r="AA944" s="47" t="n">
        <f aca="false">IF(Informed=0,N944,0)</f>
        <v>0</v>
      </c>
      <c r="AB944" s="51" t="e">
        <f aca="false">IF(Arterial=0,IF(Informed=1,1,0),0)</f>
        <v>#N/A</v>
      </c>
      <c r="AC944" s="51" t="e">
        <f aca="false">IF(Arterial=0,IF(Informed=0,1,0),0)</f>
        <v>#N/A</v>
      </c>
      <c r="AD944" s="51" t="e">
        <f aca="false">IF(Arterial=1,IF(Informed=1,1,0),0)</f>
        <v>#N/A</v>
      </c>
      <c r="AE944" s="51" t="e">
        <f aca="false">IF(Arterial=1,IF(Informed=0,1,0),0)</f>
        <v>#N/A</v>
      </c>
      <c r="AF944" s="44" t="e">
        <f aca="false">IF(AB944=1,(X944-G$1030)^2,0)</f>
        <v>#N/A</v>
      </c>
      <c r="AG944" s="44" t="e">
        <f aca="false">IF(AC944=1,(Y944-H$1030)^2,0)</f>
        <v>#N/A</v>
      </c>
      <c r="AH944" s="44" t="e">
        <f aca="false">IF(AD944=1,(Z944-I$1030)^2,0)</f>
        <v>#N/A</v>
      </c>
      <c r="AI944" s="44" t="e">
        <f aca="false">IF(AE944=1,(AA944-J$1030)^2,0)</f>
        <v>#N/A</v>
      </c>
    </row>
    <row r="945" customFormat="false" ht="12" hidden="false" customHeight="false" outlineLevel="0" collapsed="false">
      <c r="A945" s="29" t="n">
        <v>928</v>
      </c>
      <c r="B945" s="45" t="n">
        <f aca="true">IF(RAND()&lt;$D$8,1,0)</f>
        <v>1</v>
      </c>
      <c r="C945" s="34" t="n">
        <f aca="true">-LN(RAND())/$D$2</f>
        <v>0.511207354393807</v>
      </c>
      <c r="D945" s="46" t="n">
        <f aca="false">D944+C945</f>
        <v>1412.67693224551</v>
      </c>
      <c r="E945" s="47" t="e">
        <f aca="false">MAX($D$3,(1+P944-VLOOKUP(VALUE(D945),$J$18:$Q944,7,TRUE()))*$D$3)</f>
        <v>#N/A</v>
      </c>
      <c r="F945" s="47" t="e">
        <f aca="false">MAX($D$4,(1+Q944-VLOOKUP(VALUE(D945),$M$18:$Q944,5,TRUE()))*$D$4)</f>
        <v>#N/A</v>
      </c>
      <c r="G945" s="48" t="n">
        <v>0.5</v>
      </c>
      <c r="H945" s="46" t="e">
        <f aca="true">IF((B945=1),(IF((F945&lt;E945),1,(IF((F945=E945),(IF(RAND()&lt;G945,1,0)),0)))),(IF((RAND()&lt;G945),1,0)))</f>
        <v>#N/A</v>
      </c>
      <c r="I945" s="46" t="e">
        <f aca="true">IF((H945=1),0,$D$3+$D$5*(RAND()-0.5))</f>
        <v>#N/A</v>
      </c>
      <c r="J945" s="46" t="e">
        <f aca="false">I945+MAX(D945,J944)</f>
        <v>#N/A</v>
      </c>
      <c r="K945" s="46" t="e">
        <f aca="false">IF((H945=0),J945-D945,0)</f>
        <v>#N/A</v>
      </c>
      <c r="L945" s="46" t="e">
        <f aca="true">IF(($H945=0),0,$D$4+$D$5*(RAND()-0.5))</f>
        <v>#N/A</v>
      </c>
      <c r="M945" s="46" t="e">
        <f aca="false">L945+MAX(D945,M944)</f>
        <v>#N/A</v>
      </c>
      <c r="N945" s="46" t="e">
        <f aca="false">IF((H945=1),M945-D945,0)</f>
        <v>#N/A</v>
      </c>
      <c r="O945" s="29" t="n">
        <v>928</v>
      </c>
      <c r="P945" s="49" t="e">
        <f aca="false">IF((Arterial=0),P944+1,P944)</f>
        <v>#N/A</v>
      </c>
      <c r="Q945" s="49" t="e">
        <f aca="false">IF((Arterial=1),Q944+1,Q944)</f>
        <v>#N/A</v>
      </c>
      <c r="R945" s="50" t="n">
        <f aca="false">IF((RESET=1),0,R945+K945)</f>
        <v>0</v>
      </c>
      <c r="S945" s="19" t="n">
        <f aca="false">IF(RESET=1,0,S945+N945)</f>
        <v>0</v>
      </c>
      <c r="T945" s="0" t="n">
        <f aca="false">IF(RESET=1,0,T945+IF(H945=0,1,0))</f>
        <v>0</v>
      </c>
      <c r="U945" s="0" t="n">
        <f aca="false">IF(RESET=1,0,U945+H945)</f>
        <v>0</v>
      </c>
      <c r="V945" s="19" t="n">
        <f aca="false">R945/(T945+0.00001)</f>
        <v>0</v>
      </c>
      <c r="W945" s="19" t="n">
        <f aca="false">S945/(U945+0.0001)</f>
        <v>0</v>
      </c>
      <c r="X945" s="47" t="e">
        <f aca="false">IF(Informed=1,K945,0)</f>
        <v>#N/A</v>
      </c>
      <c r="Y945" s="47" t="n">
        <f aca="false">IF(Informed=0,K945,0)</f>
        <v>0</v>
      </c>
      <c r="Z945" s="47" t="e">
        <f aca="false">IF(Informed=1,N945,0)</f>
        <v>#N/A</v>
      </c>
      <c r="AA945" s="47" t="n">
        <f aca="false">IF(Informed=0,N945,0)</f>
        <v>0</v>
      </c>
      <c r="AB945" s="51" t="e">
        <f aca="false">IF(Arterial=0,IF(Informed=1,1,0),0)</f>
        <v>#N/A</v>
      </c>
      <c r="AC945" s="51" t="e">
        <f aca="false">IF(Arterial=0,IF(Informed=0,1,0),0)</f>
        <v>#N/A</v>
      </c>
      <c r="AD945" s="51" t="e">
        <f aca="false">IF(Arterial=1,IF(Informed=1,1,0),0)</f>
        <v>#N/A</v>
      </c>
      <c r="AE945" s="51" t="e">
        <f aca="false">IF(Arterial=1,IF(Informed=0,1,0),0)</f>
        <v>#N/A</v>
      </c>
      <c r="AF945" s="44" t="e">
        <f aca="false">IF(AB945=1,(X945-G$1030)^2,0)</f>
        <v>#N/A</v>
      </c>
      <c r="AG945" s="44" t="e">
        <f aca="false">IF(AC945=1,(Y945-H$1030)^2,0)</f>
        <v>#N/A</v>
      </c>
      <c r="AH945" s="44" t="e">
        <f aca="false">IF(AD945=1,(Z945-I$1030)^2,0)</f>
        <v>#N/A</v>
      </c>
      <c r="AI945" s="44" t="e">
        <f aca="false">IF(AE945=1,(AA945-J$1030)^2,0)</f>
        <v>#N/A</v>
      </c>
    </row>
    <row r="946" customFormat="false" ht="12" hidden="false" customHeight="false" outlineLevel="0" collapsed="false">
      <c r="A946" s="29" t="n">
        <v>929</v>
      </c>
      <c r="B946" s="45" t="n">
        <f aca="true">IF(RAND()&lt;$D$8,1,0)</f>
        <v>1</v>
      </c>
      <c r="C946" s="34" t="n">
        <f aca="true">-LN(RAND())/$D$2</f>
        <v>2.99284943181016</v>
      </c>
      <c r="D946" s="46" t="n">
        <f aca="false">D945+C946</f>
        <v>1415.66978167732</v>
      </c>
      <c r="E946" s="47" t="e">
        <f aca="false">MAX($D$3,(1+P945-VLOOKUP(VALUE(D946),$J$18:$Q945,7,TRUE()))*$D$3)</f>
        <v>#N/A</v>
      </c>
      <c r="F946" s="47" t="e">
        <f aca="false">MAX($D$4,(1+Q945-VLOOKUP(VALUE(D946),$M$18:$Q945,5,TRUE()))*$D$4)</f>
        <v>#N/A</v>
      </c>
      <c r="G946" s="48" t="n">
        <v>0.5</v>
      </c>
      <c r="H946" s="46" t="e">
        <f aca="true">IF((B946=1),(IF((F946&lt;E946),1,(IF((F946=E946),(IF(RAND()&lt;G946,1,0)),0)))),(IF((RAND()&lt;G946),1,0)))</f>
        <v>#N/A</v>
      </c>
      <c r="I946" s="46" t="e">
        <f aca="true">IF((H946=1),0,$D$3+$D$5*(RAND()-0.5))</f>
        <v>#N/A</v>
      </c>
      <c r="J946" s="46" t="e">
        <f aca="false">I946+MAX(D946,J945)</f>
        <v>#N/A</v>
      </c>
      <c r="K946" s="46" t="e">
        <f aca="false">IF((H946=0),J946-D946,0)</f>
        <v>#N/A</v>
      </c>
      <c r="L946" s="46" t="e">
        <f aca="true">IF(($H946=0),0,$D$4+$D$5*(RAND()-0.5))</f>
        <v>#N/A</v>
      </c>
      <c r="M946" s="46" t="e">
        <f aca="false">L946+MAX(D946,M945)</f>
        <v>#N/A</v>
      </c>
      <c r="N946" s="46" t="e">
        <f aca="false">IF((H946=1),M946-D946,0)</f>
        <v>#N/A</v>
      </c>
      <c r="O946" s="29" t="n">
        <v>929</v>
      </c>
      <c r="P946" s="49" t="e">
        <f aca="false">IF((Arterial=0),P945+1,P945)</f>
        <v>#N/A</v>
      </c>
      <c r="Q946" s="49" t="e">
        <f aca="false">IF((Arterial=1),Q945+1,Q945)</f>
        <v>#N/A</v>
      </c>
      <c r="R946" s="50" t="n">
        <f aca="false">IF((RESET=1),0,R946+K946)</f>
        <v>0</v>
      </c>
      <c r="S946" s="19" t="n">
        <f aca="false">IF(RESET=1,0,S946+N946)</f>
        <v>0</v>
      </c>
      <c r="T946" s="0" t="n">
        <f aca="false">IF(RESET=1,0,T946+IF(H946=0,1,0))</f>
        <v>0</v>
      </c>
      <c r="U946" s="0" t="n">
        <f aca="false">IF(RESET=1,0,U946+H946)</f>
        <v>0</v>
      </c>
      <c r="V946" s="19" t="n">
        <f aca="false">R946/(T946+0.00001)</f>
        <v>0</v>
      </c>
      <c r="W946" s="19" t="n">
        <f aca="false">S946/(U946+0.0001)</f>
        <v>0</v>
      </c>
      <c r="X946" s="47" t="e">
        <f aca="false">IF(Informed=1,K946,0)</f>
        <v>#N/A</v>
      </c>
      <c r="Y946" s="47" t="n">
        <f aca="false">IF(Informed=0,K946,0)</f>
        <v>0</v>
      </c>
      <c r="Z946" s="47" t="e">
        <f aca="false">IF(Informed=1,N946,0)</f>
        <v>#N/A</v>
      </c>
      <c r="AA946" s="47" t="n">
        <f aca="false">IF(Informed=0,N946,0)</f>
        <v>0</v>
      </c>
      <c r="AB946" s="51" t="e">
        <f aca="false">IF(Arterial=0,IF(Informed=1,1,0),0)</f>
        <v>#N/A</v>
      </c>
      <c r="AC946" s="51" t="e">
        <f aca="false">IF(Arterial=0,IF(Informed=0,1,0),0)</f>
        <v>#N/A</v>
      </c>
      <c r="AD946" s="51" t="e">
        <f aca="false">IF(Arterial=1,IF(Informed=1,1,0),0)</f>
        <v>#N/A</v>
      </c>
      <c r="AE946" s="51" t="e">
        <f aca="false">IF(Arterial=1,IF(Informed=0,1,0),0)</f>
        <v>#N/A</v>
      </c>
      <c r="AF946" s="44" t="e">
        <f aca="false">IF(AB946=1,(X946-G$1030)^2,0)</f>
        <v>#N/A</v>
      </c>
      <c r="AG946" s="44" t="e">
        <f aca="false">IF(AC946=1,(Y946-H$1030)^2,0)</f>
        <v>#N/A</v>
      </c>
      <c r="AH946" s="44" t="e">
        <f aca="false">IF(AD946=1,(Z946-I$1030)^2,0)</f>
        <v>#N/A</v>
      </c>
      <c r="AI946" s="44" t="e">
        <f aca="false">IF(AE946=1,(AA946-J$1030)^2,0)</f>
        <v>#N/A</v>
      </c>
    </row>
    <row r="947" customFormat="false" ht="12" hidden="false" customHeight="false" outlineLevel="0" collapsed="false">
      <c r="A947" s="29" t="n">
        <v>930</v>
      </c>
      <c r="B947" s="45" t="n">
        <f aca="true">IF(RAND()&lt;$D$8,1,0)</f>
        <v>1</v>
      </c>
      <c r="C947" s="34" t="n">
        <f aca="true">-LN(RAND())/$D$2</f>
        <v>0.184309935405781</v>
      </c>
      <c r="D947" s="46" t="n">
        <f aca="false">D946+C947</f>
        <v>1415.85409161272</v>
      </c>
      <c r="E947" s="47" t="e">
        <f aca="false">MAX($D$3,(1+P946-VLOOKUP(VALUE(D947),$J$18:$Q946,7,TRUE()))*$D$3)</f>
        <v>#N/A</v>
      </c>
      <c r="F947" s="47" t="e">
        <f aca="false">MAX($D$4,(1+Q946-VLOOKUP(VALUE(D947),$M$18:$Q946,5,TRUE()))*$D$4)</f>
        <v>#N/A</v>
      </c>
      <c r="G947" s="48" t="n">
        <v>0.5</v>
      </c>
      <c r="H947" s="46" t="e">
        <f aca="true">IF((B947=1),(IF((F947&lt;E947),1,(IF((F947=E947),(IF(RAND()&lt;G947,1,0)),0)))),(IF((RAND()&lt;G947),1,0)))</f>
        <v>#N/A</v>
      </c>
      <c r="I947" s="46" t="e">
        <f aca="true">IF((H947=1),0,$D$3+$D$5*(RAND()-0.5))</f>
        <v>#N/A</v>
      </c>
      <c r="J947" s="46" t="e">
        <f aca="false">I947+MAX(D947,J946)</f>
        <v>#N/A</v>
      </c>
      <c r="K947" s="46" t="e">
        <f aca="false">IF((H947=0),J947-D947,0)</f>
        <v>#N/A</v>
      </c>
      <c r="L947" s="46" t="e">
        <f aca="true">IF(($H947=0),0,$D$4+$D$5*(RAND()-0.5))</f>
        <v>#N/A</v>
      </c>
      <c r="M947" s="46" t="e">
        <f aca="false">L947+MAX(D947,M946)</f>
        <v>#N/A</v>
      </c>
      <c r="N947" s="46" t="e">
        <f aca="false">IF((H947=1),M947-D947,0)</f>
        <v>#N/A</v>
      </c>
      <c r="O947" s="29" t="n">
        <v>930</v>
      </c>
      <c r="P947" s="49" t="e">
        <f aca="false">IF((Arterial=0),P946+1,P946)</f>
        <v>#N/A</v>
      </c>
      <c r="Q947" s="49" t="e">
        <f aca="false">IF((Arterial=1),Q946+1,Q946)</f>
        <v>#N/A</v>
      </c>
      <c r="R947" s="50" t="n">
        <f aca="false">IF((RESET=1),0,R947+K947)</f>
        <v>0</v>
      </c>
      <c r="S947" s="19" t="n">
        <f aca="false">IF(RESET=1,0,S947+N947)</f>
        <v>0</v>
      </c>
      <c r="T947" s="0" t="n">
        <f aca="false">IF(RESET=1,0,T947+IF(H947=0,1,0))</f>
        <v>0</v>
      </c>
      <c r="U947" s="0" t="n">
        <f aca="false">IF(RESET=1,0,U947+H947)</f>
        <v>0</v>
      </c>
      <c r="V947" s="19" t="n">
        <f aca="false">R947/(T947+0.00001)</f>
        <v>0</v>
      </c>
      <c r="W947" s="19" t="n">
        <f aca="false">S947/(U947+0.0001)</f>
        <v>0</v>
      </c>
      <c r="X947" s="47" t="e">
        <f aca="false">IF(Informed=1,K947,0)</f>
        <v>#N/A</v>
      </c>
      <c r="Y947" s="47" t="n">
        <f aca="false">IF(Informed=0,K947,0)</f>
        <v>0</v>
      </c>
      <c r="Z947" s="47" t="e">
        <f aca="false">IF(Informed=1,N947,0)</f>
        <v>#N/A</v>
      </c>
      <c r="AA947" s="47" t="n">
        <f aca="false">IF(Informed=0,N947,0)</f>
        <v>0</v>
      </c>
      <c r="AB947" s="51" t="e">
        <f aca="false">IF(Arterial=0,IF(Informed=1,1,0),0)</f>
        <v>#N/A</v>
      </c>
      <c r="AC947" s="51" t="e">
        <f aca="false">IF(Arterial=0,IF(Informed=0,1,0),0)</f>
        <v>#N/A</v>
      </c>
      <c r="AD947" s="51" t="e">
        <f aca="false">IF(Arterial=1,IF(Informed=1,1,0),0)</f>
        <v>#N/A</v>
      </c>
      <c r="AE947" s="51" t="e">
        <f aca="false">IF(Arterial=1,IF(Informed=0,1,0),0)</f>
        <v>#N/A</v>
      </c>
      <c r="AF947" s="44" t="e">
        <f aca="false">IF(AB947=1,(X947-G$1030)^2,0)</f>
        <v>#N/A</v>
      </c>
      <c r="AG947" s="44" t="e">
        <f aca="false">IF(AC947=1,(Y947-H$1030)^2,0)</f>
        <v>#N/A</v>
      </c>
      <c r="AH947" s="44" t="e">
        <f aca="false">IF(AD947=1,(Z947-I$1030)^2,0)</f>
        <v>#N/A</v>
      </c>
      <c r="AI947" s="44" t="e">
        <f aca="false">IF(AE947=1,(AA947-J$1030)^2,0)</f>
        <v>#N/A</v>
      </c>
    </row>
    <row r="948" customFormat="false" ht="12" hidden="false" customHeight="false" outlineLevel="0" collapsed="false">
      <c r="A948" s="29" t="n">
        <v>931</v>
      </c>
      <c r="B948" s="45" t="n">
        <f aca="true">IF(RAND()&lt;$D$8,1,0)</f>
        <v>1</v>
      </c>
      <c r="C948" s="34" t="n">
        <f aca="true">-LN(RAND())/$D$2</f>
        <v>1.4353184754786</v>
      </c>
      <c r="D948" s="46" t="n">
        <f aca="false">D947+C948</f>
        <v>1417.2894100882</v>
      </c>
      <c r="E948" s="47" t="e">
        <f aca="false">MAX($D$3,(1+P947-VLOOKUP(VALUE(D948),$J$18:$Q947,7,TRUE()))*$D$3)</f>
        <v>#N/A</v>
      </c>
      <c r="F948" s="47" t="e">
        <f aca="false">MAX($D$4,(1+Q947-VLOOKUP(VALUE(D948),$M$18:$Q947,5,TRUE()))*$D$4)</f>
        <v>#N/A</v>
      </c>
      <c r="G948" s="48" t="n">
        <v>0.5</v>
      </c>
      <c r="H948" s="46" t="e">
        <f aca="true">IF((B948=1),(IF((F948&lt;E948),1,(IF((F948=E948),(IF(RAND()&lt;G948,1,0)),0)))),(IF((RAND()&lt;G948),1,0)))</f>
        <v>#N/A</v>
      </c>
      <c r="I948" s="46" t="e">
        <f aca="true">IF((H948=1),0,$D$3+$D$5*(RAND()-0.5))</f>
        <v>#N/A</v>
      </c>
      <c r="J948" s="46" t="e">
        <f aca="false">I948+MAX(D948,J947)</f>
        <v>#N/A</v>
      </c>
      <c r="K948" s="46" t="e">
        <f aca="false">IF((H948=0),J948-D948,0)</f>
        <v>#N/A</v>
      </c>
      <c r="L948" s="46" t="e">
        <f aca="true">IF(($H948=0),0,$D$4+$D$5*(RAND()-0.5))</f>
        <v>#N/A</v>
      </c>
      <c r="M948" s="46" t="e">
        <f aca="false">L948+MAX(D948,M947)</f>
        <v>#N/A</v>
      </c>
      <c r="N948" s="46" t="e">
        <f aca="false">IF((H948=1),M948-D948,0)</f>
        <v>#N/A</v>
      </c>
      <c r="O948" s="29" t="n">
        <v>931</v>
      </c>
      <c r="P948" s="49" t="e">
        <f aca="false">IF((Arterial=0),P947+1,P947)</f>
        <v>#N/A</v>
      </c>
      <c r="Q948" s="49" t="e">
        <f aca="false">IF((Arterial=1),Q947+1,Q947)</f>
        <v>#N/A</v>
      </c>
      <c r="R948" s="50" t="n">
        <f aca="false">IF((RESET=1),0,R948+K948)</f>
        <v>0</v>
      </c>
      <c r="S948" s="19" t="n">
        <f aca="false">IF(RESET=1,0,S948+N948)</f>
        <v>0</v>
      </c>
      <c r="T948" s="0" t="n">
        <f aca="false">IF(RESET=1,0,T948+IF(H948=0,1,0))</f>
        <v>0</v>
      </c>
      <c r="U948" s="0" t="n">
        <f aca="false">IF(RESET=1,0,U948+H948)</f>
        <v>0</v>
      </c>
      <c r="V948" s="19" t="n">
        <f aca="false">R948/(T948+0.00001)</f>
        <v>0</v>
      </c>
      <c r="W948" s="19" t="n">
        <f aca="false">S948/(U948+0.0001)</f>
        <v>0</v>
      </c>
      <c r="X948" s="47" t="e">
        <f aca="false">IF(Informed=1,K948,0)</f>
        <v>#N/A</v>
      </c>
      <c r="Y948" s="47" t="n">
        <f aca="false">IF(Informed=0,K948,0)</f>
        <v>0</v>
      </c>
      <c r="Z948" s="47" t="e">
        <f aca="false">IF(Informed=1,N948,0)</f>
        <v>#N/A</v>
      </c>
      <c r="AA948" s="47" t="n">
        <f aca="false">IF(Informed=0,N948,0)</f>
        <v>0</v>
      </c>
      <c r="AB948" s="51" t="e">
        <f aca="false">IF(Arterial=0,IF(Informed=1,1,0),0)</f>
        <v>#N/A</v>
      </c>
      <c r="AC948" s="51" t="e">
        <f aca="false">IF(Arterial=0,IF(Informed=0,1,0),0)</f>
        <v>#N/A</v>
      </c>
      <c r="AD948" s="51" t="e">
        <f aca="false">IF(Arterial=1,IF(Informed=1,1,0),0)</f>
        <v>#N/A</v>
      </c>
      <c r="AE948" s="51" t="e">
        <f aca="false">IF(Arterial=1,IF(Informed=0,1,0),0)</f>
        <v>#N/A</v>
      </c>
      <c r="AF948" s="44" t="e">
        <f aca="false">IF(AB948=1,(X948-G$1030)^2,0)</f>
        <v>#N/A</v>
      </c>
      <c r="AG948" s="44" t="e">
        <f aca="false">IF(AC948=1,(Y948-H$1030)^2,0)</f>
        <v>#N/A</v>
      </c>
      <c r="AH948" s="44" t="e">
        <f aca="false">IF(AD948=1,(Z948-I$1030)^2,0)</f>
        <v>#N/A</v>
      </c>
      <c r="AI948" s="44" t="e">
        <f aca="false">IF(AE948=1,(AA948-J$1030)^2,0)</f>
        <v>#N/A</v>
      </c>
    </row>
    <row r="949" customFormat="false" ht="12" hidden="false" customHeight="false" outlineLevel="0" collapsed="false">
      <c r="A949" s="29" t="n">
        <v>932</v>
      </c>
      <c r="B949" s="45" t="n">
        <f aca="true">IF(RAND()&lt;$D$8,1,0)</f>
        <v>1</v>
      </c>
      <c r="C949" s="34" t="n">
        <f aca="true">-LN(RAND())/$D$2</f>
        <v>1.10549424740735</v>
      </c>
      <c r="D949" s="46" t="n">
        <f aca="false">D948+C949</f>
        <v>1418.39490433561</v>
      </c>
      <c r="E949" s="47" t="e">
        <f aca="false">MAX($D$3,(1+P948-VLOOKUP(VALUE(D949),$J$18:$Q948,7,TRUE()))*$D$3)</f>
        <v>#N/A</v>
      </c>
      <c r="F949" s="47" t="e">
        <f aca="false">MAX($D$4,(1+Q948-VLOOKUP(VALUE(D949),$M$18:$Q948,5,TRUE()))*$D$4)</f>
        <v>#N/A</v>
      </c>
      <c r="G949" s="48" t="n">
        <v>0.5</v>
      </c>
      <c r="H949" s="46" t="e">
        <f aca="true">IF((B949=1),(IF((F949&lt;E949),1,(IF((F949=E949),(IF(RAND()&lt;G949,1,0)),0)))),(IF((RAND()&lt;G949),1,0)))</f>
        <v>#N/A</v>
      </c>
      <c r="I949" s="46" t="e">
        <f aca="true">IF((H949=1),0,$D$3+$D$5*(RAND()-0.5))</f>
        <v>#N/A</v>
      </c>
      <c r="J949" s="46" t="e">
        <f aca="false">I949+MAX(D949,J948)</f>
        <v>#N/A</v>
      </c>
      <c r="K949" s="46" t="e">
        <f aca="false">IF((H949=0),J949-D949,0)</f>
        <v>#N/A</v>
      </c>
      <c r="L949" s="46" t="e">
        <f aca="true">IF(($H949=0),0,$D$4+$D$5*(RAND()-0.5))</f>
        <v>#N/A</v>
      </c>
      <c r="M949" s="46" t="e">
        <f aca="false">L949+MAX(D949,M948)</f>
        <v>#N/A</v>
      </c>
      <c r="N949" s="46" t="e">
        <f aca="false">IF((H949=1),M949-D949,0)</f>
        <v>#N/A</v>
      </c>
      <c r="O949" s="29" t="n">
        <v>932</v>
      </c>
      <c r="P949" s="49" t="e">
        <f aca="false">IF((Arterial=0),P948+1,P948)</f>
        <v>#N/A</v>
      </c>
      <c r="Q949" s="49" t="e">
        <f aca="false">IF((Arterial=1),Q948+1,Q948)</f>
        <v>#N/A</v>
      </c>
      <c r="R949" s="50" t="n">
        <f aca="false">IF((RESET=1),0,R949+K949)</f>
        <v>0</v>
      </c>
      <c r="S949" s="19" t="n">
        <f aca="false">IF(RESET=1,0,S949+N949)</f>
        <v>0</v>
      </c>
      <c r="T949" s="0" t="n">
        <f aca="false">IF(RESET=1,0,T949+IF(H949=0,1,0))</f>
        <v>0</v>
      </c>
      <c r="U949" s="0" t="n">
        <f aca="false">IF(RESET=1,0,U949+H949)</f>
        <v>0</v>
      </c>
      <c r="V949" s="19" t="n">
        <f aca="false">R949/(T949+0.00001)</f>
        <v>0</v>
      </c>
      <c r="W949" s="19" t="n">
        <f aca="false">S949/(U949+0.0001)</f>
        <v>0</v>
      </c>
      <c r="X949" s="47" t="e">
        <f aca="false">IF(Informed=1,K949,0)</f>
        <v>#N/A</v>
      </c>
      <c r="Y949" s="47" t="n">
        <f aca="false">IF(Informed=0,K949,0)</f>
        <v>0</v>
      </c>
      <c r="Z949" s="47" t="e">
        <f aca="false">IF(Informed=1,N949,0)</f>
        <v>#N/A</v>
      </c>
      <c r="AA949" s="47" t="n">
        <f aca="false">IF(Informed=0,N949,0)</f>
        <v>0</v>
      </c>
      <c r="AB949" s="51" t="e">
        <f aca="false">IF(Arterial=0,IF(Informed=1,1,0),0)</f>
        <v>#N/A</v>
      </c>
      <c r="AC949" s="51" t="e">
        <f aca="false">IF(Arterial=0,IF(Informed=0,1,0),0)</f>
        <v>#N/A</v>
      </c>
      <c r="AD949" s="51" t="e">
        <f aca="false">IF(Arterial=1,IF(Informed=1,1,0),0)</f>
        <v>#N/A</v>
      </c>
      <c r="AE949" s="51" t="e">
        <f aca="false">IF(Arterial=1,IF(Informed=0,1,0),0)</f>
        <v>#N/A</v>
      </c>
      <c r="AF949" s="44" t="e">
        <f aca="false">IF(AB949=1,(X949-G$1030)^2,0)</f>
        <v>#N/A</v>
      </c>
      <c r="AG949" s="44" t="e">
        <f aca="false">IF(AC949=1,(Y949-H$1030)^2,0)</f>
        <v>#N/A</v>
      </c>
      <c r="AH949" s="44" t="e">
        <f aca="false">IF(AD949=1,(Z949-I$1030)^2,0)</f>
        <v>#N/A</v>
      </c>
      <c r="AI949" s="44" t="e">
        <f aca="false">IF(AE949=1,(AA949-J$1030)^2,0)</f>
        <v>#N/A</v>
      </c>
    </row>
    <row r="950" customFormat="false" ht="12" hidden="false" customHeight="false" outlineLevel="0" collapsed="false">
      <c r="A950" s="29" t="n">
        <v>933</v>
      </c>
      <c r="B950" s="45" t="n">
        <f aca="true">IF(RAND()&lt;$D$8,1,0)</f>
        <v>1</v>
      </c>
      <c r="C950" s="34" t="n">
        <f aca="true">-LN(RAND())/$D$2</f>
        <v>0.0995426927391559</v>
      </c>
      <c r="D950" s="46" t="n">
        <f aca="false">D949+C950</f>
        <v>1418.49444702835</v>
      </c>
      <c r="E950" s="47" t="e">
        <f aca="false">MAX($D$3,(1+P949-VLOOKUP(VALUE(D950),$J$18:$Q949,7,TRUE()))*$D$3)</f>
        <v>#N/A</v>
      </c>
      <c r="F950" s="47" t="e">
        <f aca="false">MAX($D$4,(1+Q949-VLOOKUP(VALUE(D950),$M$18:$Q949,5,TRUE()))*$D$4)</f>
        <v>#N/A</v>
      </c>
      <c r="G950" s="48" t="n">
        <v>0.5</v>
      </c>
      <c r="H950" s="46" t="e">
        <f aca="true">IF((B950=1),(IF((F950&lt;E950),1,(IF((F950=E950),(IF(RAND()&lt;G950,1,0)),0)))),(IF((RAND()&lt;G950),1,0)))</f>
        <v>#N/A</v>
      </c>
      <c r="I950" s="46" t="e">
        <f aca="true">IF((H950=1),0,$D$3+$D$5*(RAND()-0.5))</f>
        <v>#N/A</v>
      </c>
      <c r="J950" s="46" t="e">
        <f aca="false">I950+MAX(D950,J949)</f>
        <v>#N/A</v>
      </c>
      <c r="K950" s="46" t="e">
        <f aca="false">IF((H950=0),J950-D950,0)</f>
        <v>#N/A</v>
      </c>
      <c r="L950" s="46" t="e">
        <f aca="true">IF(($H950=0),0,$D$4+$D$5*(RAND()-0.5))</f>
        <v>#N/A</v>
      </c>
      <c r="M950" s="46" t="e">
        <f aca="false">L950+MAX(D950,M949)</f>
        <v>#N/A</v>
      </c>
      <c r="N950" s="46" t="e">
        <f aca="false">IF((H950=1),M950-D950,0)</f>
        <v>#N/A</v>
      </c>
      <c r="O950" s="29" t="n">
        <v>933</v>
      </c>
      <c r="P950" s="49" t="e">
        <f aca="false">IF((Arterial=0),P949+1,P949)</f>
        <v>#N/A</v>
      </c>
      <c r="Q950" s="49" t="e">
        <f aca="false">IF((Arterial=1),Q949+1,Q949)</f>
        <v>#N/A</v>
      </c>
      <c r="R950" s="50" t="n">
        <f aca="false">IF((RESET=1),0,R950+K950)</f>
        <v>0</v>
      </c>
      <c r="S950" s="19" t="n">
        <f aca="false">IF(RESET=1,0,S950+N950)</f>
        <v>0</v>
      </c>
      <c r="T950" s="0" t="n">
        <f aca="false">IF(RESET=1,0,T950+IF(H950=0,1,0))</f>
        <v>0</v>
      </c>
      <c r="U950" s="0" t="n">
        <f aca="false">IF(RESET=1,0,U950+H950)</f>
        <v>0</v>
      </c>
      <c r="V950" s="19" t="n">
        <f aca="false">R950/(T950+0.00001)</f>
        <v>0</v>
      </c>
      <c r="W950" s="19" t="n">
        <f aca="false">S950/(U950+0.0001)</f>
        <v>0</v>
      </c>
      <c r="X950" s="47" t="e">
        <f aca="false">IF(Informed=1,K950,0)</f>
        <v>#N/A</v>
      </c>
      <c r="Y950" s="47" t="n">
        <f aca="false">IF(Informed=0,K950,0)</f>
        <v>0</v>
      </c>
      <c r="Z950" s="47" t="e">
        <f aca="false">IF(Informed=1,N950,0)</f>
        <v>#N/A</v>
      </c>
      <c r="AA950" s="47" t="n">
        <f aca="false">IF(Informed=0,N950,0)</f>
        <v>0</v>
      </c>
      <c r="AB950" s="51" t="e">
        <f aca="false">IF(Arterial=0,IF(Informed=1,1,0),0)</f>
        <v>#N/A</v>
      </c>
      <c r="AC950" s="51" t="e">
        <f aca="false">IF(Arterial=0,IF(Informed=0,1,0),0)</f>
        <v>#N/A</v>
      </c>
      <c r="AD950" s="51" t="e">
        <f aca="false">IF(Arterial=1,IF(Informed=1,1,0),0)</f>
        <v>#N/A</v>
      </c>
      <c r="AE950" s="51" t="e">
        <f aca="false">IF(Arterial=1,IF(Informed=0,1,0),0)</f>
        <v>#N/A</v>
      </c>
      <c r="AF950" s="44" t="e">
        <f aca="false">IF(AB950=1,(X950-G$1030)^2,0)</f>
        <v>#N/A</v>
      </c>
      <c r="AG950" s="44" t="e">
        <f aca="false">IF(AC950=1,(Y950-H$1030)^2,0)</f>
        <v>#N/A</v>
      </c>
      <c r="AH950" s="44" t="e">
        <f aca="false">IF(AD950=1,(Z950-I$1030)^2,0)</f>
        <v>#N/A</v>
      </c>
      <c r="AI950" s="44" t="e">
        <f aca="false">IF(AE950=1,(AA950-J$1030)^2,0)</f>
        <v>#N/A</v>
      </c>
    </row>
    <row r="951" customFormat="false" ht="12" hidden="false" customHeight="false" outlineLevel="0" collapsed="false">
      <c r="A951" s="29" t="n">
        <v>934</v>
      </c>
      <c r="B951" s="45" t="n">
        <f aca="true">IF(RAND()&lt;$D$8,1,0)</f>
        <v>1</v>
      </c>
      <c r="C951" s="34" t="n">
        <f aca="true">-LN(RAND())/$D$2</f>
        <v>0.589533313592845</v>
      </c>
      <c r="D951" s="46" t="n">
        <f aca="false">D950+C951</f>
        <v>1419.08398034194</v>
      </c>
      <c r="E951" s="47" t="e">
        <f aca="false">MAX($D$3,(1+P950-VLOOKUP(VALUE(D951),$J$18:$Q950,7,TRUE()))*$D$3)</f>
        <v>#N/A</v>
      </c>
      <c r="F951" s="47" t="e">
        <f aca="false">MAX($D$4,(1+Q950-VLOOKUP(VALUE(D951),$M$18:$Q950,5,TRUE()))*$D$4)</f>
        <v>#N/A</v>
      </c>
      <c r="G951" s="48" t="n">
        <v>0.5</v>
      </c>
      <c r="H951" s="46" t="e">
        <f aca="true">IF((B951=1),(IF((F951&lt;E951),1,(IF((F951=E951),(IF(RAND()&lt;G951,1,0)),0)))),(IF((RAND()&lt;G951),1,0)))</f>
        <v>#N/A</v>
      </c>
      <c r="I951" s="46" t="e">
        <f aca="true">IF((H951=1),0,$D$3+$D$5*(RAND()-0.5))</f>
        <v>#N/A</v>
      </c>
      <c r="J951" s="46" t="e">
        <f aca="false">I951+MAX(D951,J950)</f>
        <v>#N/A</v>
      </c>
      <c r="K951" s="46" t="e">
        <f aca="false">IF((H951=0),J951-D951,0)</f>
        <v>#N/A</v>
      </c>
      <c r="L951" s="46" t="e">
        <f aca="true">IF(($H951=0),0,$D$4+$D$5*(RAND()-0.5))</f>
        <v>#N/A</v>
      </c>
      <c r="M951" s="46" t="e">
        <f aca="false">L951+MAX(D951,M950)</f>
        <v>#N/A</v>
      </c>
      <c r="N951" s="46" t="e">
        <f aca="false">IF((H951=1),M951-D951,0)</f>
        <v>#N/A</v>
      </c>
      <c r="O951" s="29" t="n">
        <v>934</v>
      </c>
      <c r="P951" s="49" t="e">
        <f aca="false">IF((Arterial=0),P950+1,P950)</f>
        <v>#N/A</v>
      </c>
      <c r="Q951" s="49" t="e">
        <f aca="false">IF((Arterial=1),Q950+1,Q950)</f>
        <v>#N/A</v>
      </c>
      <c r="R951" s="50" t="n">
        <f aca="false">IF((RESET=1),0,R951+K951)</f>
        <v>0</v>
      </c>
      <c r="S951" s="19" t="n">
        <f aca="false">IF(RESET=1,0,S951+N951)</f>
        <v>0</v>
      </c>
      <c r="T951" s="0" t="n">
        <f aca="false">IF(RESET=1,0,T951+IF(H951=0,1,0))</f>
        <v>0</v>
      </c>
      <c r="U951" s="0" t="n">
        <f aca="false">IF(RESET=1,0,U951+H951)</f>
        <v>0</v>
      </c>
      <c r="V951" s="19" t="n">
        <f aca="false">R951/(T951+0.00001)</f>
        <v>0</v>
      </c>
      <c r="W951" s="19" t="n">
        <f aca="false">S951/(U951+0.0001)</f>
        <v>0</v>
      </c>
      <c r="X951" s="47" t="e">
        <f aca="false">IF(Informed=1,K951,0)</f>
        <v>#N/A</v>
      </c>
      <c r="Y951" s="47" t="n">
        <f aca="false">IF(Informed=0,K951,0)</f>
        <v>0</v>
      </c>
      <c r="Z951" s="47" t="e">
        <f aca="false">IF(Informed=1,N951,0)</f>
        <v>#N/A</v>
      </c>
      <c r="AA951" s="47" t="n">
        <f aca="false">IF(Informed=0,N951,0)</f>
        <v>0</v>
      </c>
      <c r="AB951" s="51" t="e">
        <f aca="false">IF(Arterial=0,IF(Informed=1,1,0),0)</f>
        <v>#N/A</v>
      </c>
      <c r="AC951" s="51" t="e">
        <f aca="false">IF(Arterial=0,IF(Informed=0,1,0),0)</f>
        <v>#N/A</v>
      </c>
      <c r="AD951" s="51" t="e">
        <f aca="false">IF(Arterial=1,IF(Informed=1,1,0),0)</f>
        <v>#N/A</v>
      </c>
      <c r="AE951" s="51" t="e">
        <f aca="false">IF(Arterial=1,IF(Informed=0,1,0),0)</f>
        <v>#N/A</v>
      </c>
      <c r="AF951" s="44" t="e">
        <f aca="false">IF(AB951=1,(X951-G$1030)^2,0)</f>
        <v>#N/A</v>
      </c>
      <c r="AG951" s="44" t="e">
        <f aca="false">IF(AC951=1,(Y951-H$1030)^2,0)</f>
        <v>#N/A</v>
      </c>
      <c r="AH951" s="44" t="e">
        <f aca="false">IF(AD951=1,(Z951-I$1030)^2,0)</f>
        <v>#N/A</v>
      </c>
      <c r="AI951" s="44" t="e">
        <f aca="false">IF(AE951=1,(AA951-J$1030)^2,0)</f>
        <v>#N/A</v>
      </c>
    </row>
    <row r="952" customFormat="false" ht="12" hidden="false" customHeight="false" outlineLevel="0" collapsed="false">
      <c r="A952" s="29" t="n">
        <v>935</v>
      </c>
      <c r="B952" s="45" t="n">
        <f aca="true">IF(RAND()&lt;$D$8,1,0)</f>
        <v>1</v>
      </c>
      <c r="C952" s="34" t="n">
        <f aca="true">-LN(RAND())/$D$2</f>
        <v>0.39192397434532</v>
      </c>
      <c r="D952" s="46" t="n">
        <f aca="false">D951+C952</f>
        <v>1419.47590431629</v>
      </c>
      <c r="E952" s="47" t="e">
        <f aca="false">MAX($D$3,(1+P951-VLOOKUP(VALUE(D952),$J$18:$Q951,7,TRUE()))*$D$3)</f>
        <v>#N/A</v>
      </c>
      <c r="F952" s="47" t="e">
        <f aca="false">MAX($D$4,(1+Q951-VLOOKUP(VALUE(D952),$M$18:$Q951,5,TRUE()))*$D$4)</f>
        <v>#N/A</v>
      </c>
      <c r="G952" s="48" t="n">
        <v>0.5</v>
      </c>
      <c r="H952" s="46" t="e">
        <f aca="true">IF((B952=1),(IF((F952&lt;E952),1,(IF((F952=E952),(IF(RAND()&lt;G952,1,0)),0)))),(IF((RAND()&lt;G952),1,0)))</f>
        <v>#N/A</v>
      </c>
      <c r="I952" s="46" t="e">
        <f aca="true">IF((H952=1),0,$D$3+$D$5*(RAND()-0.5))</f>
        <v>#N/A</v>
      </c>
      <c r="J952" s="46" t="e">
        <f aca="false">I952+MAX(D952,J951)</f>
        <v>#N/A</v>
      </c>
      <c r="K952" s="46" t="e">
        <f aca="false">IF((H952=0),J952-D952,0)</f>
        <v>#N/A</v>
      </c>
      <c r="L952" s="46" t="e">
        <f aca="true">IF(($H952=0),0,$D$4+$D$5*(RAND()-0.5))</f>
        <v>#N/A</v>
      </c>
      <c r="M952" s="46" t="e">
        <f aca="false">L952+MAX(D952,M951)</f>
        <v>#N/A</v>
      </c>
      <c r="N952" s="46" t="e">
        <f aca="false">IF((H952=1),M952-D952,0)</f>
        <v>#N/A</v>
      </c>
      <c r="O952" s="29" t="n">
        <v>935</v>
      </c>
      <c r="P952" s="49" t="e">
        <f aca="false">IF((Arterial=0),P951+1,P951)</f>
        <v>#N/A</v>
      </c>
      <c r="Q952" s="49" t="e">
        <f aca="false">IF((Arterial=1),Q951+1,Q951)</f>
        <v>#N/A</v>
      </c>
      <c r="R952" s="50" t="n">
        <f aca="false">IF((RESET=1),0,R952+K952)</f>
        <v>0</v>
      </c>
      <c r="S952" s="19" t="n">
        <f aca="false">IF(RESET=1,0,S952+N952)</f>
        <v>0</v>
      </c>
      <c r="T952" s="0" t="n">
        <f aca="false">IF(RESET=1,0,T952+IF(H952=0,1,0))</f>
        <v>0</v>
      </c>
      <c r="U952" s="0" t="n">
        <f aca="false">IF(RESET=1,0,U952+H952)</f>
        <v>0</v>
      </c>
      <c r="V952" s="19" t="n">
        <f aca="false">R952/(T952+0.00001)</f>
        <v>0</v>
      </c>
      <c r="W952" s="19" t="n">
        <f aca="false">S952/(U952+0.0001)</f>
        <v>0</v>
      </c>
      <c r="X952" s="47" t="e">
        <f aca="false">IF(Informed=1,K952,0)</f>
        <v>#N/A</v>
      </c>
      <c r="Y952" s="47" t="n">
        <f aca="false">IF(Informed=0,K952,0)</f>
        <v>0</v>
      </c>
      <c r="Z952" s="47" t="e">
        <f aca="false">IF(Informed=1,N952,0)</f>
        <v>#N/A</v>
      </c>
      <c r="AA952" s="47" t="n">
        <f aca="false">IF(Informed=0,N952,0)</f>
        <v>0</v>
      </c>
      <c r="AB952" s="51" t="e">
        <f aca="false">IF(Arterial=0,IF(Informed=1,1,0),0)</f>
        <v>#N/A</v>
      </c>
      <c r="AC952" s="51" t="e">
        <f aca="false">IF(Arterial=0,IF(Informed=0,1,0),0)</f>
        <v>#N/A</v>
      </c>
      <c r="AD952" s="51" t="e">
        <f aca="false">IF(Arterial=1,IF(Informed=1,1,0),0)</f>
        <v>#N/A</v>
      </c>
      <c r="AE952" s="51" t="e">
        <f aca="false">IF(Arterial=1,IF(Informed=0,1,0),0)</f>
        <v>#N/A</v>
      </c>
      <c r="AF952" s="44" t="e">
        <f aca="false">IF(AB952=1,(X952-G$1030)^2,0)</f>
        <v>#N/A</v>
      </c>
      <c r="AG952" s="44" t="e">
        <f aca="false">IF(AC952=1,(Y952-H$1030)^2,0)</f>
        <v>#N/A</v>
      </c>
      <c r="AH952" s="44" t="e">
        <f aca="false">IF(AD952=1,(Z952-I$1030)^2,0)</f>
        <v>#N/A</v>
      </c>
      <c r="AI952" s="44" t="e">
        <f aca="false">IF(AE952=1,(AA952-J$1030)^2,0)</f>
        <v>#N/A</v>
      </c>
    </row>
    <row r="953" customFormat="false" ht="12" hidden="false" customHeight="false" outlineLevel="0" collapsed="false">
      <c r="A953" s="29" t="n">
        <v>936</v>
      </c>
      <c r="B953" s="45" t="n">
        <f aca="true">IF(RAND()&lt;$D$8,1,0)</f>
        <v>1</v>
      </c>
      <c r="C953" s="34" t="n">
        <f aca="true">-LN(RAND())/$D$2</f>
        <v>1.0946996970333</v>
      </c>
      <c r="D953" s="46" t="n">
        <f aca="false">D952+C953</f>
        <v>1420.57060401332</v>
      </c>
      <c r="E953" s="47" t="e">
        <f aca="false">MAX($D$3,(1+P952-VLOOKUP(VALUE(D953),$J$18:$Q952,7,TRUE()))*$D$3)</f>
        <v>#N/A</v>
      </c>
      <c r="F953" s="47" t="e">
        <f aca="false">MAX($D$4,(1+Q952-VLOOKUP(VALUE(D953),$M$18:$Q952,5,TRUE()))*$D$4)</f>
        <v>#N/A</v>
      </c>
      <c r="G953" s="48" t="n">
        <v>0.5</v>
      </c>
      <c r="H953" s="46" t="e">
        <f aca="true">IF((B953=1),(IF((F953&lt;E953),1,(IF((F953=E953),(IF(RAND()&lt;G953,1,0)),0)))),(IF((RAND()&lt;G953),1,0)))</f>
        <v>#N/A</v>
      </c>
      <c r="I953" s="46" t="e">
        <f aca="true">IF((H953=1),0,$D$3+$D$5*(RAND()-0.5))</f>
        <v>#N/A</v>
      </c>
      <c r="J953" s="46" t="e">
        <f aca="false">I953+MAX(D953,J952)</f>
        <v>#N/A</v>
      </c>
      <c r="K953" s="46" t="e">
        <f aca="false">IF((H953=0),J953-D953,0)</f>
        <v>#N/A</v>
      </c>
      <c r="L953" s="46" t="e">
        <f aca="true">IF(($H953=0),0,$D$4+$D$5*(RAND()-0.5))</f>
        <v>#N/A</v>
      </c>
      <c r="M953" s="46" t="e">
        <f aca="false">L953+MAX(D953,M952)</f>
        <v>#N/A</v>
      </c>
      <c r="N953" s="46" t="e">
        <f aca="false">IF((H953=1),M953-D953,0)</f>
        <v>#N/A</v>
      </c>
      <c r="O953" s="29" t="n">
        <v>936</v>
      </c>
      <c r="P953" s="49" t="e">
        <f aca="false">IF((Arterial=0),P952+1,P952)</f>
        <v>#N/A</v>
      </c>
      <c r="Q953" s="49" t="e">
        <f aca="false">IF((Arterial=1),Q952+1,Q952)</f>
        <v>#N/A</v>
      </c>
      <c r="R953" s="50" t="n">
        <f aca="false">IF((RESET=1),0,R953+K953)</f>
        <v>0</v>
      </c>
      <c r="S953" s="19" t="n">
        <f aca="false">IF(RESET=1,0,S953+N953)</f>
        <v>0</v>
      </c>
      <c r="T953" s="0" t="n">
        <f aca="false">IF(RESET=1,0,T953+IF(H953=0,1,0))</f>
        <v>0</v>
      </c>
      <c r="U953" s="0" t="n">
        <f aca="false">IF(RESET=1,0,U953+H953)</f>
        <v>0</v>
      </c>
      <c r="V953" s="19" t="n">
        <f aca="false">R953/(T953+0.00001)</f>
        <v>0</v>
      </c>
      <c r="W953" s="19" t="n">
        <f aca="false">S953/(U953+0.0001)</f>
        <v>0</v>
      </c>
      <c r="X953" s="47" t="e">
        <f aca="false">IF(Informed=1,K953,0)</f>
        <v>#N/A</v>
      </c>
      <c r="Y953" s="47" t="n">
        <f aca="false">IF(Informed=0,K953,0)</f>
        <v>0</v>
      </c>
      <c r="Z953" s="47" t="e">
        <f aca="false">IF(Informed=1,N953,0)</f>
        <v>#N/A</v>
      </c>
      <c r="AA953" s="47" t="n">
        <f aca="false">IF(Informed=0,N953,0)</f>
        <v>0</v>
      </c>
      <c r="AB953" s="51" t="e">
        <f aca="false">IF(Arterial=0,IF(Informed=1,1,0),0)</f>
        <v>#N/A</v>
      </c>
      <c r="AC953" s="51" t="e">
        <f aca="false">IF(Arterial=0,IF(Informed=0,1,0),0)</f>
        <v>#N/A</v>
      </c>
      <c r="AD953" s="51" t="e">
        <f aca="false">IF(Arterial=1,IF(Informed=1,1,0),0)</f>
        <v>#N/A</v>
      </c>
      <c r="AE953" s="51" t="e">
        <f aca="false">IF(Arterial=1,IF(Informed=0,1,0),0)</f>
        <v>#N/A</v>
      </c>
      <c r="AF953" s="44" t="e">
        <f aca="false">IF(AB953=1,(X953-G$1030)^2,0)</f>
        <v>#N/A</v>
      </c>
      <c r="AG953" s="44" t="e">
        <f aca="false">IF(AC953=1,(Y953-H$1030)^2,0)</f>
        <v>#N/A</v>
      </c>
      <c r="AH953" s="44" t="e">
        <f aca="false">IF(AD953=1,(Z953-I$1030)^2,0)</f>
        <v>#N/A</v>
      </c>
      <c r="AI953" s="44" t="e">
        <f aca="false">IF(AE953=1,(AA953-J$1030)^2,0)</f>
        <v>#N/A</v>
      </c>
    </row>
    <row r="954" customFormat="false" ht="12" hidden="false" customHeight="false" outlineLevel="0" collapsed="false">
      <c r="A954" s="29" t="n">
        <v>937</v>
      </c>
      <c r="B954" s="45" t="n">
        <f aca="true">IF(RAND()&lt;$D$8,1,0)</f>
        <v>1</v>
      </c>
      <c r="C954" s="34" t="n">
        <f aca="true">-LN(RAND())/$D$2</f>
        <v>2.49820077031172</v>
      </c>
      <c r="D954" s="46" t="n">
        <f aca="false">D953+C954</f>
        <v>1423.06880478363</v>
      </c>
      <c r="E954" s="47" t="e">
        <f aca="false">MAX($D$3,(1+P953-VLOOKUP(VALUE(D954),$J$18:$Q953,7,TRUE()))*$D$3)</f>
        <v>#N/A</v>
      </c>
      <c r="F954" s="47" t="e">
        <f aca="false">MAX($D$4,(1+Q953-VLOOKUP(VALUE(D954),$M$18:$Q953,5,TRUE()))*$D$4)</f>
        <v>#N/A</v>
      </c>
      <c r="G954" s="48" t="n">
        <v>0.5</v>
      </c>
      <c r="H954" s="46" t="e">
        <f aca="true">IF((B954=1),(IF((F954&lt;E954),1,(IF((F954=E954),(IF(RAND()&lt;G954,1,0)),0)))),(IF((RAND()&lt;G954),1,0)))</f>
        <v>#N/A</v>
      </c>
      <c r="I954" s="46" t="e">
        <f aca="true">IF((H954=1),0,$D$3+$D$5*(RAND()-0.5))</f>
        <v>#N/A</v>
      </c>
      <c r="J954" s="46" t="e">
        <f aca="false">I954+MAX(D954,J953)</f>
        <v>#N/A</v>
      </c>
      <c r="K954" s="46" t="e">
        <f aca="false">IF((H954=0),J954-D954,0)</f>
        <v>#N/A</v>
      </c>
      <c r="L954" s="46" t="e">
        <f aca="true">IF(($H954=0),0,$D$4+$D$5*(RAND()-0.5))</f>
        <v>#N/A</v>
      </c>
      <c r="M954" s="46" t="e">
        <f aca="false">L954+MAX(D954,M953)</f>
        <v>#N/A</v>
      </c>
      <c r="N954" s="46" t="e">
        <f aca="false">IF((H954=1),M954-D954,0)</f>
        <v>#N/A</v>
      </c>
      <c r="O954" s="29" t="n">
        <v>937</v>
      </c>
      <c r="P954" s="49" t="e">
        <f aca="false">IF((Arterial=0),P953+1,P953)</f>
        <v>#N/A</v>
      </c>
      <c r="Q954" s="49" t="e">
        <f aca="false">IF((Arterial=1),Q953+1,Q953)</f>
        <v>#N/A</v>
      </c>
      <c r="R954" s="50" t="n">
        <f aca="false">IF((RESET=1),0,R954+K954)</f>
        <v>0</v>
      </c>
      <c r="S954" s="19" t="n">
        <f aca="false">IF(RESET=1,0,S954+N954)</f>
        <v>0</v>
      </c>
      <c r="T954" s="0" t="n">
        <f aca="false">IF(RESET=1,0,T954+IF(H954=0,1,0))</f>
        <v>0</v>
      </c>
      <c r="U954" s="0" t="n">
        <f aca="false">IF(RESET=1,0,U954+H954)</f>
        <v>0</v>
      </c>
      <c r="V954" s="19" t="n">
        <f aca="false">R954/(T954+0.00001)</f>
        <v>0</v>
      </c>
      <c r="W954" s="19" t="n">
        <f aca="false">S954/(U954+0.0001)</f>
        <v>0</v>
      </c>
      <c r="X954" s="47" t="e">
        <f aca="false">IF(Informed=1,K954,0)</f>
        <v>#N/A</v>
      </c>
      <c r="Y954" s="47" t="n">
        <f aca="false">IF(Informed=0,K954,0)</f>
        <v>0</v>
      </c>
      <c r="Z954" s="47" t="e">
        <f aca="false">IF(Informed=1,N954,0)</f>
        <v>#N/A</v>
      </c>
      <c r="AA954" s="47" t="n">
        <f aca="false">IF(Informed=0,N954,0)</f>
        <v>0</v>
      </c>
      <c r="AB954" s="51" t="e">
        <f aca="false">IF(Arterial=0,IF(Informed=1,1,0),0)</f>
        <v>#N/A</v>
      </c>
      <c r="AC954" s="51" t="e">
        <f aca="false">IF(Arterial=0,IF(Informed=0,1,0),0)</f>
        <v>#N/A</v>
      </c>
      <c r="AD954" s="51" t="e">
        <f aca="false">IF(Arterial=1,IF(Informed=1,1,0),0)</f>
        <v>#N/A</v>
      </c>
      <c r="AE954" s="51" t="e">
        <f aca="false">IF(Arterial=1,IF(Informed=0,1,0),0)</f>
        <v>#N/A</v>
      </c>
      <c r="AF954" s="44" t="e">
        <f aca="false">IF(AB954=1,(X954-G$1030)^2,0)</f>
        <v>#N/A</v>
      </c>
      <c r="AG954" s="44" t="e">
        <f aca="false">IF(AC954=1,(Y954-H$1030)^2,0)</f>
        <v>#N/A</v>
      </c>
      <c r="AH954" s="44" t="e">
        <f aca="false">IF(AD954=1,(Z954-I$1030)^2,0)</f>
        <v>#N/A</v>
      </c>
      <c r="AI954" s="44" t="e">
        <f aca="false">IF(AE954=1,(AA954-J$1030)^2,0)</f>
        <v>#N/A</v>
      </c>
    </row>
    <row r="955" customFormat="false" ht="12" hidden="false" customHeight="false" outlineLevel="0" collapsed="false">
      <c r="A955" s="29" t="n">
        <v>938</v>
      </c>
      <c r="B955" s="45" t="n">
        <f aca="true">IF(RAND()&lt;$D$8,1,0)</f>
        <v>1</v>
      </c>
      <c r="C955" s="34" t="n">
        <f aca="true">-LN(RAND())/$D$2</f>
        <v>2.49313711178138</v>
      </c>
      <c r="D955" s="46" t="n">
        <f aca="false">D954+C955</f>
        <v>1425.56194189541</v>
      </c>
      <c r="E955" s="47" t="e">
        <f aca="false">MAX($D$3,(1+P954-VLOOKUP(VALUE(D955),$J$18:$Q954,7,TRUE()))*$D$3)</f>
        <v>#N/A</v>
      </c>
      <c r="F955" s="47" t="e">
        <f aca="false">MAX($D$4,(1+Q954-VLOOKUP(VALUE(D955),$M$18:$Q954,5,TRUE()))*$D$4)</f>
        <v>#N/A</v>
      </c>
      <c r="G955" s="48" t="n">
        <v>0.5</v>
      </c>
      <c r="H955" s="46" t="e">
        <f aca="true">IF((B955=1),(IF((F955&lt;E955),1,(IF((F955=E955),(IF(RAND()&lt;G955,1,0)),0)))),(IF((RAND()&lt;G955),1,0)))</f>
        <v>#N/A</v>
      </c>
      <c r="I955" s="46" t="e">
        <f aca="true">IF((H955=1),0,$D$3+$D$5*(RAND()-0.5))</f>
        <v>#N/A</v>
      </c>
      <c r="J955" s="46" t="e">
        <f aca="false">I955+MAX(D955,J954)</f>
        <v>#N/A</v>
      </c>
      <c r="K955" s="46" t="e">
        <f aca="false">IF((H955=0),J955-D955,0)</f>
        <v>#N/A</v>
      </c>
      <c r="L955" s="46" t="e">
        <f aca="true">IF(($H955=0),0,$D$4+$D$5*(RAND()-0.5))</f>
        <v>#N/A</v>
      </c>
      <c r="M955" s="46" t="e">
        <f aca="false">L955+MAX(D955,M954)</f>
        <v>#N/A</v>
      </c>
      <c r="N955" s="46" t="e">
        <f aca="false">IF((H955=1),M955-D955,0)</f>
        <v>#N/A</v>
      </c>
      <c r="O955" s="29" t="n">
        <v>938</v>
      </c>
      <c r="P955" s="49" t="e">
        <f aca="false">IF((Arterial=0),P954+1,P954)</f>
        <v>#N/A</v>
      </c>
      <c r="Q955" s="49" t="e">
        <f aca="false">IF((Arterial=1),Q954+1,Q954)</f>
        <v>#N/A</v>
      </c>
      <c r="R955" s="50" t="n">
        <f aca="false">IF((RESET=1),0,R955+K955)</f>
        <v>0</v>
      </c>
      <c r="S955" s="19" t="n">
        <f aca="false">IF(RESET=1,0,S955+N955)</f>
        <v>0</v>
      </c>
      <c r="T955" s="0" t="n">
        <f aca="false">IF(RESET=1,0,T955+IF(H955=0,1,0))</f>
        <v>0</v>
      </c>
      <c r="U955" s="0" t="n">
        <f aca="false">IF(RESET=1,0,U955+H955)</f>
        <v>0</v>
      </c>
      <c r="V955" s="19" t="n">
        <f aca="false">R955/(T955+0.00001)</f>
        <v>0</v>
      </c>
      <c r="W955" s="19" t="n">
        <f aca="false">S955/(U955+0.0001)</f>
        <v>0</v>
      </c>
      <c r="X955" s="47" t="e">
        <f aca="false">IF(Informed=1,K955,0)</f>
        <v>#N/A</v>
      </c>
      <c r="Y955" s="47" t="n">
        <f aca="false">IF(Informed=0,K955,0)</f>
        <v>0</v>
      </c>
      <c r="Z955" s="47" t="e">
        <f aca="false">IF(Informed=1,N955,0)</f>
        <v>#N/A</v>
      </c>
      <c r="AA955" s="47" t="n">
        <f aca="false">IF(Informed=0,N955,0)</f>
        <v>0</v>
      </c>
      <c r="AB955" s="51" t="e">
        <f aca="false">IF(Arterial=0,IF(Informed=1,1,0),0)</f>
        <v>#N/A</v>
      </c>
      <c r="AC955" s="51" t="e">
        <f aca="false">IF(Arterial=0,IF(Informed=0,1,0),0)</f>
        <v>#N/A</v>
      </c>
      <c r="AD955" s="51" t="e">
        <f aca="false">IF(Arterial=1,IF(Informed=1,1,0),0)</f>
        <v>#N/A</v>
      </c>
      <c r="AE955" s="51" t="e">
        <f aca="false">IF(Arterial=1,IF(Informed=0,1,0),0)</f>
        <v>#N/A</v>
      </c>
      <c r="AF955" s="44" t="e">
        <f aca="false">IF(AB955=1,(X955-G$1030)^2,0)</f>
        <v>#N/A</v>
      </c>
      <c r="AG955" s="44" t="e">
        <f aca="false">IF(AC955=1,(Y955-H$1030)^2,0)</f>
        <v>#N/A</v>
      </c>
      <c r="AH955" s="44" t="e">
        <f aca="false">IF(AD955=1,(Z955-I$1030)^2,0)</f>
        <v>#N/A</v>
      </c>
      <c r="AI955" s="44" t="e">
        <f aca="false">IF(AE955=1,(AA955-J$1030)^2,0)</f>
        <v>#N/A</v>
      </c>
    </row>
    <row r="956" customFormat="false" ht="12" hidden="false" customHeight="false" outlineLevel="0" collapsed="false">
      <c r="A956" s="29" t="n">
        <v>939</v>
      </c>
      <c r="B956" s="45" t="n">
        <f aca="true">IF(RAND()&lt;$D$8,1,0)</f>
        <v>1</v>
      </c>
      <c r="C956" s="34" t="n">
        <f aca="true">-LN(RAND())/$D$2</f>
        <v>5.06594022986611</v>
      </c>
      <c r="D956" s="46" t="n">
        <f aca="false">D955+C956</f>
        <v>1430.62788212528</v>
      </c>
      <c r="E956" s="47" t="e">
        <f aca="false">MAX($D$3,(1+P955-VLOOKUP(VALUE(D956),$J$18:$Q955,7,TRUE()))*$D$3)</f>
        <v>#N/A</v>
      </c>
      <c r="F956" s="47" t="e">
        <f aca="false">MAX($D$4,(1+Q955-VLOOKUP(VALUE(D956),$M$18:$Q955,5,TRUE()))*$D$4)</f>
        <v>#N/A</v>
      </c>
      <c r="G956" s="48" t="n">
        <v>0.5</v>
      </c>
      <c r="H956" s="46" t="e">
        <f aca="true">IF((B956=1),(IF((F956&lt;E956),1,(IF((F956=E956),(IF(RAND()&lt;G956,1,0)),0)))),(IF((RAND()&lt;G956),1,0)))</f>
        <v>#N/A</v>
      </c>
      <c r="I956" s="46" t="e">
        <f aca="true">IF((H956=1),0,$D$3+$D$5*(RAND()-0.5))</f>
        <v>#N/A</v>
      </c>
      <c r="J956" s="46" t="e">
        <f aca="false">I956+MAX(D956,J955)</f>
        <v>#N/A</v>
      </c>
      <c r="K956" s="46" t="e">
        <f aca="false">IF((H956=0),J956-D956,0)</f>
        <v>#N/A</v>
      </c>
      <c r="L956" s="46" t="e">
        <f aca="true">IF(($H956=0),0,$D$4+$D$5*(RAND()-0.5))</f>
        <v>#N/A</v>
      </c>
      <c r="M956" s="46" t="e">
        <f aca="false">L956+MAX(D956,M955)</f>
        <v>#N/A</v>
      </c>
      <c r="N956" s="46" t="e">
        <f aca="false">IF((H956=1),M956-D956,0)</f>
        <v>#N/A</v>
      </c>
      <c r="O956" s="29" t="n">
        <v>939</v>
      </c>
      <c r="P956" s="49" t="e">
        <f aca="false">IF((Arterial=0),P955+1,P955)</f>
        <v>#N/A</v>
      </c>
      <c r="Q956" s="49" t="e">
        <f aca="false">IF((Arterial=1),Q955+1,Q955)</f>
        <v>#N/A</v>
      </c>
      <c r="R956" s="50" t="n">
        <f aca="false">IF((RESET=1),0,R956+K956)</f>
        <v>0</v>
      </c>
      <c r="S956" s="19" t="n">
        <f aca="false">IF(RESET=1,0,S956+N956)</f>
        <v>0</v>
      </c>
      <c r="T956" s="0" t="n">
        <f aca="false">IF(RESET=1,0,T956+IF(H956=0,1,0))</f>
        <v>0</v>
      </c>
      <c r="U956" s="0" t="n">
        <f aca="false">IF(RESET=1,0,U956+H956)</f>
        <v>0</v>
      </c>
      <c r="V956" s="19" t="n">
        <f aca="false">R956/(T956+0.00001)</f>
        <v>0</v>
      </c>
      <c r="W956" s="19" t="n">
        <f aca="false">S956/(U956+0.0001)</f>
        <v>0</v>
      </c>
      <c r="X956" s="47" t="e">
        <f aca="false">IF(Informed=1,K956,0)</f>
        <v>#N/A</v>
      </c>
      <c r="Y956" s="47" t="n">
        <f aca="false">IF(Informed=0,K956,0)</f>
        <v>0</v>
      </c>
      <c r="Z956" s="47" t="e">
        <f aca="false">IF(Informed=1,N956,0)</f>
        <v>#N/A</v>
      </c>
      <c r="AA956" s="47" t="n">
        <f aca="false">IF(Informed=0,N956,0)</f>
        <v>0</v>
      </c>
      <c r="AB956" s="51" t="e">
        <f aca="false">IF(Arterial=0,IF(Informed=1,1,0),0)</f>
        <v>#N/A</v>
      </c>
      <c r="AC956" s="51" t="e">
        <f aca="false">IF(Arterial=0,IF(Informed=0,1,0),0)</f>
        <v>#N/A</v>
      </c>
      <c r="AD956" s="51" t="e">
        <f aca="false">IF(Arterial=1,IF(Informed=1,1,0),0)</f>
        <v>#N/A</v>
      </c>
      <c r="AE956" s="51" t="e">
        <f aca="false">IF(Arterial=1,IF(Informed=0,1,0),0)</f>
        <v>#N/A</v>
      </c>
      <c r="AF956" s="44" t="e">
        <f aca="false">IF(AB956=1,(X956-G$1030)^2,0)</f>
        <v>#N/A</v>
      </c>
      <c r="AG956" s="44" t="e">
        <f aca="false">IF(AC956=1,(Y956-H$1030)^2,0)</f>
        <v>#N/A</v>
      </c>
      <c r="AH956" s="44" t="e">
        <f aca="false">IF(AD956=1,(Z956-I$1030)^2,0)</f>
        <v>#N/A</v>
      </c>
      <c r="AI956" s="44" t="e">
        <f aca="false">IF(AE956=1,(AA956-J$1030)^2,0)</f>
        <v>#N/A</v>
      </c>
    </row>
    <row r="957" customFormat="false" ht="12" hidden="false" customHeight="false" outlineLevel="0" collapsed="false">
      <c r="A957" s="29" t="n">
        <v>940</v>
      </c>
      <c r="B957" s="45" t="n">
        <f aca="true">IF(RAND()&lt;$D$8,1,0)</f>
        <v>1</v>
      </c>
      <c r="C957" s="34" t="n">
        <f aca="true">-LN(RAND())/$D$2</f>
        <v>2.22400887947814</v>
      </c>
      <c r="D957" s="46" t="n">
        <f aca="false">D956+C957</f>
        <v>1432.85189100476</v>
      </c>
      <c r="E957" s="47" t="e">
        <f aca="false">MAX($D$3,(1+P956-VLOOKUP(VALUE(D957),$J$18:$Q956,7,TRUE()))*$D$3)</f>
        <v>#N/A</v>
      </c>
      <c r="F957" s="47" t="e">
        <f aca="false">MAX($D$4,(1+Q956-VLOOKUP(VALUE(D957),$M$18:$Q956,5,TRUE()))*$D$4)</f>
        <v>#N/A</v>
      </c>
      <c r="G957" s="48" t="n">
        <v>0.5</v>
      </c>
      <c r="H957" s="46" t="e">
        <f aca="true">IF((B957=1),(IF((F957&lt;E957),1,(IF((F957=E957),(IF(RAND()&lt;G957,1,0)),0)))),(IF((RAND()&lt;G957),1,0)))</f>
        <v>#N/A</v>
      </c>
      <c r="I957" s="46" t="e">
        <f aca="true">IF((H957=1),0,$D$3+$D$5*(RAND()-0.5))</f>
        <v>#N/A</v>
      </c>
      <c r="J957" s="46" t="e">
        <f aca="false">I957+MAX(D957,J956)</f>
        <v>#N/A</v>
      </c>
      <c r="K957" s="46" t="e">
        <f aca="false">IF((H957=0),J957-D957,0)</f>
        <v>#N/A</v>
      </c>
      <c r="L957" s="46" t="e">
        <f aca="true">IF(($H957=0),0,$D$4+$D$5*(RAND()-0.5))</f>
        <v>#N/A</v>
      </c>
      <c r="M957" s="46" t="e">
        <f aca="false">L957+MAX(D957,M956)</f>
        <v>#N/A</v>
      </c>
      <c r="N957" s="46" t="e">
        <f aca="false">IF((H957=1),M957-D957,0)</f>
        <v>#N/A</v>
      </c>
      <c r="O957" s="29" t="n">
        <v>940</v>
      </c>
      <c r="P957" s="49" t="e">
        <f aca="false">IF((Arterial=0),P956+1,P956)</f>
        <v>#N/A</v>
      </c>
      <c r="Q957" s="49" t="e">
        <f aca="false">IF((Arterial=1),Q956+1,Q956)</f>
        <v>#N/A</v>
      </c>
      <c r="R957" s="50" t="n">
        <f aca="false">IF((RESET=1),0,R957+K957)</f>
        <v>0</v>
      </c>
      <c r="S957" s="19" t="n">
        <f aca="false">IF(RESET=1,0,S957+N957)</f>
        <v>0</v>
      </c>
      <c r="T957" s="0" t="n">
        <f aca="false">IF(RESET=1,0,T957+IF(H957=0,1,0))</f>
        <v>0</v>
      </c>
      <c r="U957" s="0" t="n">
        <f aca="false">IF(RESET=1,0,U957+H957)</f>
        <v>0</v>
      </c>
      <c r="V957" s="19" t="n">
        <f aca="false">R957/(T957+0.00001)</f>
        <v>0</v>
      </c>
      <c r="W957" s="19" t="n">
        <f aca="false">S957/(U957+0.0001)</f>
        <v>0</v>
      </c>
      <c r="X957" s="47" t="e">
        <f aca="false">IF(Informed=1,K957,0)</f>
        <v>#N/A</v>
      </c>
      <c r="Y957" s="47" t="n">
        <f aca="false">IF(Informed=0,K957,0)</f>
        <v>0</v>
      </c>
      <c r="Z957" s="47" t="e">
        <f aca="false">IF(Informed=1,N957,0)</f>
        <v>#N/A</v>
      </c>
      <c r="AA957" s="47" t="n">
        <f aca="false">IF(Informed=0,N957,0)</f>
        <v>0</v>
      </c>
      <c r="AB957" s="51" t="e">
        <f aca="false">IF(Arterial=0,IF(Informed=1,1,0),0)</f>
        <v>#N/A</v>
      </c>
      <c r="AC957" s="51" t="e">
        <f aca="false">IF(Arterial=0,IF(Informed=0,1,0),0)</f>
        <v>#N/A</v>
      </c>
      <c r="AD957" s="51" t="e">
        <f aca="false">IF(Arterial=1,IF(Informed=1,1,0),0)</f>
        <v>#N/A</v>
      </c>
      <c r="AE957" s="51" t="e">
        <f aca="false">IF(Arterial=1,IF(Informed=0,1,0),0)</f>
        <v>#N/A</v>
      </c>
      <c r="AF957" s="44" t="e">
        <f aca="false">IF(AB957=1,(X957-G$1030)^2,0)</f>
        <v>#N/A</v>
      </c>
      <c r="AG957" s="44" t="e">
        <f aca="false">IF(AC957=1,(Y957-H$1030)^2,0)</f>
        <v>#N/A</v>
      </c>
      <c r="AH957" s="44" t="e">
        <f aca="false">IF(AD957=1,(Z957-I$1030)^2,0)</f>
        <v>#N/A</v>
      </c>
      <c r="AI957" s="44" t="e">
        <f aca="false">IF(AE957=1,(AA957-J$1030)^2,0)</f>
        <v>#N/A</v>
      </c>
    </row>
    <row r="958" customFormat="false" ht="12" hidden="false" customHeight="false" outlineLevel="0" collapsed="false">
      <c r="A958" s="29" t="n">
        <v>941</v>
      </c>
      <c r="B958" s="45" t="n">
        <f aca="true">IF(RAND()&lt;$D$8,1,0)</f>
        <v>1</v>
      </c>
      <c r="C958" s="34" t="n">
        <f aca="true">-LN(RAND())/$D$2</f>
        <v>0.89046536652565</v>
      </c>
      <c r="D958" s="46" t="n">
        <f aca="false">D957+C958</f>
        <v>1433.74235637128</v>
      </c>
      <c r="E958" s="47" t="e">
        <f aca="false">MAX($D$3,(1+P957-VLOOKUP(VALUE(D958),$J$18:$Q957,7,TRUE()))*$D$3)</f>
        <v>#N/A</v>
      </c>
      <c r="F958" s="47" t="e">
        <f aca="false">MAX($D$4,(1+Q957-VLOOKUP(VALUE(D958),$M$18:$Q957,5,TRUE()))*$D$4)</f>
        <v>#N/A</v>
      </c>
      <c r="G958" s="48" t="n">
        <v>0.5</v>
      </c>
      <c r="H958" s="46" t="e">
        <f aca="true">IF((B958=1),(IF((F958&lt;E958),1,(IF((F958=E958),(IF(RAND()&lt;G958,1,0)),0)))),(IF((RAND()&lt;G958),1,0)))</f>
        <v>#N/A</v>
      </c>
      <c r="I958" s="46" t="e">
        <f aca="true">IF((H958=1),0,$D$3+$D$5*(RAND()-0.5))</f>
        <v>#N/A</v>
      </c>
      <c r="J958" s="46" t="e">
        <f aca="false">I958+MAX(D958,J957)</f>
        <v>#N/A</v>
      </c>
      <c r="K958" s="46" t="e">
        <f aca="false">IF((H958=0),J958-D958,0)</f>
        <v>#N/A</v>
      </c>
      <c r="L958" s="46" t="e">
        <f aca="true">IF(($H958=0),0,$D$4+$D$5*(RAND()-0.5))</f>
        <v>#N/A</v>
      </c>
      <c r="M958" s="46" t="e">
        <f aca="false">L958+MAX(D958,M957)</f>
        <v>#N/A</v>
      </c>
      <c r="N958" s="46" t="e">
        <f aca="false">IF((H958=1),M958-D958,0)</f>
        <v>#N/A</v>
      </c>
      <c r="O958" s="29" t="n">
        <v>941</v>
      </c>
      <c r="P958" s="49" t="e">
        <f aca="false">IF((Arterial=0),P957+1,P957)</f>
        <v>#N/A</v>
      </c>
      <c r="Q958" s="49" t="e">
        <f aca="false">IF((Arterial=1),Q957+1,Q957)</f>
        <v>#N/A</v>
      </c>
      <c r="R958" s="50" t="n">
        <f aca="false">IF((RESET=1),0,R958+K958)</f>
        <v>0</v>
      </c>
      <c r="S958" s="19" t="n">
        <f aca="false">IF(RESET=1,0,S958+N958)</f>
        <v>0</v>
      </c>
      <c r="T958" s="0" t="n">
        <f aca="false">IF(RESET=1,0,T958+IF(H958=0,1,0))</f>
        <v>0</v>
      </c>
      <c r="U958" s="0" t="n">
        <f aca="false">IF(RESET=1,0,U958+H958)</f>
        <v>0</v>
      </c>
      <c r="V958" s="19" t="n">
        <f aca="false">R958/(T958+0.00001)</f>
        <v>0</v>
      </c>
      <c r="W958" s="19" t="n">
        <f aca="false">S958/(U958+0.0001)</f>
        <v>0</v>
      </c>
      <c r="X958" s="47" t="e">
        <f aca="false">IF(Informed=1,K958,0)</f>
        <v>#N/A</v>
      </c>
      <c r="Y958" s="47" t="n">
        <f aca="false">IF(Informed=0,K958,0)</f>
        <v>0</v>
      </c>
      <c r="Z958" s="47" t="e">
        <f aca="false">IF(Informed=1,N958,0)</f>
        <v>#N/A</v>
      </c>
      <c r="AA958" s="47" t="n">
        <f aca="false">IF(Informed=0,N958,0)</f>
        <v>0</v>
      </c>
      <c r="AB958" s="51" t="e">
        <f aca="false">IF(Arterial=0,IF(Informed=1,1,0),0)</f>
        <v>#N/A</v>
      </c>
      <c r="AC958" s="51" t="e">
        <f aca="false">IF(Arterial=0,IF(Informed=0,1,0),0)</f>
        <v>#N/A</v>
      </c>
      <c r="AD958" s="51" t="e">
        <f aca="false">IF(Arterial=1,IF(Informed=1,1,0),0)</f>
        <v>#N/A</v>
      </c>
      <c r="AE958" s="51" t="e">
        <f aca="false">IF(Arterial=1,IF(Informed=0,1,0),0)</f>
        <v>#N/A</v>
      </c>
      <c r="AF958" s="44" t="e">
        <f aca="false">IF(AB958=1,(X958-G$1030)^2,0)</f>
        <v>#N/A</v>
      </c>
      <c r="AG958" s="44" t="e">
        <f aca="false">IF(AC958=1,(Y958-H$1030)^2,0)</f>
        <v>#N/A</v>
      </c>
      <c r="AH958" s="44" t="e">
        <f aca="false">IF(AD958=1,(Z958-I$1030)^2,0)</f>
        <v>#N/A</v>
      </c>
      <c r="AI958" s="44" t="e">
        <f aca="false">IF(AE958=1,(AA958-J$1030)^2,0)</f>
        <v>#N/A</v>
      </c>
    </row>
    <row r="959" customFormat="false" ht="12" hidden="false" customHeight="false" outlineLevel="0" collapsed="false">
      <c r="A959" s="29" t="n">
        <v>942</v>
      </c>
      <c r="B959" s="45" t="n">
        <f aca="true">IF(RAND()&lt;$D$8,1,0)</f>
        <v>1</v>
      </c>
      <c r="C959" s="34" t="n">
        <f aca="true">-LN(RAND())/$D$2</f>
        <v>0.224527467792503</v>
      </c>
      <c r="D959" s="46" t="n">
        <f aca="false">D958+C959</f>
        <v>1433.96688383908</v>
      </c>
      <c r="E959" s="47" t="e">
        <f aca="false">MAX($D$3,(1+P958-VLOOKUP(VALUE(D959),$J$18:$Q958,7,TRUE()))*$D$3)</f>
        <v>#N/A</v>
      </c>
      <c r="F959" s="47" t="e">
        <f aca="false">MAX($D$4,(1+Q958-VLOOKUP(VALUE(D959),$M$18:$Q958,5,TRUE()))*$D$4)</f>
        <v>#N/A</v>
      </c>
      <c r="G959" s="48" t="n">
        <v>0.5</v>
      </c>
      <c r="H959" s="46" t="e">
        <f aca="true">IF((B959=1),(IF((F959&lt;E959),1,(IF((F959=E959),(IF(RAND()&lt;G959,1,0)),0)))),(IF((RAND()&lt;G959),1,0)))</f>
        <v>#N/A</v>
      </c>
      <c r="I959" s="46" t="e">
        <f aca="true">IF((H959=1),0,$D$3+$D$5*(RAND()-0.5))</f>
        <v>#N/A</v>
      </c>
      <c r="J959" s="46" t="e">
        <f aca="false">I959+MAX(D959,J958)</f>
        <v>#N/A</v>
      </c>
      <c r="K959" s="46" t="e">
        <f aca="false">IF((H959=0),J959-D959,0)</f>
        <v>#N/A</v>
      </c>
      <c r="L959" s="46" t="e">
        <f aca="true">IF(($H959=0),0,$D$4+$D$5*(RAND()-0.5))</f>
        <v>#N/A</v>
      </c>
      <c r="M959" s="46" t="e">
        <f aca="false">L959+MAX(D959,M958)</f>
        <v>#N/A</v>
      </c>
      <c r="N959" s="46" t="e">
        <f aca="false">IF((H959=1),M959-D959,0)</f>
        <v>#N/A</v>
      </c>
      <c r="O959" s="29" t="n">
        <v>942</v>
      </c>
      <c r="P959" s="49" t="e">
        <f aca="false">IF((Arterial=0),P958+1,P958)</f>
        <v>#N/A</v>
      </c>
      <c r="Q959" s="49" t="e">
        <f aca="false">IF((Arterial=1),Q958+1,Q958)</f>
        <v>#N/A</v>
      </c>
      <c r="R959" s="50" t="n">
        <f aca="false">IF((RESET=1),0,R959+K959)</f>
        <v>0</v>
      </c>
      <c r="S959" s="19" t="n">
        <f aca="false">IF(RESET=1,0,S959+N959)</f>
        <v>0</v>
      </c>
      <c r="T959" s="0" t="n">
        <f aca="false">IF(RESET=1,0,T959+IF(H959=0,1,0))</f>
        <v>0</v>
      </c>
      <c r="U959" s="0" t="n">
        <f aca="false">IF(RESET=1,0,U959+H959)</f>
        <v>0</v>
      </c>
      <c r="V959" s="19" t="n">
        <f aca="false">R959/(T959+0.00001)</f>
        <v>0</v>
      </c>
      <c r="W959" s="19" t="n">
        <f aca="false">S959/(U959+0.0001)</f>
        <v>0</v>
      </c>
      <c r="X959" s="47" t="e">
        <f aca="false">IF(Informed=1,K959,0)</f>
        <v>#N/A</v>
      </c>
      <c r="Y959" s="47" t="n">
        <f aca="false">IF(Informed=0,K959,0)</f>
        <v>0</v>
      </c>
      <c r="Z959" s="47" t="e">
        <f aca="false">IF(Informed=1,N959,0)</f>
        <v>#N/A</v>
      </c>
      <c r="AA959" s="47" t="n">
        <f aca="false">IF(Informed=0,N959,0)</f>
        <v>0</v>
      </c>
      <c r="AB959" s="51" t="e">
        <f aca="false">IF(Arterial=0,IF(Informed=1,1,0),0)</f>
        <v>#N/A</v>
      </c>
      <c r="AC959" s="51" t="e">
        <f aca="false">IF(Arterial=0,IF(Informed=0,1,0),0)</f>
        <v>#N/A</v>
      </c>
      <c r="AD959" s="51" t="e">
        <f aca="false">IF(Arterial=1,IF(Informed=1,1,0),0)</f>
        <v>#N/A</v>
      </c>
      <c r="AE959" s="51" t="e">
        <f aca="false">IF(Arterial=1,IF(Informed=0,1,0),0)</f>
        <v>#N/A</v>
      </c>
      <c r="AF959" s="44" t="e">
        <f aca="false">IF(AB959=1,(X959-G$1030)^2,0)</f>
        <v>#N/A</v>
      </c>
      <c r="AG959" s="44" t="e">
        <f aca="false">IF(AC959=1,(Y959-H$1030)^2,0)</f>
        <v>#N/A</v>
      </c>
      <c r="AH959" s="44" t="e">
        <f aca="false">IF(AD959=1,(Z959-I$1030)^2,0)</f>
        <v>#N/A</v>
      </c>
      <c r="AI959" s="44" t="e">
        <f aca="false">IF(AE959=1,(AA959-J$1030)^2,0)</f>
        <v>#N/A</v>
      </c>
    </row>
    <row r="960" customFormat="false" ht="12" hidden="false" customHeight="false" outlineLevel="0" collapsed="false">
      <c r="A960" s="29" t="n">
        <v>943</v>
      </c>
      <c r="B960" s="45" t="n">
        <f aca="true">IF(RAND()&lt;$D$8,1,0)</f>
        <v>1</v>
      </c>
      <c r="C960" s="34" t="n">
        <f aca="true">-LN(RAND())/$D$2</f>
        <v>0.687864496245868</v>
      </c>
      <c r="D960" s="46" t="n">
        <f aca="false">D959+C960</f>
        <v>1434.65474833532</v>
      </c>
      <c r="E960" s="47" t="e">
        <f aca="false">MAX($D$3,(1+P959-VLOOKUP(VALUE(D960),$J$18:$Q959,7,TRUE()))*$D$3)</f>
        <v>#N/A</v>
      </c>
      <c r="F960" s="47" t="e">
        <f aca="false">MAX($D$4,(1+Q959-VLOOKUP(VALUE(D960),$M$18:$Q959,5,TRUE()))*$D$4)</f>
        <v>#N/A</v>
      </c>
      <c r="G960" s="48" t="n">
        <v>0.5</v>
      </c>
      <c r="H960" s="46" t="e">
        <f aca="true">IF((B960=1),(IF((F960&lt;E960),1,(IF((F960=E960),(IF(RAND()&lt;G960,1,0)),0)))),(IF((RAND()&lt;G960),1,0)))</f>
        <v>#N/A</v>
      </c>
      <c r="I960" s="46" t="e">
        <f aca="true">IF((H960=1),0,$D$3+$D$5*(RAND()-0.5))</f>
        <v>#N/A</v>
      </c>
      <c r="J960" s="46" t="e">
        <f aca="false">I960+MAX(D960,J959)</f>
        <v>#N/A</v>
      </c>
      <c r="K960" s="46" t="e">
        <f aca="false">IF((H960=0),J960-D960,0)</f>
        <v>#N/A</v>
      </c>
      <c r="L960" s="46" t="e">
        <f aca="true">IF(($H960=0),0,$D$4+$D$5*(RAND()-0.5))</f>
        <v>#N/A</v>
      </c>
      <c r="M960" s="46" t="e">
        <f aca="false">L960+MAX(D960,M959)</f>
        <v>#N/A</v>
      </c>
      <c r="N960" s="46" t="e">
        <f aca="false">IF((H960=1),M960-D960,0)</f>
        <v>#N/A</v>
      </c>
      <c r="O960" s="29" t="n">
        <v>943</v>
      </c>
      <c r="P960" s="49" t="e">
        <f aca="false">IF((Arterial=0),P959+1,P959)</f>
        <v>#N/A</v>
      </c>
      <c r="Q960" s="49" t="e">
        <f aca="false">IF((Arterial=1),Q959+1,Q959)</f>
        <v>#N/A</v>
      </c>
      <c r="R960" s="50" t="n">
        <f aca="false">IF((RESET=1),0,R960+K960)</f>
        <v>0</v>
      </c>
      <c r="S960" s="19" t="n">
        <f aca="false">IF(RESET=1,0,S960+N960)</f>
        <v>0</v>
      </c>
      <c r="T960" s="0" t="n">
        <f aca="false">IF(RESET=1,0,T960+IF(H960=0,1,0))</f>
        <v>0</v>
      </c>
      <c r="U960" s="0" t="n">
        <f aca="false">IF(RESET=1,0,U960+H960)</f>
        <v>0</v>
      </c>
      <c r="V960" s="19" t="n">
        <f aca="false">R960/(T960+0.00001)</f>
        <v>0</v>
      </c>
      <c r="W960" s="19" t="n">
        <f aca="false">S960/(U960+0.0001)</f>
        <v>0</v>
      </c>
      <c r="X960" s="47" t="e">
        <f aca="false">IF(Informed=1,K960,0)</f>
        <v>#N/A</v>
      </c>
      <c r="Y960" s="47" t="n">
        <f aca="false">IF(Informed=0,K960,0)</f>
        <v>0</v>
      </c>
      <c r="Z960" s="47" t="e">
        <f aca="false">IF(Informed=1,N960,0)</f>
        <v>#N/A</v>
      </c>
      <c r="AA960" s="47" t="n">
        <f aca="false">IF(Informed=0,N960,0)</f>
        <v>0</v>
      </c>
      <c r="AB960" s="51" t="e">
        <f aca="false">IF(Arterial=0,IF(Informed=1,1,0),0)</f>
        <v>#N/A</v>
      </c>
      <c r="AC960" s="51" t="e">
        <f aca="false">IF(Arterial=0,IF(Informed=0,1,0),0)</f>
        <v>#N/A</v>
      </c>
      <c r="AD960" s="51" t="e">
        <f aca="false">IF(Arterial=1,IF(Informed=1,1,0),0)</f>
        <v>#N/A</v>
      </c>
      <c r="AE960" s="51" t="e">
        <f aca="false">IF(Arterial=1,IF(Informed=0,1,0),0)</f>
        <v>#N/A</v>
      </c>
      <c r="AF960" s="44" t="e">
        <f aca="false">IF(AB960=1,(X960-G$1030)^2,0)</f>
        <v>#N/A</v>
      </c>
      <c r="AG960" s="44" t="e">
        <f aca="false">IF(AC960=1,(Y960-H$1030)^2,0)</f>
        <v>#N/A</v>
      </c>
      <c r="AH960" s="44" t="e">
        <f aca="false">IF(AD960=1,(Z960-I$1030)^2,0)</f>
        <v>#N/A</v>
      </c>
      <c r="AI960" s="44" t="e">
        <f aca="false">IF(AE960=1,(AA960-J$1030)^2,0)</f>
        <v>#N/A</v>
      </c>
    </row>
    <row r="961" customFormat="false" ht="12" hidden="false" customHeight="false" outlineLevel="0" collapsed="false">
      <c r="A961" s="29" t="n">
        <v>944</v>
      </c>
      <c r="B961" s="45" t="n">
        <f aca="true">IF(RAND()&lt;$D$8,1,0)</f>
        <v>1</v>
      </c>
      <c r="C961" s="34" t="n">
        <f aca="true">-LN(RAND())/$D$2</f>
        <v>1.3846440319743</v>
      </c>
      <c r="D961" s="46" t="n">
        <f aca="false">D960+C961</f>
        <v>1436.0393923673</v>
      </c>
      <c r="E961" s="47" t="e">
        <f aca="false">MAX($D$3,(1+P960-VLOOKUP(VALUE(D961),$J$18:$Q960,7,TRUE()))*$D$3)</f>
        <v>#N/A</v>
      </c>
      <c r="F961" s="47" t="e">
        <f aca="false">MAX($D$4,(1+Q960-VLOOKUP(VALUE(D961),$M$18:$Q960,5,TRUE()))*$D$4)</f>
        <v>#N/A</v>
      </c>
      <c r="G961" s="48" t="n">
        <v>0.5</v>
      </c>
      <c r="H961" s="46" t="e">
        <f aca="true">IF((B961=1),(IF((F961&lt;E961),1,(IF((F961=E961),(IF(RAND()&lt;G961,1,0)),0)))),(IF((RAND()&lt;G961),1,0)))</f>
        <v>#N/A</v>
      </c>
      <c r="I961" s="46" t="e">
        <f aca="true">IF((H961=1),0,$D$3+$D$5*(RAND()-0.5))</f>
        <v>#N/A</v>
      </c>
      <c r="J961" s="46" t="e">
        <f aca="false">I961+MAX(D961,J960)</f>
        <v>#N/A</v>
      </c>
      <c r="K961" s="46" t="e">
        <f aca="false">IF((H961=0),J961-D961,0)</f>
        <v>#N/A</v>
      </c>
      <c r="L961" s="46" t="e">
        <f aca="true">IF(($H961=0),0,$D$4+$D$5*(RAND()-0.5))</f>
        <v>#N/A</v>
      </c>
      <c r="M961" s="46" t="e">
        <f aca="false">L961+MAX(D961,M960)</f>
        <v>#N/A</v>
      </c>
      <c r="N961" s="46" t="e">
        <f aca="false">IF((H961=1),M961-D961,0)</f>
        <v>#N/A</v>
      </c>
      <c r="O961" s="29" t="n">
        <v>944</v>
      </c>
      <c r="P961" s="49" t="e">
        <f aca="false">IF((Arterial=0),P960+1,P960)</f>
        <v>#N/A</v>
      </c>
      <c r="Q961" s="49" t="e">
        <f aca="false">IF((Arterial=1),Q960+1,Q960)</f>
        <v>#N/A</v>
      </c>
      <c r="R961" s="50" t="n">
        <f aca="false">IF((RESET=1),0,R961+K961)</f>
        <v>0</v>
      </c>
      <c r="S961" s="19" t="n">
        <f aca="false">IF(RESET=1,0,S961+N961)</f>
        <v>0</v>
      </c>
      <c r="T961" s="0" t="n">
        <f aca="false">IF(RESET=1,0,T961+IF(H961=0,1,0))</f>
        <v>0</v>
      </c>
      <c r="U961" s="0" t="n">
        <f aca="false">IF(RESET=1,0,U961+H961)</f>
        <v>0</v>
      </c>
      <c r="V961" s="19" t="n">
        <f aca="false">R961/(T961+0.00001)</f>
        <v>0</v>
      </c>
      <c r="W961" s="19" t="n">
        <f aca="false">S961/(U961+0.0001)</f>
        <v>0</v>
      </c>
      <c r="X961" s="47" t="e">
        <f aca="false">IF(Informed=1,K961,0)</f>
        <v>#N/A</v>
      </c>
      <c r="Y961" s="47" t="n">
        <f aca="false">IF(Informed=0,K961,0)</f>
        <v>0</v>
      </c>
      <c r="Z961" s="47" t="e">
        <f aca="false">IF(Informed=1,N961,0)</f>
        <v>#N/A</v>
      </c>
      <c r="AA961" s="47" t="n">
        <f aca="false">IF(Informed=0,N961,0)</f>
        <v>0</v>
      </c>
      <c r="AB961" s="51" t="e">
        <f aca="false">IF(Arterial=0,IF(Informed=1,1,0),0)</f>
        <v>#N/A</v>
      </c>
      <c r="AC961" s="51" t="e">
        <f aca="false">IF(Arterial=0,IF(Informed=0,1,0),0)</f>
        <v>#N/A</v>
      </c>
      <c r="AD961" s="51" t="e">
        <f aca="false">IF(Arterial=1,IF(Informed=1,1,0),0)</f>
        <v>#N/A</v>
      </c>
      <c r="AE961" s="51" t="e">
        <f aca="false">IF(Arterial=1,IF(Informed=0,1,0),0)</f>
        <v>#N/A</v>
      </c>
      <c r="AF961" s="44" t="e">
        <f aca="false">IF(AB961=1,(X961-G$1030)^2,0)</f>
        <v>#N/A</v>
      </c>
      <c r="AG961" s="44" t="e">
        <f aca="false">IF(AC961=1,(Y961-H$1030)^2,0)</f>
        <v>#N/A</v>
      </c>
      <c r="AH961" s="44" t="e">
        <f aca="false">IF(AD961=1,(Z961-I$1030)^2,0)</f>
        <v>#N/A</v>
      </c>
      <c r="AI961" s="44" t="e">
        <f aca="false">IF(AE961=1,(AA961-J$1030)^2,0)</f>
        <v>#N/A</v>
      </c>
    </row>
    <row r="962" customFormat="false" ht="12" hidden="false" customHeight="false" outlineLevel="0" collapsed="false">
      <c r="A962" s="29" t="n">
        <v>945</v>
      </c>
      <c r="B962" s="45" t="n">
        <f aca="true">IF(RAND()&lt;$D$8,1,0)</f>
        <v>1</v>
      </c>
      <c r="C962" s="34" t="n">
        <f aca="true">-LN(RAND())/$D$2</f>
        <v>0.493114478153154</v>
      </c>
      <c r="D962" s="46" t="n">
        <f aca="false">D961+C962</f>
        <v>1436.53250684545</v>
      </c>
      <c r="E962" s="47" t="e">
        <f aca="false">MAX($D$3,(1+P961-VLOOKUP(VALUE(D962),$J$18:$Q961,7,TRUE()))*$D$3)</f>
        <v>#N/A</v>
      </c>
      <c r="F962" s="47" t="e">
        <f aca="false">MAX($D$4,(1+Q961-VLOOKUP(VALUE(D962),$M$18:$Q961,5,TRUE()))*$D$4)</f>
        <v>#N/A</v>
      </c>
      <c r="G962" s="48" t="n">
        <v>0.5</v>
      </c>
      <c r="H962" s="46" t="e">
        <f aca="true">IF((B962=1),(IF((F962&lt;E962),1,(IF((F962=E962),(IF(RAND()&lt;G962,1,0)),0)))),(IF((RAND()&lt;G962),1,0)))</f>
        <v>#N/A</v>
      </c>
      <c r="I962" s="46" t="e">
        <f aca="true">IF((H962=1),0,$D$3+$D$5*(RAND()-0.5))</f>
        <v>#N/A</v>
      </c>
      <c r="J962" s="46" t="e">
        <f aca="false">I962+MAX(D962,J961)</f>
        <v>#N/A</v>
      </c>
      <c r="K962" s="46" t="e">
        <f aca="false">IF((H962=0),J962-D962,0)</f>
        <v>#N/A</v>
      </c>
      <c r="L962" s="46" t="e">
        <f aca="true">IF(($H962=0),0,$D$4+$D$5*(RAND()-0.5))</f>
        <v>#N/A</v>
      </c>
      <c r="M962" s="46" t="e">
        <f aca="false">L962+MAX(D962,M961)</f>
        <v>#N/A</v>
      </c>
      <c r="N962" s="46" t="e">
        <f aca="false">IF((H962=1),M962-D962,0)</f>
        <v>#N/A</v>
      </c>
      <c r="O962" s="29" t="n">
        <v>945</v>
      </c>
      <c r="P962" s="49" t="e">
        <f aca="false">IF((Arterial=0),P961+1,P961)</f>
        <v>#N/A</v>
      </c>
      <c r="Q962" s="49" t="e">
        <f aca="false">IF((Arterial=1),Q961+1,Q961)</f>
        <v>#N/A</v>
      </c>
      <c r="R962" s="50" t="n">
        <f aca="false">IF((RESET=1),0,R962+K962)</f>
        <v>0</v>
      </c>
      <c r="S962" s="19" t="n">
        <f aca="false">IF(RESET=1,0,S962+N962)</f>
        <v>0</v>
      </c>
      <c r="T962" s="0" t="n">
        <f aca="false">IF(RESET=1,0,T962+IF(H962=0,1,0))</f>
        <v>0</v>
      </c>
      <c r="U962" s="0" t="n">
        <f aca="false">IF(RESET=1,0,U962+H962)</f>
        <v>0</v>
      </c>
      <c r="V962" s="19" t="n">
        <f aca="false">R962/(T962+0.00001)</f>
        <v>0</v>
      </c>
      <c r="W962" s="19" t="n">
        <f aca="false">S962/(U962+0.0001)</f>
        <v>0</v>
      </c>
      <c r="X962" s="47" t="e">
        <f aca="false">IF(Informed=1,K962,0)</f>
        <v>#N/A</v>
      </c>
      <c r="Y962" s="47" t="n">
        <f aca="false">IF(Informed=0,K962,0)</f>
        <v>0</v>
      </c>
      <c r="Z962" s="47" t="e">
        <f aca="false">IF(Informed=1,N962,0)</f>
        <v>#N/A</v>
      </c>
      <c r="AA962" s="47" t="n">
        <f aca="false">IF(Informed=0,N962,0)</f>
        <v>0</v>
      </c>
      <c r="AB962" s="51" t="e">
        <f aca="false">IF(Arterial=0,IF(Informed=1,1,0),0)</f>
        <v>#N/A</v>
      </c>
      <c r="AC962" s="51" t="e">
        <f aca="false">IF(Arterial=0,IF(Informed=0,1,0),0)</f>
        <v>#N/A</v>
      </c>
      <c r="AD962" s="51" t="e">
        <f aca="false">IF(Arterial=1,IF(Informed=1,1,0),0)</f>
        <v>#N/A</v>
      </c>
      <c r="AE962" s="51" t="e">
        <f aca="false">IF(Arterial=1,IF(Informed=0,1,0),0)</f>
        <v>#N/A</v>
      </c>
      <c r="AF962" s="44" t="e">
        <f aca="false">IF(AB962=1,(X962-G$1030)^2,0)</f>
        <v>#N/A</v>
      </c>
      <c r="AG962" s="44" t="e">
        <f aca="false">IF(AC962=1,(Y962-H$1030)^2,0)</f>
        <v>#N/A</v>
      </c>
      <c r="AH962" s="44" t="e">
        <f aca="false">IF(AD962=1,(Z962-I$1030)^2,0)</f>
        <v>#N/A</v>
      </c>
      <c r="AI962" s="44" t="e">
        <f aca="false">IF(AE962=1,(AA962-J$1030)^2,0)</f>
        <v>#N/A</v>
      </c>
    </row>
    <row r="963" customFormat="false" ht="12" hidden="false" customHeight="false" outlineLevel="0" collapsed="false">
      <c r="A963" s="29" t="n">
        <v>946</v>
      </c>
      <c r="B963" s="45" t="n">
        <f aca="true">IF(RAND()&lt;$D$8,1,0)</f>
        <v>1</v>
      </c>
      <c r="C963" s="34" t="n">
        <f aca="true">-LN(RAND())/$D$2</f>
        <v>2.24009435950993</v>
      </c>
      <c r="D963" s="46" t="n">
        <f aca="false">D962+C963</f>
        <v>1438.77260120496</v>
      </c>
      <c r="E963" s="47" t="e">
        <f aca="false">MAX($D$3,(1+P962-VLOOKUP(VALUE(D963),$J$18:$Q962,7,TRUE()))*$D$3)</f>
        <v>#N/A</v>
      </c>
      <c r="F963" s="47" t="e">
        <f aca="false">MAX($D$4,(1+Q962-VLOOKUP(VALUE(D963),$M$18:$Q962,5,TRUE()))*$D$4)</f>
        <v>#N/A</v>
      </c>
      <c r="G963" s="48" t="n">
        <v>0.5</v>
      </c>
      <c r="H963" s="46" t="e">
        <f aca="true">IF((B963=1),(IF((F963&lt;E963),1,(IF((F963=E963),(IF(RAND()&lt;G963,1,0)),0)))),(IF((RAND()&lt;G963),1,0)))</f>
        <v>#N/A</v>
      </c>
      <c r="I963" s="46" t="e">
        <f aca="true">IF((H963=1),0,$D$3+$D$5*(RAND()-0.5))</f>
        <v>#N/A</v>
      </c>
      <c r="J963" s="46" t="e">
        <f aca="false">I963+MAX(D963,J962)</f>
        <v>#N/A</v>
      </c>
      <c r="K963" s="46" t="e">
        <f aca="false">IF((H963=0),J963-D963,0)</f>
        <v>#N/A</v>
      </c>
      <c r="L963" s="46" t="e">
        <f aca="true">IF(($H963=0),0,$D$4+$D$5*(RAND()-0.5))</f>
        <v>#N/A</v>
      </c>
      <c r="M963" s="46" t="e">
        <f aca="false">L963+MAX(D963,M962)</f>
        <v>#N/A</v>
      </c>
      <c r="N963" s="46" t="e">
        <f aca="false">IF((H963=1),M963-D963,0)</f>
        <v>#N/A</v>
      </c>
      <c r="O963" s="29" t="n">
        <v>946</v>
      </c>
      <c r="P963" s="49" t="e">
        <f aca="false">IF((Arterial=0),P962+1,P962)</f>
        <v>#N/A</v>
      </c>
      <c r="Q963" s="49" t="e">
        <f aca="false">IF((Arterial=1),Q962+1,Q962)</f>
        <v>#N/A</v>
      </c>
      <c r="R963" s="50" t="n">
        <f aca="false">IF((RESET=1),0,R963+K963)</f>
        <v>0</v>
      </c>
      <c r="S963" s="19" t="n">
        <f aca="false">IF(RESET=1,0,S963+N963)</f>
        <v>0</v>
      </c>
      <c r="T963" s="0" t="n">
        <f aca="false">IF(RESET=1,0,T963+IF(H963=0,1,0))</f>
        <v>0</v>
      </c>
      <c r="U963" s="0" t="n">
        <f aca="false">IF(RESET=1,0,U963+H963)</f>
        <v>0</v>
      </c>
      <c r="V963" s="19" t="n">
        <f aca="false">R963/(T963+0.00001)</f>
        <v>0</v>
      </c>
      <c r="W963" s="19" t="n">
        <f aca="false">S963/(U963+0.0001)</f>
        <v>0</v>
      </c>
      <c r="X963" s="47" t="e">
        <f aca="false">IF(Informed=1,K963,0)</f>
        <v>#N/A</v>
      </c>
      <c r="Y963" s="47" t="n">
        <f aca="false">IF(Informed=0,K963,0)</f>
        <v>0</v>
      </c>
      <c r="Z963" s="47" t="e">
        <f aca="false">IF(Informed=1,N963,0)</f>
        <v>#N/A</v>
      </c>
      <c r="AA963" s="47" t="n">
        <f aca="false">IF(Informed=0,N963,0)</f>
        <v>0</v>
      </c>
      <c r="AB963" s="51" t="e">
        <f aca="false">IF(Arterial=0,IF(Informed=1,1,0),0)</f>
        <v>#N/A</v>
      </c>
      <c r="AC963" s="51" t="e">
        <f aca="false">IF(Arterial=0,IF(Informed=0,1,0),0)</f>
        <v>#N/A</v>
      </c>
      <c r="AD963" s="51" t="e">
        <f aca="false">IF(Arterial=1,IF(Informed=1,1,0),0)</f>
        <v>#N/A</v>
      </c>
      <c r="AE963" s="51" t="e">
        <f aca="false">IF(Arterial=1,IF(Informed=0,1,0),0)</f>
        <v>#N/A</v>
      </c>
      <c r="AF963" s="44" t="e">
        <f aca="false">IF(AB963=1,(X963-G$1030)^2,0)</f>
        <v>#N/A</v>
      </c>
      <c r="AG963" s="44" t="e">
        <f aca="false">IF(AC963=1,(Y963-H$1030)^2,0)</f>
        <v>#N/A</v>
      </c>
      <c r="AH963" s="44" t="e">
        <f aca="false">IF(AD963=1,(Z963-I$1030)^2,0)</f>
        <v>#N/A</v>
      </c>
      <c r="AI963" s="44" t="e">
        <f aca="false">IF(AE963=1,(AA963-J$1030)^2,0)</f>
        <v>#N/A</v>
      </c>
    </row>
    <row r="964" customFormat="false" ht="12" hidden="false" customHeight="false" outlineLevel="0" collapsed="false">
      <c r="A964" s="29" t="n">
        <v>947</v>
      </c>
      <c r="B964" s="45" t="n">
        <f aca="true">IF(RAND()&lt;$D$8,1,0)</f>
        <v>1</v>
      </c>
      <c r="C964" s="34" t="n">
        <f aca="true">-LN(RAND())/$D$2</f>
        <v>2.02008933444252</v>
      </c>
      <c r="D964" s="46" t="n">
        <f aca="false">D963+C964</f>
        <v>1440.7926905394</v>
      </c>
      <c r="E964" s="47" t="e">
        <f aca="false">MAX($D$3,(1+P963-VLOOKUP(VALUE(D964),$J$18:$Q963,7,TRUE()))*$D$3)</f>
        <v>#N/A</v>
      </c>
      <c r="F964" s="47" t="e">
        <f aca="false">MAX($D$4,(1+Q963-VLOOKUP(VALUE(D964),$M$18:$Q963,5,TRUE()))*$D$4)</f>
        <v>#N/A</v>
      </c>
      <c r="G964" s="48" t="n">
        <v>0.5</v>
      </c>
      <c r="H964" s="46" t="e">
        <f aca="true">IF((B964=1),(IF((F964&lt;E964),1,(IF((F964=E964),(IF(RAND()&lt;G964,1,0)),0)))),(IF((RAND()&lt;G964),1,0)))</f>
        <v>#N/A</v>
      </c>
      <c r="I964" s="46" t="e">
        <f aca="true">IF((H964=1),0,$D$3+$D$5*(RAND()-0.5))</f>
        <v>#N/A</v>
      </c>
      <c r="J964" s="46" t="e">
        <f aca="false">I964+MAX(D964,J963)</f>
        <v>#N/A</v>
      </c>
      <c r="K964" s="46" t="e">
        <f aca="false">IF((H964=0),J964-D964,0)</f>
        <v>#N/A</v>
      </c>
      <c r="L964" s="46" t="e">
        <f aca="true">IF(($H964=0),0,$D$4+$D$5*(RAND()-0.5))</f>
        <v>#N/A</v>
      </c>
      <c r="M964" s="46" t="e">
        <f aca="false">L964+MAX(D964,M963)</f>
        <v>#N/A</v>
      </c>
      <c r="N964" s="46" t="e">
        <f aca="false">IF((H964=1),M964-D964,0)</f>
        <v>#N/A</v>
      </c>
      <c r="O964" s="29" t="n">
        <v>947</v>
      </c>
      <c r="P964" s="49" t="e">
        <f aca="false">IF((Arterial=0),P963+1,P963)</f>
        <v>#N/A</v>
      </c>
      <c r="Q964" s="49" t="e">
        <f aca="false">IF((Arterial=1),Q963+1,Q963)</f>
        <v>#N/A</v>
      </c>
      <c r="R964" s="50" t="n">
        <f aca="false">IF((RESET=1),0,R964+K964)</f>
        <v>0</v>
      </c>
      <c r="S964" s="19" t="n">
        <f aca="false">IF(RESET=1,0,S964+N964)</f>
        <v>0</v>
      </c>
      <c r="T964" s="0" t="n">
        <f aca="false">IF(RESET=1,0,T964+IF(H964=0,1,0))</f>
        <v>0</v>
      </c>
      <c r="U964" s="0" t="n">
        <f aca="false">IF(RESET=1,0,U964+H964)</f>
        <v>0</v>
      </c>
      <c r="V964" s="19" t="n">
        <f aca="false">R964/(T964+0.00001)</f>
        <v>0</v>
      </c>
      <c r="W964" s="19" t="n">
        <f aca="false">S964/(U964+0.0001)</f>
        <v>0</v>
      </c>
      <c r="X964" s="47" t="e">
        <f aca="false">IF(Informed=1,K964,0)</f>
        <v>#N/A</v>
      </c>
      <c r="Y964" s="47" t="n">
        <f aca="false">IF(Informed=0,K964,0)</f>
        <v>0</v>
      </c>
      <c r="Z964" s="47" t="e">
        <f aca="false">IF(Informed=1,N964,0)</f>
        <v>#N/A</v>
      </c>
      <c r="AA964" s="47" t="n">
        <f aca="false">IF(Informed=0,N964,0)</f>
        <v>0</v>
      </c>
      <c r="AB964" s="51" t="e">
        <f aca="false">IF(Arterial=0,IF(Informed=1,1,0),0)</f>
        <v>#N/A</v>
      </c>
      <c r="AC964" s="51" t="e">
        <f aca="false">IF(Arterial=0,IF(Informed=0,1,0),0)</f>
        <v>#N/A</v>
      </c>
      <c r="AD964" s="51" t="e">
        <f aca="false">IF(Arterial=1,IF(Informed=1,1,0),0)</f>
        <v>#N/A</v>
      </c>
      <c r="AE964" s="51" t="e">
        <f aca="false">IF(Arterial=1,IF(Informed=0,1,0),0)</f>
        <v>#N/A</v>
      </c>
      <c r="AF964" s="44" t="e">
        <f aca="false">IF(AB964=1,(X964-G$1030)^2,0)</f>
        <v>#N/A</v>
      </c>
      <c r="AG964" s="44" t="e">
        <f aca="false">IF(AC964=1,(Y964-H$1030)^2,0)</f>
        <v>#N/A</v>
      </c>
      <c r="AH964" s="44" t="e">
        <f aca="false">IF(AD964=1,(Z964-I$1030)^2,0)</f>
        <v>#N/A</v>
      </c>
      <c r="AI964" s="44" t="e">
        <f aca="false">IF(AE964=1,(AA964-J$1030)^2,0)</f>
        <v>#N/A</v>
      </c>
    </row>
    <row r="965" customFormat="false" ht="12" hidden="false" customHeight="false" outlineLevel="0" collapsed="false">
      <c r="A965" s="29" t="n">
        <v>948</v>
      </c>
      <c r="B965" s="45" t="n">
        <f aca="true">IF(RAND()&lt;$D$8,1,0)</f>
        <v>1</v>
      </c>
      <c r="C965" s="34" t="n">
        <f aca="true">-LN(RAND())/$D$2</f>
        <v>1.20573593570515</v>
      </c>
      <c r="D965" s="46" t="n">
        <f aca="false">D964+C965</f>
        <v>1441.99842647511</v>
      </c>
      <c r="E965" s="47" t="e">
        <f aca="false">MAX($D$3,(1+P964-VLOOKUP(VALUE(D965),$J$18:$Q964,7,TRUE()))*$D$3)</f>
        <v>#N/A</v>
      </c>
      <c r="F965" s="47" t="e">
        <f aca="false">MAX($D$4,(1+Q964-VLOOKUP(VALUE(D965),$M$18:$Q964,5,TRUE()))*$D$4)</f>
        <v>#N/A</v>
      </c>
      <c r="G965" s="48" t="n">
        <v>0.5</v>
      </c>
      <c r="H965" s="46" t="e">
        <f aca="true">IF((B965=1),(IF((F965&lt;E965),1,(IF((F965=E965),(IF(RAND()&lt;G965,1,0)),0)))),(IF((RAND()&lt;G965),1,0)))</f>
        <v>#N/A</v>
      </c>
      <c r="I965" s="46" t="e">
        <f aca="true">IF((H965=1),0,$D$3+$D$5*(RAND()-0.5))</f>
        <v>#N/A</v>
      </c>
      <c r="J965" s="46" t="e">
        <f aca="false">I965+MAX(D965,J964)</f>
        <v>#N/A</v>
      </c>
      <c r="K965" s="46" t="e">
        <f aca="false">IF((H965=0),J965-D965,0)</f>
        <v>#N/A</v>
      </c>
      <c r="L965" s="46" t="e">
        <f aca="true">IF(($H965=0),0,$D$4+$D$5*(RAND()-0.5))</f>
        <v>#N/A</v>
      </c>
      <c r="M965" s="46" t="e">
        <f aca="false">L965+MAX(D965,M964)</f>
        <v>#N/A</v>
      </c>
      <c r="N965" s="46" t="e">
        <f aca="false">IF((H965=1),M965-D965,0)</f>
        <v>#N/A</v>
      </c>
      <c r="O965" s="29" t="n">
        <v>948</v>
      </c>
      <c r="P965" s="49" t="e">
        <f aca="false">IF((Arterial=0),P964+1,P964)</f>
        <v>#N/A</v>
      </c>
      <c r="Q965" s="49" t="e">
        <f aca="false">IF((Arterial=1),Q964+1,Q964)</f>
        <v>#N/A</v>
      </c>
      <c r="R965" s="50" t="n">
        <f aca="false">IF((RESET=1),0,R965+K965)</f>
        <v>0</v>
      </c>
      <c r="S965" s="19" t="n">
        <f aca="false">IF(RESET=1,0,S965+N965)</f>
        <v>0</v>
      </c>
      <c r="T965" s="0" t="n">
        <f aca="false">IF(RESET=1,0,T965+IF(H965=0,1,0))</f>
        <v>0</v>
      </c>
      <c r="U965" s="0" t="n">
        <f aca="false">IF(RESET=1,0,U965+H965)</f>
        <v>0</v>
      </c>
      <c r="V965" s="19" t="n">
        <f aca="false">R965/(T965+0.00001)</f>
        <v>0</v>
      </c>
      <c r="W965" s="19" t="n">
        <f aca="false">S965/(U965+0.0001)</f>
        <v>0</v>
      </c>
      <c r="X965" s="47" t="e">
        <f aca="false">IF(Informed=1,K965,0)</f>
        <v>#N/A</v>
      </c>
      <c r="Y965" s="47" t="n">
        <f aca="false">IF(Informed=0,K965,0)</f>
        <v>0</v>
      </c>
      <c r="Z965" s="47" t="e">
        <f aca="false">IF(Informed=1,N965,0)</f>
        <v>#N/A</v>
      </c>
      <c r="AA965" s="47" t="n">
        <f aca="false">IF(Informed=0,N965,0)</f>
        <v>0</v>
      </c>
      <c r="AB965" s="51" t="e">
        <f aca="false">IF(Arterial=0,IF(Informed=1,1,0),0)</f>
        <v>#N/A</v>
      </c>
      <c r="AC965" s="51" t="e">
        <f aca="false">IF(Arterial=0,IF(Informed=0,1,0),0)</f>
        <v>#N/A</v>
      </c>
      <c r="AD965" s="51" t="e">
        <f aca="false">IF(Arterial=1,IF(Informed=1,1,0),0)</f>
        <v>#N/A</v>
      </c>
      <c r="AE965" s="51" t="e">
        <f aca="false">IF(Arterial=1,IF(Informed=0,1,0),0)</f>
        <v>#N/A</v>
      </c>
      <c r="AF965" s="44" t="e">
        <f aca="false">IF(AB965=1,(X965-G$1030)^2,0)</f>
        <v>#N/A</v>
      </c>
      <c r="AG965" s="44" t="e">
        <f aca="false">IF(AC965=1,(Y965-H$1030)^2,0)</f>
        <v>#N/A</v>
      </c>
      <c r="AH965" s="44" t="e">
        <f aca="false">IF(AD965=1,(Z965-I$1030)^2,0)</f>
        <v>#N/A</v>
      </c>
      <c r="AI965" s="44" t="e">
        <f aca="false">IF(AE965=1,(AA965-J$1030)^2,0)</f>
        <v>#N/A</v>
      </c>
    </row>
    <row r="966" customFormat="false" ht="12" hidden="false" customHeight="false" outlineLevel="0" collapsed="false">
      <c r="A966" s="29" t="n">
        <v>949</v>
      </c>
      <c r="B966" s="45" t="n">
        <f aca="true">IF(RAND()&lt;$D$8,1,0)</f>
        <v>1</v>
      </c>
      <c r="C966" s="34" t="n">
        <f aca="true">-LN(RAND())/$D$2</f>
        <v>0.556282872512774</v>
      </c>
      <c r="D966" s="46" t="n">
        <f aca="false">D965+C966</f>
        <v>1442.55470934762</v>
      </c>
      <c r="E966" s="47" t="e">
        <f aca="false">MAX($D$3,(1+P965-VLOOKUP(VALUE(D966),$J$18:$Q965,7,TRUE()))*$D$3)</f>
        <v>#N/A</v>
      </c>
      <c r="F966" s="47" t="e">
        <f aca="false">MAX($D$4,(1+Q965-VLOOKUP(VALUE(D966),$M$18:$Q965,5,TRUE()))*$D$4)</f>
        <v>#N/A</v>
      </c>
      <c r="G966" s="48" t="n">
        <v>0.5</v>
      </c>
      <c r="H966" s="46" t="e">
        <f aca="true">IF((B966=1),(IF((F966&lt;E966),1,(IF((F966=E966),(IF(RAND()&lt;G966,1,0)),0)))),(IF((RAND()&lt;G966),1,0)))</f>
        <v>#N/A</v>
      </c>
      <c r="I966" s="46" t="e">
        <f aca="true">IF((H966=1),0,$D$3+$D$5*(RAND()-0.5))</f>
        <v>#N/A</v>
      </c>
      <c r="J966" s="46" t="e">
        <f aca="false">I966+MAX(D966,J965)</f>
        <v>#N/A</v>
      </c>
      <c r="K966" s="46" t="e">
        <f aca="false">IF((H966=0),J966-D966,0)</f>
        <v>#N/A</v>
      </c>
      <c r="L966" s="46" t="e">
        <f aca="true">IF(($H966=0),0,$D$4+$D$5*(RAND()-0.5))</f>
        <v>#N/A</v>
      </c>
      <c r="M966" s="46" t="e">
        <f aca="false">L966+MAX(D966,M965)</f>
        <v>#N/A</v>
      </c>
      <c r="N966" s="46" t="e">
        <f aca="false">IF((H966=1),M966-D966,0)</f>
        <v>#N/A</v>
      </c>
      <c r="O966" s="29" t="n">
        <v>949</v>
      </c>
      <c r="P966" s="49" t="e">
        <f aca="false">IF((Arterial=0),P965+1,P965)</f>
        <v>#N/A</v>
      </c>
      <c r="Q966" s="49" t="e">
        <f aca="false">IF((Arterial=1),Q965+1,Q965)</f>
        <v>#N/A</v>
      </c>
      <c r="R966" s="50" t="n">
        <f aca="false">IF((RESET=1),0,R966+K966)</f>
        <v>0</v>
      </c>
      <c r="S966" s="19" t="n">
        <f aca="false">IF(RESET=1,0,S966+N966)</f>
        <v>0</v>
      </c>
      <c r="T966" s="0" t="n">
        <f aca="false">IF(RESET=1,0,T966+IF(H966=0,1,0))</f>
        <v>0</v>
      </c>
      <c r="U966" s="0" t="n">
        <f aca="false">IF(RESET=1,0,U966+H966)</f>
        <v>0</v>
      </c>
      <c r="V966" s="19" t="n">
        <f aca="false">R966/(T966+0.00001)</f>
        <v>0</v>
      </c>
      <c r="W966" s="19" t="n">
        <f aca="false">S966/(U966+0.0001)</f>
        <v>0</v>
      </c>
      <c r="X966" s="47" t="e">
        <f aca="false">IF(Informed=1,K966,0)</f>
        <v>#N/A</v>
      </c>
      <c r="Y966" s="47" t="n">
        <f aca="false">IF(Informed=0,K966,0)</f>
        <v>0</v>
      </c>
      <c r="Z966" s="47" t="e">
        <f aca="false">IF(Informed=1,N966,0)</f>
        <v>#N/A</v>
      </c>
      <c r="AA966" s="47" t="n">
        <f aca="false">IF(Informed=0,N966,0)</f>
        <v>0</v>
      </c>
      <c r="AB966" s="51" t="e">
        <f aca="false">IF(Arterial=0,IF(Informed=1,1,0),0)</f>
        <v>#N/A</v>
      </c>
      <c r="AC966" s="51" t="e">
        <f aca="false">IF(Arterial=0,IF(Informed=0,1,0),0)</f>
        <v>#N/A</v>
      </c>
      <c r="AD966" s="51" t="e">
        <f aca="false">IF(Arterial=1,IF(Informed=1,1,0),0)</f>
        <v>#N/A</v>
      </c>
      <c r="AE966" s="51" t="e">
        <f aca="false">IF(Arterial=1,IF(Informed=0,1,0),0)</f>
        <v>#N/A</v>
      </c>
      <c r="AF966" s="44" t="e">
        <f aca="false">IF(AB966=1,(X966-G$1030)^2,0)</f>
        <v>#N/A</v>
      </c>
      <c r="AG966" s="44" t="e">
        <f aca="false">IF(AC966=1,(Y966-H$1030)^2,0)</f>
        <v>#N/A</v>
      </c>
      <c r="AH966" s="44" t="e">
        <f aca="false">IF(AD966=1,(Z966-I$1030)^2,0)</f>
        <v>#N/A</v>
      </c>
      <c r="AI966" s="44" t="e">
        <f aca="false">IF(AE966=1,(AA966-J$1030)^2,0)</f>
        <v>#N/A</v>
      </c>
    </row>
    <row r="967" customFormat="false" ht="12" hidden="false" customHeight="false" outlineLevel="0" collapsed="false">
      <c r="A967" s="29" t="n">
        <v>950</v>
      </c>
      <c r="B967" s="45" t="n">
        <f aca="true">IF(RAND()&lt;$D$8,1,0)</f>
        <v>1</v>
      </c>
      <c r="C967" s="34" t="n">
        <f aca="true">-LN(RAND())/$D$2</f>
        <v>0.529852333210103</v>
      </c>
      <c r="D967" s="46" t="n">
        <f aca="false">D966+C967</f>
        <v>1443.08456168083</v>
      </c>
      <c r="E967" s="47" t="e">
        <f aca="false">MAX($D$3,(1+P966-VLOOKUP(VALUE(D967),$J$18:$Q966,7,TRUE()))*$D$3)</f>
        <v>#N/A</v>
      </c>
      <c r="F967" s="47" t="e">
        <f aca="false">MAX($D$4,(1+Q966-VLOOKUP(VALUE(D967),$M$18:$Q966,5,TRUE()))*$D$4)</f>
        <v>#N/A</v>
      </c>
      <c r="G967" s="48" t="n">
        <v>0.5</v>
      </c>
      <c r="H967" s="46" t="e">
        <f aca="true">IF((B967=1),(IF((F967&lt;E967),1,(IF((F967=E967),(IF(RAND()&lt;G967,1,0)),0)))),(IF((RAND()&lt;G967),1,0)))</f>
        <v>#N/A</v>
      </c>
      <c r="I967" s="46" t="e">
        <f aca="true">IF((H967=1),0,$D$3+$D$5*(RAND()-0.5))</f>
        <v>#N/A</v>
      </c>
      <c r="J967" s="46" t="e">
        <f aca="false">I967+MAX(D967,J966)</f>
        <v>#N/A</v>
      </c>
      <c r="K967" s="46" t="e">
        <f aca="false">IF((H967=0),J967-D967,0)</f>
        <v>#N/A</v>
      </c>
      <c r="L967" s="46" t="e">
        <f aca="true">IF(($H967=0),0,$D$4+$D$5*(RAND()-0.5))</f>
        <v>#N/A</v>
      </c>
      <c r="M967" s="46" t="e">
        <f aca="false">L967+MAX(D967,M966)</f>
        <v>#N/A</v>
      </c>
      <c r="N967" s="46" t="e">
        <f aca="false">IF((H967=1),M967-D967,0)</f>
        <v>#N/A</v>
      </c>
      <c r="O967" s="29" t="n">
        <v>950</v>
      </c>
      <c r="P967" s="49" t="e">
        <f aca="false">IF((Arterial=0),P966+1,P966)</f>
        <v>#N/A</v>
      </c>
      <c r="Q967" s="49" t="e">
        <f aca="false">IF((Arterial=1),Q966+1,Q966)</f>
        <v>#N/A</v>
      </c>
      <c r="R967" s="50" t="n">
        <f aca="false">IF((RESET=1),0,R967+K967)</f>
        <v>0</v>
      </c>
      <c r="S967" s="19" t="n">
        <f aca="false">IF(RESET=1,0,S967+N967)</f>
        <v>0</v>
      </c>
      <c r="T967" s="0" t="n">
        <f aca="false">IF(RESET=1,0,T967+IF(H967=0,1,0))</f>
        <v>0</v>
      </c>
      <c r="U967" s="0" t="n">
        <f aca="false">IF(RESET=1,0,U967+H967)</f>
        <v>0</v>
      </c>
      <c r="V967" s="19" t="n">
        <f aca="false">R967/(T967+0.00001)</f>
        <v>0</v>
      </c>
      <c r="W967" s="19" t="n">
        <f aca="false">S967/(U967+0.0001)</f>
        <v>0</v>
      </c>
      <c r="X967" s="47" t="e">
        <f aca="false">IF(Informed=1,K967,0)</f>
        <v>#N/A</v>
      </c>
      <c r="Y967" s="47" t="n">
        <f aca="false">IF(Informed=0,K967,0)</f>
        <v>0</v>
      </c>
      <c r="Z967" s="47" t="e">
        <f aca="false">IF(Informed=1,N967,0)</f>
        <v>#N/A</v>
      </c>
      <c r="AA967" s="47" t="n">
        <f aca="false">IF(Informed=0,N967,0)</f>
        <v>0</v>
      </c>
      <c r="AB967" s="51" t="e">
        <f aca="false">IF(Arterial=0,IF(Informed=1,1,0),0)</f>
        <v>#N/A</v>
      </c>
      <c r="AC967" s="51" t="e">
        <f aca="false">IF(Arterial=0,IF(Informed=0,1,0),0)</f>
        <v>#N/A</v>
      </c>
      <c r="AD967" s="51" t="e">
        <f aca="false">IF(Arterial=1,IF(Informed=1,1,0),0)</f>
        <v>#N/A</v>
      </c>
      <c r="AE967" s="51" t="e">
        <f aca="false">IF(Arterial=1,IF(Informed=0,1,0),0)</f>
        <v>#N/A</v>
      </c>
      <c r="AF967" s="44" t="e">
        <f aca="false">IF(AB967=1,(X967-G$1030)^2,0)</f>
        <v>#N/A</v>
      </c>
      <c r="AG967" s="44" t="e">
        <f aca="false">IF(AC967=1,(Y967-H$1030)^2,0)</f>
        <v>#N/A</v>
      </c>
      <c r="AH967" s="44" t="e">
        <f aca="false">IF(AD967=1,(Z967-I$1030)^2,0)</f>
        <v>#N/A</v>
      </c>
      <c r="AI967" s="44" t="e">
        <f aca="false">IF(AE967=1,(AA967-J$1030)^2,0)</f>
        <v>#N/A</v>
      </c>
    </row>
    <row r="968" customFormat="false" ht="12" hidden="false" customHeight="false" outlineLevel="0" collapsed="false">
      <c r="A968" s="29" t="n">
        <v>951</v>
      </c>
      <c r="B968" s="45" t="n">
        <f aca="true">IF(RAND()&lt;$D$8,1,0)</f>
        <v>1</v>
      </c>
      <c r="C968" s="34" t="n">
        <f aca="true">-LN(RAND())/$D$2</f>
        <v>2.36084902407738</v>
      </c>
      <c r="D968" s="46" t="n">
        <f aca="false">D967+C968</f>
        <v>1445.44541070491</v>
      </c>
      <c r="E968" s="47" t="e">
        <f aca="false">MAX($D$3,(1+P967-VLOOKUP(VALUE(D968),$J$18:$Q967,7,TRUE()))*$D$3)</f>
        <v>#N/A</v>
      </c>
      <c r="F968" s="47" t="e">
        <f aca="false">MAX($D$4,(1+Q967-VLOOKUP(VALUE(D968),$M$18:$Q967,5,TRUE()))*$D$4)</f>
        <v>#N/A</v>
      </c>
      <c r="G968" s="48" t="n">
        <v>0.5</v>
      </c>
      <c r="H968" s="46" t="e">
        <f aca="true">IF((B968=1),(IF((F968&lt;E968),1,(IF((F968=E968),(IF(RAND()&lt;G968,1,0)),0)))),(IF((RAND()&lt;G968),1,0)))</f>
        <v>#N/A</v>
      </c>
      <c r="I968" s="46" t="e">
        <f aca="true">IF((H968=1),0,$D$3+$D$5*(RAND()-0.5))</f>
        <v>#N/A</v>
      </c>
      <c r="J968" s="46" t="e">
        <f aca="false">I968+MAX(D968,J967)</f>
        <v>#N/A</v>
      </c>
      <c r="K968" s="46" t="e">
        <f aca="false">IF((H968=0),J968-D968,0)</f>
        <v>#N/A</v>
      </c>
      <c r="L968" s="46" t="e">
        <f aca="true">IF(($H968=0),0,$D$4+$D$5*(RAND()-0.5))</f>
        <v>#N/A</v>
      </c>
      <c r="M968" s="46" t="e">
        <f aca="false">L968+MAX(D968,M967)</f>
        <v>#N/A</v>
      </c>
      <c r="N968" s="46" t="e">
        <f aca="false">IF((H968=1),M968-D968,0)</f>
        <v>#N/A</v>
      </c>
      <c r="O968" s="29" t="n">
        <v>951</v>
      </c>
      <c r="P968" s="49" t="e">
        <f aca="false">IF((Arterial=0),P967+1,P967)</f>
        <v>#N/A</v>
      </c>
      <c r="Q968" s="49" t="e">
        <f aca="false">IF((Arterial=1),Q967+1,Q967)</f>
        <v>#N/A</v>
      </c>
      <c r="R968" s="50" t="n">
        <f aca="false">IF((RESET=1),0,R968+K968)</f>
        <v>0</v>
      </c>
      <c r="S968" s="19" t="n">
        <f aca="false">IF(RESET=1,0,S968+N968)</f>
        <v>0</v>
      </c>
      <c r="T968" s="0" t="n">
        <f aca="false">IF(RESET=1,0,T968+IF(H968=0,1,0))</f>
        <v>0</v>
      </c>
      <c r="U968" s="0" t="n">
        <f aca="false">IF(RESET=1,0,U968+H968)</f>
        <v>0</v>
      </c>
      <c r="V968" s="19" t="n">
        <f aca="false">R968/(T968+0.00001)</f>
        <v>0</v>
      </c>
      <c r="W968" s="19" t="n">
        <f aca="false">S968/(U968+0.0001)</f>
        <v>0</v>
      </c>
      <c r="X968" s="47" t="e">
        <f aca="false">IF(Informed=1,K968,0)</f>
        <v>#N/A</v>
      </c>
      <c r="Y968" s="47" t="n">
        <f aca="false">IF(Informed=0,K968,0)</f>
        <v>0</v>
      </c>
      <c r="Z968" s="47" t="e">
        <f aca="false">IF(Informed=1,N968,0)</f>
        <v>#N/A</v>
      </c>
      <c r="AA968" s="47" t="n">
        <f aca="false">IF(Informed=0,N968,0)</f>
        <v>0</v>
      </c>
      <c r="AB968" s="51" t="e">
        <f aca="false">IF(Arterial=0,IF(Informed=1,1,0),0)</f>
        <v>#N/A</v>
      </c>
      <c r="AC968" s="51" t="e">
        <f aca="false">IF(Arterial=0,IF(Informed=0,1,0),0)</f>
        <v>#N/A</v>
      </c>
      <c r="AD968" s="51" t="e">
        <f aca="false">IF(Arterial=1,IF(Informed=1,1,0),0)</f>
        <v>#N/A</v>
      </c>
      <c r="AE968" s="51" t="e">
        <f aca="false">IF(Arterial=1,IF(Informed=0,1,0),0)</f>
        <v>#N/A</v>
      </c>
      <c r="AF968" s="44" t="e">
        <f aca="false">IF(AB968=1,(X968-G$1030)^2,0)</f>
        <v>#N/A</v>
      </c>
      <c r="AG968" s="44" t="e">
        <f aca="false">IF(AC968=1,(Y968-H$1030)^2,0)</f>
        <v>#N/A</v>
      </c>
      <c r="AH968" s="44" t="e">
        <f aca="false">IF(AD968=1,(Z968-I$1030)^2,0)</f>
        <v>#N/A</v>
      </c>
      <c r="AI968" s="44" t="e">
        <f aca="false">IF(AE968=1,(AA968-J$1030)^2,0)</f>
        <v>#N/A</v>
      </c>
    </row>
    <row r="969" customFormat="false" ht="12" hidden="false" customHeight="false" outlineLevel="0" collapsed="false">
      <c r="A969" s="29" t="n">
        <v>952</v>
      </c>
      <c r="B969" s="45" t="n">
        <f aca="true">IF(RAND()&lt;$D$8,1,0)</f>
        <v>1</v>
      </c>
      <c r="C969" s="34" t="n">
        <f aca="true">-LN(RAND())/$D$2</f>
        <v>0.426004197252746</v>
      </c>
      <c r="D969" s="46" t="n">
        <f aca="false">D968+C969</f>
        <v>1445.87141490216</v>
      </c>
      <c r="E969" s="47" t="e">
        <f aca="false">MAX($D$3,(1+P968-VLOOKUP(VALUE(D969),$J$18:$Q968,7,TRUE()))*$D$3)</f>
        <v>#N/A</v>
      </c>
      <c r="F969" s="47" t="e">
        <f aca="false">MAX($D$4,(1+Q968-VLOOKUP(VALUE(D969),$M$18:$Q968,5,TRUE()))*$D$4)</f>
        <v>#N/A</v>
      </c>
      <c r="G969" s="48" t="n">
        <v>0.5</v>
      </c>
      <c r="H969" s="46" t="e">
        <f aca="true">IF((B969=1),(IF((F969&lt;E969),1,(IF((F969=E969),(IF(RAND()&lt;G969,1,0)),0)))),(IF((RAND()&lt;G969),1,0)))</f>
        <v>#N/A</v>
      </c>
      <c r="I969" s="46" t="e">
        <f aca="true">IF((H969=1),0,$D$3+$D$5*(RAND()-0.5))</f>
        <v>#N/A</v>
      </c>
      <c r="J969" s="46" t="e">
        <f aca="false">I969+MAX(D969,J968)</f>
        <v>#N/A</v>
      </c>
      <c r="K969" s="46" t="e">
        <f aca="false">IF((H969=0),J969-D969,0)</f>
        <v>#N/A</v>
      </c>
      <c r="L969" s="46" t="e">
        <f aca="true">IF(($H969=0),0,$D$4+$D$5*(RAND()-0.5))</f>
        <v>#N/A</v>
      </c>
      <c r="M969" s="46" t="e">
        <f aca="false">L969+MAX(D969,M968)</f>
        <v>#N/A</v>
      </c>
      <c r="N969" s="46" t="e">
        <f aca="false">IF((H969=1),M969-D969,0)</f>
        <v>#N/A</v>
      </c>
      <c r="O969" s="29" t="n">
        <v>952</v>
      </c>
      <c r="P969" s="49" t="e">
        <f aca="false">IF((Arterial=0),P968+1,P968)</f>
        <v>#N/A</v>
      </c>
      <c r="Q969" s="49" t="e">
        <f aca="false">IF((Arterial=1),Q968+1,Q968)</f>
        <v>#N/A</v>
      </c>
      <c r="R969" s="50" t="n">
        <f aca="false">IF((RESET=1),0,R969+K969)</f>
        <v>0</v>
      </c>
      <c r="S969" s="19" t="n">
        <f aca="false">IF(RESET=1,0,S969+N969)</f>
        <v>0</v>
      </c>
      <c r="T969" s="0" t="n">
        <f aca="false">IF(RESET=1,0,T969+IF(H969=0,1,0))</f>
        <v>0</v>
      </c>
      <c r="U969" s="0" t="n">
        <f aca="false">IF(RESET=1,0,U969+H969)</f>
        <v>0</v>
      </c>
      <c r="V969" s="19" t="n">
        <f aca="false">R969/(T969+0.00001)</f>
        <v>0</v>
      </c>
      <c r="W969" s="19" t="n">
        <f aca="false">S969/(U969+0.0001)</f>
        <v>0</v>
      </c>
      <c r="X969" s="47" t="e">
        <f aca="false">IF(Informed=1,K969,0)</f>
        <v>#N/A</v>
      </c>
      <c r="Y969" s="47" t="n">
        <f aca="false">IF(Informed=0,K969,0)</f>
        <v>0</v>
      </c>
      <c r="Z969" s="47" t="e">
        <f aca="false">IF(Informed=1,N969,0)</f>
        <v>#N/A</v>
      </c>
      <c r="AA969" s="47" t="n">
        <f aca="false">IF(Informed=0,N969,0)</f>
        <v>0</v>
      </c>
      <c r="AB969" s="51" t="e">
        <f aca="false">IF(Arterial=0,IF(Informed=1,1,0),0)</f>
        <v>#N/A</v>
      </c>
      <c r="AC969" s="51" t="e">
        <f aca="false">IF(Arterial=0,IF(Informed=0,1,0),0)</f>
        <v>#N/A</v>
      </c>
      <c r="AD969" s="51" t="e">
        <f aca="false">IF(Arterial=1,IF(Informed=1,1,0),0)</f>
        <v>#N/A</v>
      </c>
      <c r="AE969" s="51" t="e">
        <f aca="false">IF(Arterial=1,IF(Informed=0,1,0),0)</f>
        <v>#N/A</v>
      </c>
      <c r="AF969" s="44" t="e">
        <f aca="false">IF(AB969=1,(X969-G$1030)^2,0)</f>
        <v>#N/A</v>
      </c>
      <c r="AG969" s="44" t="e">
        <f aca="false">IF(AC969=1,(Y969-H$1030)^2,0)</f>
        <v>#N/A</v>
      </c>
      <c r="AH969" s="44" t="e">
        <f aca="false">IF(AD969=1,(Z969-I$1030)^2,0)</f>
        <v>#N/A</v>
      </c>
      <c r="AI969" s="44" t="e">
        <f aca="false">IF(AE969=1,(AA969-J$1030)^2,0)</f>
        <v>#N/A</v>
      </c>
    </row>
    <row r="970" customFormat="false" ht="12" hidden="false" customHeight="false" outlineLevel="0" collapsed="false">
      <c r="A970" s="29" t="n">
        <v>953</v>
      </c>
      <c r="B970" s="45" t="n">
        <f aca="true">IF(RAND()&lt;$D$8,1,0)</f>
        <v>1</v>
      </c>
      <c r="C970" s="34" t="n">
        <f aca="true">-LN(RAND())/$D$2</f>
        <v>0.855136662796683</v>
      </c>
      <c r="D970" s="46" t="n">
        <f aca="false">D969+C970</f>
        <v>1446.72655156496</v>
      </c>
      <c r="E970" s="47" t="e">
        <f aca="false">MAX($D$3,(1+P969-VLOOKUP(VALUE(D970),$J$18:$Q969,7,TRUE()))*$D$3)</f>
        <v>#N/A</v>
      </c>
      <c r="F970" s="47" t="e">
        <f aca="false">MAX($D$4,(1+Q969-VLOOKUP(VALUE(D970),$M$18:$Q969,5,TRUE()))*$D$4)</f>
        <v>#N/A</v>
      </c>
      <c r="G970" s="48" t="n">
        <v>0.5</v>
      </c>
      <c r="H970" s="46" t="e">
        <f aca="true">IF((B970=1),(IF((F970&lt;E970),1,(IF((F970=E970),(IF(RAND()&lt;G970,1,0)),0)))),(IF((RAND()&lt;G970),1,0)))</f>
        <v>#N/A</v>
      </c>
      <c r="I970" s="46" t="e">
        <f aca="true">IF((H970=1),0,$D$3+$D$5*(RAND()-0.5))</f>
        <v>#N/A</v>
      </c>
      <c r="J970" s="46" t="e">
        <f aca="false">I970+MAX(D970,J969)</f>
        <v>#N/A</v>
      </c>
      <c r="K970" s="46" t="e">
        <f aca="false">IF((H970=0),J970-D970,0)</f>
        <v>#N/A</v>
      </c>
      <c r="L970" s="46" t="e">
        <f aca="true">IF(($H970=0),0,$D$4+$D$5*(RAND()-0.5))</f>
        <v>#N/A</v>
      </c>
      <c r="M970" s="46" t="e">
        <f aca="false">L970+MAX(D970,M969)</f>
        <v>#N/A</v>
      </c>
      <c r="N970" s="46" t="e">
        <f aca="false">IF((H970=1),M970-D970,0)</f>
        <v>#N/A</v>
      </c>
      <c r="O970" s="29" t="n">
        <v>953</v>
      </c>
      <c r="P970" s="49" t="e">
        <f aca="false">IF((Arterial=0),P969+1,P969)</f>
        <v>#N/A</v>
      </c>
      <c r="Q970" s="49" t="e">
        <f aca="false">IF((Arterial=1),Q969+1,Q969)</f>
        <v>#N/A</v>
      </c>
      <c r="R970" s="50" t="n">
        <f aca="false">IF((RESET=1),0,R970+K970)</f>
        <v>0</v>
      </c>
      <c r="S970" s="19" t="n">
        <f aca="false">IF(RESET=1,0,S970+N970)</f>
        <v>0</v>
      </c>
      <c r="T970" s="0" t="n">
        <f aca="false">IF(RESET=1,0,T970+IF(H970=0,1,0))</f>
        <v>0</v>
      </c>
      <c r="U970" s="0" t="n">
        <f aca="false">IF(RESET=1,0,U970+H970)</f>
        <v>0</v>
      </c>
      <c r="V970" s="19" t="n">
        <f aca="false">R970/(T970+0.00001)</f>
        <v>0</v>
      </c>
      <c r="W970" s="19" t="n">
        <f aca="false">S970/(U970+0.0001)</f>
        <v>0</v>
      </c>
      <c r="X970" s="47" t="e">
        <f aca="false">IF(Informed=1,K970,0)</f>
        <v>#N/A</v>
      </c>
      <c r="Y970" s="47" t="n">
        <f aca="false">IF(Informed=0,K970,0)</f>
        <v>0</v>
      </c>
      <c r="Z970" s="47" t="e">
        <f aca="false">IF(Informed=1,N970,0)</f>
        <v>#N/A</v>
      </c>
      <c r="AA970" s="47" t="n">
        <f aca="false">IF(Informed=0,N970,0)</f>
        <v>0</v>
      </c>
      <c r="AB970" s="51" t="e">
        <f aca="false">IF(Arterial=0,IF(Informed=1,1,0),0)</f>
        <v>#N/A</v>
      </c>
      <c r="AC970" s="51" t="e">
        <f aca="false">IF(Arterial=0,IF(Informed=0,1,0),0)</f>
        <v>#N/A</v>
      </c>
      <c r="AD970" s="51" t="e">
        <f aca="false">IF(Arterial=1,IF(Informed=1,1,0),0)</f>
        <v>#N/A</v>
      </c>
      <c r="AE970" s="51" t="e">
        <f aca="false">IF(Arterial=1,IF(Informed=0,1,0),0)</f>
        <v>#N/A</v>
      </c>
      <c r="AF970" s="44" t="e">
        <f aca="false">IF(AB970=1,(X970-G$1030)^2,0)</f>
        <v>#N/A</v>
      </c>
      <c r="AG970" s="44" t="e">
        <f aca="false">IF(AC970=1,(Y970-H$1030)^2,0)</f>
        <v>#N/A</v>
      </c>
      <c r="AH970" s="44" t="e">
        <f aca="false">IF(AD970=1,(Z970-I$1030)^2,0)</f>
        <v>#N/A</v>
      </c>
      <c r="AI970" s="44" t="e">
        <f aca="false">IF(AE970=1,(AA970-J$1030)^2,0)</f>
        <v>#N/A</v>
      </c>
    </row>
    <row r="971" customFormat="false" ht="12" hidden="false" customHeight="false" outlineLevel="0" collapsed="false">
      <c r="A971" s="29" t="n">
        <v>954</v>
      </c>
      <c r="B971" s="45" t="n">
        <f aca="true">IF(RAND()&lt;$D$8,1,0)</f>
        <v>1</v>
      </c>
      <c r="C971" s="34" t="n">
        <f aca="true">-LN(RAND())/$D$2</f>
        <v>2.21968584469277</v>
      </c>
      <c r="D971" s="46" t="n">
        <f aca="false">D970+C971</f>
        <v>1448.94623740965</v>
      </c>
      <c r="E971" s="47" t="e">
        <f aca="false">MAX($D$3,(1+P970-VLOOKUP(VALUE(D971),$J$18:$Q970,7,TRUE()))*$D$3)</f>
        <v>#N/A</v>
      </c>
      <c r="F971" s="47" t="e">
        <f aca="false">MAX($D$4,(1+Q970-VLOOKUP(VALUE(D971),$M$18:$Q970,5,TRUE()))*$D$4)</f>
        <v>#N/A</v>
      </c>
      <c r="G971" s="48" t="n">
        <v>0.5</v>
      </c>
      <c r="H971" s="46" t="e">
        <f aca="true">IF((B971=1),(IF((F971&lt;E971),1,(IF((F971=E971),(IF(RAND()&lt;G971,1,0)),0)))),(IF((RAND()&lt;G971),1,0)))</f>
        <v>#N/A</v>
      </c>
      <c r="I971" s="46" t="e">
        <f aca="true">IF((H971=1),0,$D$3+$D$5*(RAND()-0.5))</f>
        <v>#N/A</v>
      </c>
      <c r="J971" s="46" t="e">
        <f aca="false">I971+MAX(D971,J970)</f>
        <v>#N/A</v>
      </c>
      <c r="K971" s="46" t="e">
        <f aca="false">IF((H971=0),J971-D971,0)</f>
        <v>#N/A</v>
      </c>
      <c r="L971" s="46" t="e">
        <f aca="true">IF(($H971=0),0,$D$4+$D$5*(RAND()-0.5))</f>
        <v>#N/A</v>
      </c>
      <c r="M971" s="46" t="e">
        <f aca="false">L971+MAX(D971,M970)</f>
        <v>#N/A</v>
      </c>
      <c r="N971" s="46" t="e">
        <f aca="false">IF((H971=1),M971-D971,0)</f>
        <v>#N/A</v>
      </c>
      <c r="O971" s="29" t="n">
        <v>954</v>
      </c>
      <c r="P971" s="49" t="e">
        <f aca="false">IF((Arterial=0),P970+1,P970)</f>
        <v>#N/A</v>
      </c>
      <c r="Q971" s="49" t="e">
        <f aca="false">IF((Arterial=1),Q970+1,Q970)</f>
        <v>#N/A</v>
      </c>
      <c r="R971" s="50" t="n">
        <f aca="false">IF((RESET=1),0,R971+K971)</f>
        <v>0</v>
      </c>
      <c r="S971" s="19" t="n">
        <f aca="false">IF(RESET=1,0,S971+N971)</f>
        <v>0</v>
      </c>
      <c r="T971" s="0" t="n">
        <f aca="false">IF(RESET=1,0,T971+IF(H971=0,1,0))</f>
        <v>0</v>
      </c>
      <c r="U971" s="0" t="n">
        <f aca="false">IF(RESET=1,0,U971+H971)</f>
        <v>0</v>
      </c>
      <c r="V971" s="19" t="n">
        <f aca="false">R971/(T971+0.00001)</f>
        <v>0</v>
      </c>
      <c r="W971" s="19" t="n">
        <f aca="false">S971/(U971+0.0001)</f>
        <v>0</v>
      </c>
      <c r="X971" s="47" t="e">
        <f aca="false">IF(Informed=1,K971,0)</f>
        <v>#N/A</v>
      </c>
      <c r="Y971" s="47" t="n">
        <f aca="false">IF(Informed=0,K971,0)</f>
        <v>0</v>
      </c>
      <c r="Z971" s="47" t="e">
        <f aca="false">IF(Informed=1,N971,0)</f>
        <v>#N/A</v>
      </c>
      <c r="AA971" s="47" t="n">
        <f aca="false">IF(Informed=0,N971,0)</f>
        <v>0</v>
      </c>
      <c r="AB971" s="51" t="e">
        <f aca="false">IF(Arterial=0,IF(Informed=1,1,0),0)</f>
        <v>#N/A</v>
      </c>
      <c r="AC971" s="51" t="e">
        <f aca="false">IF(Arterial=0,IF(Informed=0,1,0),0)</f>
        <v>#N/A</v>
      </c>
      <c r="AD971" s="51" t="e">
        <f aca="false">IF(Arterial=1,IF(Informed=1,1,0),0)</f>
        <v>#N/A</v>
      </c>
      <c r="AE971" s="51" t="e">
        <f aca="false">IF(Arterial=1,IF(Informed=0,1,0),0)</f>
        <v>#N/A</v>
      </c>
      <c r="AF971" s="44" t="e">
        <f aca="false">IF(AB971=1,(X971-G$1030)^2,0)</f>
        <v>#N/A</v>
      </c>
      <c r="AG971" s="44" t="e">
        <f aca="false">IF(AC971=1,(Y971-H$1030)^2,0)</f>
        <v>#N/A</v>
      </c>
      <c r="AH971" s="44" t="e">
        <f aca="false">IF(AD971=1,(Z971-I$1030)^2,0)</f>
        <v>#N/A</v>
      </c>
      <c r="AI971" s="44" t="e">
        <f aca="false">IF(AE971=1,(AA971-J$1030)^2,0)</f>
        <v>#N/A</v>
      </c>
    </row>
    <row r="972" customFormat="false" ht="12" hidden="false" customHeight="false" outlineLevel="0" collapsed="false">
      <c r="A972" s="29" t="n">
        <v>955</v>
      </c>
      <c r="B972" s="45" t="n">
        <f aca="true">IF(RAND()&lt;$D$8,1,0)</f>
        <v>1</v>
      </c>
      <c r="C972" s="34" t="n">
        <f aca="true">-LN(RAND())/$D$2</f>
        <v>0.291193279813621</v>
      </c>
      <c r="D972" s="46" t="n">
        <f aca="false">D971+C972</f>
        <v>1449.23743068946</v>
      </c>
      <c r="E972" s="47" t="e">
        <f aca="false">MAX($D$3,(1+P971-VLOOKUP(VALUE(D972),$J$18:$Q971,7,TRUE()))*$D$3)</f>
        <v>#N/A</v>
      </c>
      <c r="F972" s="47" t="e">
        <f aca="false">MAX($D$4,(1+Q971-VLOOKUP(VALUE(D972),$M$18:$Q971,5,TRUE()))*$D$4)</f>
        <v>#N/A</v>
      </c>
      <c r="G972" s="48" t="n">
        <v>0.5</v>
      </c>
      <c r="H972" s="46" t="e">
        <f aca="true">IF((B972=1),(IF((F972&lt;E972),1,(IF((F972=E972),(IF(RAND()&lt;G972,1,0)),0)))),(IF((RAND()&lt;G972),1,0)))</f>
        <v>#N/A</v>
      </c>
      <c r="I972" s="46" t="e">
        <f aca="true">IF((H972=1),0,$D$3+$D$5*(RAND()-0.5))</f>
        <v>#N/A</v>
      </c>
      <c r="J972" s="46" t="e">
        <f aca="false">I972+MAX(D972,J971)</f>
        <v>#N/A</v>
      </c>
      <c r="K972" s="46" t="e">
        <f aca="false">IF((H972=0),J972-D972,0)</f>
        <v>#N/A</v>
      </c>
      <c r="L972" s="46" t="e">
        <f aca="true">IF(($H972=0),0,$D$4+$D$5*(RAND()-0.5))</f>
        <v>#N/A</v>
      </c>
      <c r="M972" s="46" t="e">
        <f aca="false">L972+MAX(D972,M971)</f>
        <v>#N/A</v>
      </c>
      <c r="N972" s="46" t="e">
        <f aca="false">IF((H972=1),M972-D972,0)</f>
        <v>#N/A</v>
      </c>
      <c r="O972" s="29" t="n">
        <v>955</v>
      </c>
      <c r="P972" s="49" t="e">
        <f aca="false">IF((Arterial=0),P971+1,P971)</f>
        <v>#N/A</v>
      </c>
      <c r="Q972" s="49" t="e">
        <f aca="false">IF((Arterial=1),Q971+1,Q971)</f>
        <v>#N/A</v>
      </c>
      <c r="R972" s="50" t="n">
        <f aca="false">IF((RESET=1),0,R972+K972)</f>
        <v>0</v>
      </c>
      <c r="S972" s="19" t="n">
        <f aca="false">IF(RESET=1,0,S972+N972)</f>
        <v>0</v>
      </c>
      <c r="T972" s="0" t="n">
        <f aca="false">IF(RESET=1,0,T972+IF(H972=0,1,0))</f>
        <v>0</v>
      </c>
      <c r="U972" s="0" t="n">
        <f aca="false">IF(RESET=1,0,U972+H972)</f>
        <v>0</v>
      </c>
      <c r="V972" s="19" t="n">
        <f aca="false">R972/(T972+0.00001)</f>
        <v>0</v>
      </c>
      <c r="W972" s="19" t="n">
        <f aca="false">S972/(U972+0.0001)</f>
        <v>0</v>
      </c>
      <c r="X972" s="47" t="e">
        <f aca="false">IF(Informed=1,K972,0)</f>
        <v>#N/A</v>
      </c>
      <c r="Y972" s="47" t="n">
        <f aca="false">IF(Informed=0,K972,0)</f>
        <v>0</v>
      </c>
      <c r="Z972" s="47" t="e">
        <f aca="false">IF(Informed=1,N972,0)</f>
        <v>#N/A</v>
      </c>
      <c r="AA972" s="47" t="n">
        <f aca="false">IF(Informed=0,N972,0)</f>
        <v>0</v>
      </c>
      <c r="AB972" s="51" t="e">
        <f aca="false">IF(Arterial=0,IF(Informed=1,1,0),0)</f>
        <v>#N/A</v>
      </c>
      <c r="AC972" s="51" t="e">
        <f aca="false">IF(Arterial=0,IF(Informed=0,1,0),0)</f>
        <v>#N/A</v>
      </c>
      <c r="AD972" s="51" t="e">
        <f aca="false">IF(Arterial=1,IF(Informed=1,1,0),0)</f>
        <v>#N/A</v>
      </c>
      <c r="AE972" s="51" t="e">
        <f aca="false">IF(Arterial=1,IF(Informed=0,1,0),0)</f>
        <v>#N/A</v>
      </c>
      <c r="AF972" s="44" t="e">
        <f aca="false">IF(AB972=1,(X972-G$1030)^2,0)</f>
        <v>#N/A</v>
      </c>
      <c r="AG972" s="44" t="e">
        <f aca="false">IF(AC972=1,(Y972-H$1030)^2,0)</f>
        <v>#N/A</v>
      </c>
      <c r="AH972" s="44" t="e">
        <f aca="false">IF(AD972=1,(Z972-I$1030)^2,0)</f>
        <v>#N/A</v>
      </c>
      <c r="AI972" s="44" t="e">
        <f aca="false">IF(AE972=1,(AA972-J$1030)^2,0)</f>
        <v>#N/A</v>
      </c>
    </row>
    <row r="973" customFormat="false" ht="12" hidden="false" customHeight="false" outlineLevel="0" collapsed="false">
      <c r="A973" s="29" t="n">
        <v>956</v>
      </c>
      <c r="B973" s="45" t="n">
        <f aca="true">IF(RAND()&lt;$D$8,1,0)</f>
        <v>1</v>
      </c>
      <c r="C973" s="34" t="n">
        <f aca="true">-LN(RAND())/$D$2</f>
        <v>0.299833711440401</v>
      </c>
      <c r="D973" s="46" t="n">
        <f aca="false">D972+C973</f>
        <v>1449.5372644009</v>
      </c>
      <c r="E973" s="47" t="e">
        <f aca="false">MAX($D$3,(1+P972-VLOOKUP(VALUE(D973),$J$18:$Q972,7,TRUE()))*$D$3)</f>
        <v>#N/A</v>
      </c>
      <c r="F973" s="47" t="e">
        <f aca="false">MAX($D$4,(1+Q972-VLOOKUP(VALUE(D973),$M$18:$Q972,5,TRUE()))*$D$4)</f>
        <v>#N/A</v>
      </c>
      <c r="G973" s="48" t="n">
        <v>0.5</v>
      </c>
      <c r="H973" s="46" t="e">
        <f aca="true">IF((B973=1),(IF((F973&lt;E973),1,(IF((F973=E973),(IF(RAND()&lt;G973,1,0)),0)))),(IF((RAND()&lt;G973),1,0)))</f>
        <v>#N/A</v>
      </c>
      <c r="I973" s="46" t="e">
        <f aca="true">IF((H973=1),0,$D$3+$D$5*(RAND()-0.5))</f>
        <v>#N/A</v>
      </c>
      <c r="J973" s="46" t="e">
        <f aca="false">I973+MAX(D973,J972)</f>
        <v>#N/A</v>
      </c>
      <c r="K973" s="46" t="e">
        <f aca="false">IF((H973=0),J973-D973,0)</f>
        <v>#N/A</v>
      </c>
      <c r="L973" s="46" t="e">
        <f aca="true">IF(($H973=0),0,$D$4+$D$5*(RAND()-0.5))</f>
        <v>#N/A</v>
      </c>
      <c r="M973" s="46" t="e">
        <f aca="false">L973+MAX(D973,M972)</f>
        <v>#N/A</v>
      </c>
      <c r="N973" s="46" t="e">
        <f aca="false">IF((H973=1),M973-D973,0)</f>
        <v>#N/A</v>
      </c>
      <c r="O973" s="29" t="n">
        <v>956</v>
      </c>
      <c r="P973" s="49" t="e">
        <f aca="false">IF((Arterial=0),P972+1,P972)</f>
        <v>#N/A</v>
      </c>
      <c r="Q973" s="49" t="e">
        <f aca="false">IF((Arterial=1),Q972+1,Q972)</f>
        <v>#N/A</v>
      </c>
      <c r="R973" s="50" t="n">
        <f aca="false">IF((RESET=1),0,R973+K973)</f>
        <v>0</v>
      </c>
      <c r="S973" s="19" t="n">
        <f aca="false">IF(RESET=1,0,S973+N973)</f>
        <v>0</v>
      </c>
      <c r="T973" s="0" t="n">
        <f aca="false">IF(RESET=1,0,T973+IF(H973=0,1,0))</f>
        <v>0</v>
      </c>
      <c r="U973" s="0" t="n">
        <f aca="false">IF(RESET=1,0,U973+H973)</f>
        <v>0</v>
      </c>
      <c r="V973" s="19" t="n">
        <f aca="false">R973/(T973+0.00001)</f>
        <v>0</v>
      </c>
      <c r="W973" s="19" t="n">
        <f aca="false">S973/(U973+0.0001)</f>
        <v>0</v>
      </c>
      <c r="X973" s="47" t="e">
        <f aca="false">IF(Informed=1,K973,0)</f>
        <v>#N/A</v>
      </c>
      <c r="Y973" s="47" t="n">
        <f aca="false">IF(Informed=0,K973,0)</f>
        <v>0</v>
      </c>
      <c r="Z973" s="47" t="e">
        <f aca="false">IF(Informed=1,N973,0)</f>
        <v>#N/A</v>
      </c>
      <c r="AA973" s="47" t="n">
        <f aca="false">IF(Informed=0,N973,0)</f>
        <v>0</v>
      </c>
      <c r="AB973" s="51" t="e">
        <f aca="false">IF(Arterial=0,IF(Informed=1,1,0),0)</f>
        <v>#N/A</v>
      </c>
      <c r="AC973" s="51" t="e">
        <f aca="false">IF(Arterial=0,IF(Informed=0,1,0),0)</f>
        <v>#N/A</v>
      </c>
      <c r="AD973" s="51" t="e">
        <f aca="false">IF(Arterial=1,IF(Informed=1,1,0),0)</f>
        <v>#N/A</v>
      </c>
      <c r="AE973" s="51" t="e">
        <f aca="false">IF(Arterial=1,IF(Informed=0,1,0),0)</f>
        <v>#N/A</v>
      </c>
      <c r="AF973" s="44" t="e">
        <f aca="false">IF(AB973=1,(X973-G$1030)^2,0)</f>
        <v>#N/A</v>
      </c>
      <c r="AG973" s="44" t="e">
        <f aca="false">IF(AC973=1,(Y973-H$1030)^2,0)</f>
        <v>#N/A</v>
      </c>
      <c r="AH973" s="44" t="e">
        <f aca="false">IF(AD973=1,(Z973-I$1030)^2,0)</f>
        <v>#N/A</v>
      </c>
      <c r="AI973" s="44" t="e">
        <f aca="false">IF(AE973=1,(AA973-J$1030)^2,0)</f>
        <v>#N/A</v>
      </c>
    </row>
    <row r="974" customFormat="false" ht="12" hidden="false" customHeight="false" outlineLevel="0" collapsed="false">
      <c r="A974" s="29" t="n">
        <v>957</v>
      </c>
      <c r="B974" s="45" t="n">
        <f aca="true">IF(RAND()&lt;$D$8,1,0)</f>
        <v>1</v>
      </c>
      <c r="C974" s="34" t="n">
        <f aca="true">-LN(RAND())/$D$2</f>
        <v>2.51933660911629</v>
      </c>
      <c r="D974" s="46" t="n">
        <f aca="false">D973+C974</f>
        <v>1452.05660101002</v>
      </c>
      <c r="E974" s="47" t="e">
        <f aca="false">MAX($D$3,(1+P973-VLOOKUP(VALUE(D974),$J$18:$Q973,7,TRUE()))*$D$3)</f>
        <v>#N/A</v>
      </c>
      <c r="F974" s="47" t="e">
        <f aca="false">MAX($D$4,(1+Q973-VLOOKUP(VALUE(D974),$M$18:$Q973,5,TRUE()))*$D$4)</f>
        <v>#N/A</v>
      </c>
      <c r="G974" s="48" t="n">
        <v>0.5</v>
      </c>
      <c r="H974" s="46" t="e">
        <f aca="true">IF((B974=1),(IF((F974&lt;E974),1,(IF((F974=E974),(IF(RAND()&lt;G974,1,0)),0)))),(IF((RAND()&lt;G974),1,0)))</f>
        <v>#N/A</v>
      </c>
      <c r="I974" s="46" t="e">
        <f aca="true">IF((H974=1),0,$D$3+$D$5*(RAND()-0.5))</f>
        <v>#N/A</v>
      </c>
      <c r="J974" s="46" t="e">
        <f aca="false">I974+MAX(D974,J973)</f>
        <v>#N/A</v>
      </c>
      <c r="K974" s="46" t="e">
        <f aca="false">IF((H974=0),J974-D974,0)</f>
        <v>#N/A</v>
      </c>
      <c r="L974" s="46" t="e">
        <f aca="true">IF(($H974=0),0,$D$4+$D$5*(RAND()-0.5))</f>
        <v>#N/A</v>
      </c>
      <c r="M974" s="46" t="e">
        <f aca="false">L974+MAX(D974,M973)</f>
        <v>#N/A</v>
      </c>
      <c r="N974" s="46" t="e">
        <f aca="false">IF((H974=1),M974-D974,0)</f>
        <v>#N/A</v>
      </c>
      <c r="O974" s="29" t="n">
        <v>957</v>
      </c>
      <c r="P974" s="49" t="e">
        <f aca="false">IF((Arterial=0),P973+1,P973)</f>
        <v>#N/A</v>
      </c>
      <c r="Q974" s="49" t="e">
        <f aca="false">IF((Arterial=1),Q973+1,Q973)</f>
        <v>#N/A</v>
      </c>
      <c r="R974" s="50" t="n">
        <f aca="false">IF((RESET=1),0,R974+K974)</f>
        <v>0</v>
      </c>
      <c r="S974" s="19" t="n">
        <f aca="false">IF(RESET=1,0,S974+N974)</f>
        <v>0</v>
      </c>
      <c r="T974" s="0" t="n">
        <f aca="false">IF(RESET=1,0,T974+IF(H974=0,1,0))</f>
        <v>0</v>
      </c>
      <c r="U974" s="0" t="n">
        <f aca="false">IF(RESET=1,0,U974+H974)</f>
        <v>0</v>
      </c>
      <c r="V974" s="19" t="n">
        <f aca="false">R974/(T974+0.00001)</f>
        <v>0</v>
      </c>
      <c r="W974" s="19" t="n">
        <f aca="false">S974/(U974+0.0001)</f>
        <v>0</v>
      </c>
      <c r="X974" s="47" t="e">
        <f aca="false">IF(Informed=1,K974,0)</f>
        <v>#N/A</v>
      </c>
      <c r="Y974" s="47" t="n">
        <f aca="false">IF(Informed=0,K974,0)</f>
        <v>0</v>
      </c>
      <c r="Z974" s="47" t="e">
        <f aca="false">IF(Informed=1,N974,0)</f>
        <v>#N/A</v>
      </c>
      <c r="AA974" s="47" t="n">
        <f aca="false">IF(Informed=0,N974,0)</f>
        <v>0</v>
      </c>
      <c r="AB974" s="51" t="e">
        <f aca="false">IF(Arterial=0,IF(Informed=1,1,0),0)</f>
        <v>#N/A</v>
      </c>
      <c r="AC974" s="51" t="e">
        <f aca="false">IF(Arterial=0,IF(Informed=0,1,0),0)</f>
        <v>#N/A</v>
      </c>
      <c r="AD974" s="51" t="e">
        <f aca="false">IF(Arterial=1,IF(Informed=1,1,0),0)</f>
        <v>#N/A</v>
      </c>
      <c r="AE974" s="51" t="e">
        <f aca="false">IF(Arterial=1,IF(Informed=0,1,0),0)</f>
        <v>#N/A</v>
      </c>
      <c r="AF974" s="44" t="e">
        <f aca="false">IF(AB974=1,(X974-G$1030)^2,0)</f>
        <v>#N/A</v>
      </c>
      <c r="AG974" s="44" t="e">
        <f aca="false">IF(AC974=1,(Y974-H$1030)^2,0)</f>
        <v>#N/A</v>
      </c>
      <c r="AH974" s="44" t="e">
        <f aca="false">IF(AD974=1,(Z974-I$1030)^2,0)</f>
        <v>#N/A</v>
      </c>
      <c r="AI974" s="44" t="e">
        <f aca="false">IF(AE974=1,(AA974-J$1030)^2,0)</f>
        <v>#N/A</v>
      </c>
    </row>
    <row r="975" customFormat="false" ht="12" hidden="false" customHeight="false" outlineLevel="0" collapsed="false">
      <c r="A975" s="29" t="n">
        <v>958</v>
      </c>
      <c r="B975" s="45" t="n">
        <f aca="true">IF(RAND()&lt;$D$8,1,0)</f>
        <v>1</v>
      </c>
      <c r="C975" s="34" t="n">
        <f aca="true">-LN(RAND())/$D$2</f>
        <v>0.267062133700392</v>
      </c>
      <c r="D975" s="46" t="n">
        <f aca="false">D974+C975</f>
        <v>1452.32366314372</v>
      </c>
      <c r="E975" s="47" t="e">
        <f aca="false">MAX($D$3,(1+P974-VLOOKUP(VALUE(D975),$J$18:$Q974,7,TRUE()))*$D$3)</f>
        <v>#N/A</v>
      </c>
      <c r="F975" s="47" t="e">
        <f aca="false">MAX($D$4,(1+Q974-VLOOKUP(VALUE(D975),$M$18:$Q974,5,TRUE()))*$D$4)</f>
        <v>#N/A</v>
      </c>
      <c r="G975" s="48" t="n">
        <v>0.5</v>
      </c>
      <c r="H975" s="46" t="e">
        <f aca="true">IF((B975=1),(IF((F975&lt;E975),1,(IF((F975=E975),(IF(RAND()&lt;G975,1,0)),0)))),(IF((RAND()&lt;G975),1,0)))</f>
        <v>#N/A</v>
      </c>
      <c r="I975" s="46" t="e">
        <f aca="true">IF((H975=1),0,$D$3+$D$5*(RAND()-0.5))</f>
        <v>#N/A</v>
      </c>
      <c r="J975" s="46" t="e">
        <f aca="false">I975+MAX(D975,J974)</f>
        <v>#N/A</v>
      </c>
      <c r="K975" s="46" t="e">
        <f aca="false">IF((H975=0),J975-D975,0)</f>
        <v>#N/A</v>
      </c>
      <c r="L975" s="46" t="e">
        <f aca="true">IF(($H975=0),0,$D$4+$D$5*(RAND()-0.5))</f>
        <v>#N/A</v>
      </c>
      <c r="M975" s="46" t="e">
        <f aca="false">L975+MAX(D975,M974)</f>
        <v>#N/A</v>
      </c>
      <c r="N975" s="46" t="e">
        <f aca="false">IF((H975=1),M975-D975,0)</f>
        <v>#N/A</v>
      </c>
      <c r="O975" s="29" t="n">
        <v>958</v>
      </c>
      <c r="P975" s="49" t="e">
        <f aca="false">IF((Arterial=0),P974+1,P974)</f>
        <v>#N/A</v>
      </c>
      <c r="Q975" s="49" t="e">
        <f aca="false">IF((Arterial=1),Q974+1,Q974)</f>
        <v>#N/A</v>
      </c>
      <c r="R975" s="50" t="n">
        <f aca="false">IF((RESET=1),0,R975+K975)</f>
        <v>0</v>
      </c>
      <c r="S975" s="19" t="n">
        <f aca="false">IF(RESET=1,0,S975+N975)</f>
        <v>0</v>
      </c>
      <c r="T975" s="0" t="n">
        <f aca="false">IF(RESET=1,0,T975+IF(H975=0,1,0))</f>
        <v>0</v>
      </c>
      <c r="U975" s="0" t="n">
        <f aca="false">IF(RESET=1,0,U975+H975)</f>
        <v>0</v>
      </c>
      <c r="V975" s="19" t="n">
        <f aca="false">R975/(T975+0.00001)</f>
        <v>0</v>
      </c>
      <c r="W975" s="19" t="n">
        <f aca="false">S975/(U975+0.0001)</f>
        <v>0</v>
      </c>
      <c r="X975" s="47" t="e">
        <f aca="false">IF(Informed=1,K975,0)</f>
        <v>#N/A</v>
      </c>
      <c r="Y975" s="47" t="n">
        <f aca="false">IF(Informed=0,K975,0)</f>
        <v>0</v>
      </c>
      <c r="Z975" s="47" t="e">
        <f aca="false">IF(Informed=1,N975,0)</f>
        <v>#N/A</v>
      </c>
      <c r="AA975" s="47" t="n">
        <f aca="false">IF(Informed=0,N975,0)</f>
        <v>0</v>
      </c>
      <c r="AB975" s="51" t="e">
        <f aca="false">IF(Arterial=0,IF(Informed=1,1,0),0)</f>
        <v>#N/A</v>
      </c>
      <c r="AC975" s="51" t="e">
        <f aca="false">IF(Arterial=0,IF(Informed=0,1,0),0)</f>
        <v>#N/A</v>
      </c>
      <c r="AD975" s="51" t="e">
        <f aca="false">IF(Arterial=1,IF(Informed=1,1,0),0)</f>
        <v>#N/A</v>
      </c>
      <c r="AE975" s="51" t="e">
        <f aca="false">IF(Arterial=1,IF(Informed=0,1,0),0)</f>
        <v>#N/A</v>
      </c>
      <c r="AF975" s="44" t="e">
        <f aca="false">IF(AB975=1,(X975-G$1030)^2,0)</f>
        <v>#N/A</v>
      </c>
      <c r="AG975" s="44" t="e">
        <f aca="false">IF(AC975=1,(Y975-H$1030)^2,0)</f>
        <v>#N/A</v>
      </c>
      <c r="AH975" s="44" t="e">
        <f aca="false">IF(AD975=1,(Z975-I$1030)^2,0)</f>
        <v>#N/A</v>
      </c>
      <c r="AI975" s="44" t="e">
        <f aca="false">IF(AE975=1,(AA975-J$1030)^2,0)</f>
        <v>#N/A</v>
      </c>
    </row>
    <row r="976" customFormat="false" ht="12" hidden="false" customHeight="false" outlineLevel="0" collapsed="false">
      <c r="A976" s="29" t="n">
        <v>959</v>
      </c>
      <c r="B976" s="45" t="n">
        <f aca="true">IF(RAND()&lt;$D$8,1,0)</f>
        <v>1</v>
      </c>
      <c r="C976" s="34" t="n">
        <f aca="true">-LN(RAND())/$D$2</f>
        <v>1.86450233126818</v>
      </c>
      <c r="D976" s="46" t="n">
        <f aca="false">D975+C976</f>
        <v>1454.18816547499</v>
      </c>
      <c r="E976" s="47" t="e">
        <f aca="false">MAX($D$3,(1+P975-VLOOKUP(VALUE(D976),$J$18:$Q975,7,TRUE()))*$D$3)</f>
        <v>#N/A</v>
      </c>
      <c r="F976" s="47" t="e">
        <f aca="false">MAX($D$4,(1+Q975-VLOOKUP(VALUE(D976),$M$18:$Q975,5,TRUE()))*$D$4)</f>
        <v>#N/A</v>
      </c>
      <c r="G976" s="48" t="n">
        <v>0.5</v>
      </c>
      <c r="H976" s="46" t="e">
        <f aca="true">IF((B976=1),(IF((F976&lt;E976),1,(IF((F976=E976),(IF(RAND()&lt;G976,1,0)),0)))),(IF((RAND()&lt;G976),1,0)))</f>
        <v>#N/A</v>
      </c>
      <c r="I976" s="46" t="e">
        <f aca="true">IF((H976=1),0,$D$3+$D$5*(RAND()-0.5))</f>
        <v>#N/A</v>
      </c>
      <c r="J976" s="46" t="e">
        <f aca="false">I976+MAX(D976,J975)</f>
        <v>#N/A</v>
      </c>
      <c r="K976" s="46" t="e">
        <f aca="false">IF((H976=0),J976-D976,0)</f>
        <v>#N/A</v>
      </c>
      <c r="L976" s="46" t="e">
        <f aca="true">IF(($H976=0),0,$D$4+$D$5*(RAND()-0.5))</f>
        <v>#N/A</v>
      </c>
      <c r="M976" s="46" t="e">
        <f aca="false">L976+MAX(D976,M975)</f>
        <v>#N/A</v>
      </c>
      <c r="N976" s="46" t="e">
        <f aca="false">IF((H976=1),M976-D976,0)</f>
        <v>#N/A</v>
      </c>
      <c r="O976" s="29" t="n">
        <v>959</v>
      </c>
      <c r="P976" s="49" t="e">
        <f aca="false">IF((Arterial=0),P975+1,P975)</f>
        <v>#N/A</v>
      </c>
      <c r="Q976" s="49" t="e">
        <f aca="false">IF((Arterial=1),Q975+1,Q975)</f>
        <v>#N/A</v>
      </c>
      <c r="R976" s="50" t="n">
        <f aca="false">IF((RESET=1),0,R976+K976)</f>
        <v>0</v>
      </c>
      <c r="S976" s="19" t="n">
        <f aca="false">IF(RESET=1,0,S976+N976)</f>
        <v>0</v>
      </c>
      <c r="T976" s="0" t="n">
        <f aca="false">IF(RESET=1,0,T976+IF(H976=0,1,0))</f>
        <v>0</v>
      </c>
      <c r="U976" s="0" t="n">
        <f aca="false">IF(RESET=1,0,U976+H976)</f>
        <v>0</v>
      </c>
      <c r="V976" s="19" t="n">
        <f aca="false">R976/(T976+0.00001)</f>
        <v>0</v>
      </c>
      <c r="W976" s="19" t="n">
        <f aca="false">S976/(U976+0.0001)</f>
        <v>0</v>
      </c>
      <c r="X976" s="47" t="e">
        <f aca="false">IF(Informed=1,K976,0)</f>
        <v>#N/A</v>
      </c>
      <c r="Y976" s="47" t="n">
        <f aca="false">IF(Informed=0,K976,0)</f>
        <v>0</v>
      </c>
      <c r="Z976" s="47" t="e">
        <f aca="false">IF(Informed=1,N976,0)</f>
        <v>#N/A</v>
      </c>
      <c r="AA976" s="47" t="n">
        <f aca="false">IF(Informed=0,N976,0)</f>
        <v>0</v>
      </c>
      <c r="AB976" s="51" t="e">
        <f aca="false">IF(Arterial=0,IF(Informed=1,1,0),0)</f>
        <v>#N/A</v>
      </c>
      <c r="AC976" s="51" t="e">
        <f aca="false">IF(Arterial=0,IF(Informed=0,1,0),0)</f>
        <v>#N/A</v>
      </c>
      <c r="AD976" s="51" t="e">
        <f aca="false">IF(Arterial=1,IF(Informed=1,1,0),0)</f>
        <v>#N/A</v>
      </c>
      <c r="AE976" s="51" t="e">
        <f aca="false">IF(Arterial=1,IF(Informed=0,1,0),0)</f>
        <v>#N/A</v>
      </c>
      <c r="AF976" s="44" t="e">
        <f aca="false">IF(AB976=1,(X976-G$1030)^2,0)</f>
        <v>#N/A</v>
      </c>
      <c r="AG976" s="44" t="e">
        <f aca="false">IF(AC976=1,(Y976-H$1030)^2,0)</f>
        <v>#N/A</v>
      </c>
      <c r="AH976" s="44" t="e">
        <f aca="false">IF(AD976=1,(Z976-I$1030)^2,0)</f>
        <v>#N/A</v>
      </c>
      <c r="AI976" s="44" t="e">
        <f aca="false">IF(AE976=1,(AA976-J$1030)^2,0)</f>
        <v>#N/A</v>
      </c>
    </row>
    <row r="977" customFormat="false" ht="12" hidden="false" customHeight="false" outlineLevel="0" collapsed="false">
      <c r="A977" s="29" t="n">
        <v>960</v>
      </c>
      <c r="B977" s="45" t="n">
        <f aca="true">IF(RAND()&lt;$D$8,1,0)</f>
        <v>1</v>
      </c>
      <c r="C977" s="34" t="n">
        <f aca="true">-LN(RAND())/$D$2</f>
        <v>4.03624296425762</v>
      </c>
      <c r="D977" s="46" t="n">
        <f aca="false">D976+C977</f>
        <v>1458.22440843925</v>
      </c>
      <c r="E977" s="47" t="e">
        <f aca="false">MAX($D$3,(1+P976-VLOOKUP(VALUE(D977),$J$18:$Q976,7,TRUE()))*$D$3)</f>
        <v>#N/A</v>
      </c>
      <c r="F977" s="47" t="e">
        <f aca="false">MAX($D$4,(1+Q976-VLOOKUP(VALUE(D977),$M$18:$Q976,5,TRUE()))*$D$4)</f>
        <v>#N/A</v>
      </c>
      <c r="G977" s="48" t="n">
        <v>0.5</v>
      </c>
      <c r="H977" s="46" t="e">
        <f aca="true">IF((B977=1),(IF((F977&lt;E977),1,(IF((F977=E977),(IF(RAND()&lt;G977,1,0)),0)))),(IF((RAND()&lt;G977),1,0)))</f>
        <v>#N/A</v>
      </c>
      <c r="I977" s="46" t="e">
        <f aca="true">IF((H977=1),0,$D$3+$D$5*(RAND()-0.5))</f>
        <v>#N/A</v>
      </c>
      <c r="J977" s="46" t="e">
        <f aca="false">I977+MAX(D977,J976)</f>
        <v>#N/A</v>
      </c>
      <c r="K977" s="46" t="e">
        <f aca="false">IF((H977=0),J977-D977,0)</f>
        <v>#N/A</v>
      </c>
      <c r="L977" s="46" t="e">
        <f aca="true">IF(($H977=0),0,$D$4+$D$5*(RAND()-0.5))</f>
        <v>#N/A</v>
      </c>
      <c r="M977" s="46" t="e">
        <f aca="false">L977+MAX(D977,M976)</f>
        <v>#N/A</v>
      </c>
      <c r="N977" s="46" t="e">
        <f aca="false">IF((H977=1),M977-D977,0)</f>
        <v>#N/A</v>
      </c>
      <c r="O977" s="29" t="n">
        <v>960</v>
      </c>
      <c r="P977" s="49" t="e">
        <f aca="false">IF((Arterial=0),P976+1,P976)</f>
        <v>#N/A</v>
      </c>
      <c r="Q977" s="49" t="e">
        <f aca="false">IF((Arterial=1),Q976+1,Q976)</f>
        <v>#N/A</v>
      </c>
      <c r="R977" s="50" t="n">
        <f aca="false">IF((RESET=1),0,R977+K977)</f>
        <v>0</v>
      </c>
      <c r="S977" s="19" t="n">
        <f aca="false">IF(RESET=1,0,S977+N977)</f>
        <v>0</v>
      </c>
      <c r="T977" s="0" t="n">
        <f aca="false">IF(RESET=1,0,T977+IF(H977=0,1,0))</f>
        <v>0</v>
      </c>
      <c r="U977" s="0" t="n">
        <f aca="false">IF(RESET=1,0,U977+H977)</f>
        <v>0</v>
      </c>
      <c r="V977" s="19" t="n">
        <f aca="false">R977/(T977+0.00001)</f>
        <v>0</v>
      </c>
      <c r="W977" s="19" t="n">
        <f aca="false">S977/(U977+0.0001)</f>
        <v>0</v>
      </c>
      <c r="X977" s="47" t="e">
        <f aca="false">IF(Informed=1,K977,0)</f>
        <v>#N/A</v>
      </c>
      <c r="Y977" s="47" t="n">
        <f aca="false">IF(Informed=0,K977,0)</f>
        <v>0</v>
      </c>
      <c r="Z977" s="47" t="e">
        <f aca="false">IF(Informed=1,N977,0)</f>
        <v>#N/A</v>
      </c>
      <c r="AA977" s="47" t="n">
        <f aca="false">IF(Informed=0,N977,0)</f>
        <v>0</v>
      </c>
      <c r="AB977" s="51" t="e">
        <f aca="false">IF(Arterial=0,IF(Informed=1,1,0),0)</f>
        <v>#N/A</v>
      </c>
      <c r="AC977" s="51" t="e">
        <f aca="false">IF(Arterial=0,IF(Informed=0,1,0),0)</f>
        <v>#N/A</v>
      </c>
      <c r="AD977" s="51" t="e">
        <f aca="false">IF(Arterial=1,IF(Informed=1,1,0),0)</f>
        <v>#N/A</v>
      </c>
      <c r="AE977" s="51" t="e">
        <f aca="false">IF(Arterial=1,IF(Informed=0,1,0),0)</f>
        <v>#N/A</v>
      </c>
      <c r="AF977" s="44" t="e">
        <f aca="false">IF(AB977=1,(X977-G$1030)^2,0)</f>
        <v>#N/A</v>
      </c>
      <c r="AG977" s="44" t="e">
        <f aca="false">IF(AC977=1,(Y977-H$1030)^2,0)</f>
        <v>#N/A</v>
      </c>
      <c r="AH977" s="44" t="e">
        <f aca="false">IF(AD977=1,(Z977-I$1030)^2,0)</f>
        <v>#N/A</v>
      </c>
      <c r="AI977" s="44" t="e">
        <f aca="false">IF(AE977=1,(AA977-J$1030)^2,0)</f>
        <v>#N/A</v>
      </c>
    </row>
    <row r="978" customFormat="false" ht="12" hidden="false" customHeight="false" outlineLevel="0" collapsed="false">
      <c r="A978" s="29" t="n">
        <v>961</v>
      </c>
      <c r="B978" s="45" t="n">
        <f aca="true">IF(RAND()&lt;$D$8,1,0)</f>
        <v>1</v>
      </c>
      <c r="C978" s="34" t="n">
        <f aca="true">-LN(RAND())/$D$2</f>
        <v>3.51670728366581</v>
      </c>
      <c r="D978" s="46" t="n">
        <f aca="false">D977+C978</f>
        <v>1461.74111572291</v>
      </c>
      <c r="E978" s="47" t="e">
        <f aca="false">MAX($D$3,(1+P977-VLOOKUP(VALUE(D978),$J$18:$Q977,7,TRUE()))*$D$3)</f>
        <v>#N/A</v>
      </c>
      <c r="F978" s="47" t="e">
        <f aca="false">MAX($D$4,(1+Q977-VLOOKUP(VALUE(D978),$M$18:$Q977,5,TRUE()))*$D$4)</f>
        <v>#N/A</v>
      </c>
      <c r="G978" s="48" t="n">
        <v>0.5</v>
      </c>
      <c r="H978" s="46" t="e">
        <f aca="true">IF((B978=1),(IF((F978&lt;E978),1,(IF((F978=E978),(IF(RAND()&lt;G978,1,0)),0)))),(IF((RAND()&lt;G978),1,0)))</f>
        <v>#N/A</v>
      </c>
      <c r="I978" s="46" t="e">
        <f aca="true">IF((H978=1),0,$D$3+$D$5*(RAND()-0.5))</f>
        <v>#N/A</v>
      </c>
      <c r="J978" s="46" t="e">
        <f aca="false">I978+MAX(D978,J977)</f>
        <v>#N/A</v>
      </c>
      <c r="K978" s="46" t="e">
        <f aca="false">IF((H978=0),J978-D978,0)</f>
        <v>#N/A</v>
      </c>
      <c r="L978" s="46" t="e">
        <f aca="true">IF(($H978=0),0,$D$4+$D$5*(RAND()-0.5))</f>
        <v>#N/A</v>
      </c>
      <c r="M978" s="46" t="e">
        <f aca="false">L978+MAX(D978,M977)</f>
        <v>#N/A</v>
      </c>
      <c r="N978" s="46" t="e">
        <f aca="false">IF((H978=1),M978-D978,0)</f>
        <v>#N/A</v>
      </c>
      <c r="O978" s="29" t="n">
        <v>961</v>
      </c>
      <c r="P978" s="49" t="e">
        <f aca="false">IF((Arterial=0),P977+1,P977)</f>
        <v>#N/A</v>
      </c>
      <c r="Q978" s="49" t="e">
        <f aca="false">IF((Arterial=1),Q977+1,Q977)</f>
        <v>#N/A</v>
      </c>
      <c r="R978" s="50" t="n">
        <f aca="false">IF((RESET=1),0,R978+K978)</f>
        <v>0</v>
      </c>
      <c r="S978" s="19" t="n">
        <f aca="false">IF(RESET=1,0,S978+N978)</f>
        <v>0</v>
      </c>
      <c r="T978" s="0" t="n">
        <f aca="false">IF(RESET=1,0,T978+IF(H978=0,1,0))</f>
        <v>0</v>
      </c>
      <c r="U978" s="0" t="n">
        <f aca="false">IF(RESET=1,0,U978+H978)</f>
        <v>0</v>
      </c>
      <c r="V978" s="19" t="n">
        <f aca="false">R978/(T978+0.00001)</f>
        <v>0</v>
      </c>
      <c r="W978" s="19" t="n">
        <f aca="false">S978/(U978+0.0001)</f>
        <v>0</v>
      </c>
      <c r="X978" s="47" t="e">
        <f aca="false">IF(Informed=1,K978,0)</f>
        <v>#N/A</v>
      </c>
      <c r="Y978" s="47" t="n">
        <f aca="false">IF(Informed=0,K978,0)</f>
        <v>0</v>
      </c>
      <c r="Z978" s="47" t="e">
        <f aca="false">IF(Informed=1,N978,0)</f>
        <v>#N/A</v>
      </c>
      <c r="AA978" s="47" t="n">
        <f aca="false">IF(Informed=0,N978,0)</f>
        <v>0</v>
      </c>
      <c r="AB978" s="51" t="e">
        <f aca="false">IF(Arterial=0,IF(Informed=1,1,0),0)</f>
        <v>#N/A</v>
      </c>
      <c r="AC978" s="51" t="e">
        <f aca="false">IF(Arterial=0,IF(Informed=0,1,0),0)</f>
        <v>#N/A</v>
      </c>
      <c r="AD978" s="51" t="e">
        <f aca="false">IF(Arterial=1,IF(Informed=1,1,0),0)</f>
        <v>#N/A</v>
      </c>
      <c r="AE978" s="51" t="e">
        <f aca="false">IF(Arterial=1,IF(Informed=0,1,0),0)</f>
        <v>#N/A</v>
      </c>
      <c r="AF978" s="44" t="e">
        <f aca="false">IF(AB978=1,(X978-G$1030)^2,0)</f>
        <v>#N/A</v>
      </c>
      <c r="AG978" s="44" t="e">
        <f aca="false">IF(AC978=1,(Y978-H$1030)^2,0)</f>
        <v>#N/A</v>
      </c>
      <c r="AH978" s="44" t="e">
        <f aca="false">IF(AD978=1,(Z978-I$1030)^2,0)</f>
        <v>#N/A</v>
      </c>
      <c r="AI978" s="44" t="e">
        <f aca="false">IF(AE978=1,(AA978-J$1030)^2,0)</f>
        <v>#N/A</v>
      </c>
    </row>
    <row r="979" customFormat="false" ht="12" hidden="false" customHeight="false" outlineLevel="0" collapsed="false">
      <c r="A979" s="29" t="n">
        <v>962</v>
      </c>
      <c r="B979" s="45" t="n">
        <f aca="true">IF(RAND()&lt;$D$8,1,0)</f>
        <v>1</v>
      </c>
      <c r="C979" s="34" t="n">
        <f aca="true">-LN(RAND())/$D$2</f>
        <v>5.07726188813222</v>
      </c>
      <c r="D979" s="46" t="n">
        <f aca="false">D978+C979</f>
        <v>1466.81837761104</v>
      </c>
      <c r="E979" s="47" t="e">
        <f aca="false">MAX($D$3,(1+P978-VLOOKUP(VALUE(D979),$J$18:$Q978,7,TRUE()))*$D$3)</f>
        <v>#N/A</v>
      </c>
      <c r="F979" s="47" t="e">
        <f aca="false">MAX($D$4,(1+Q978-VLOOKUP(VALUE(D979),$M$18:$Q978,5,TRUE()))*$D$4)</f>
        <v>#N/A</v>
      </c>
      <c r="G979" s="48" t="n">
        <v>0.5</v>
      </c>
      <c r="H979" s="46" t="e">
        <f aca="true">IF((B979=1),(IF((F979&lt;E979),1,(IF((F979=E979),(IF(RAND()&lt;G979,1,0)),0)))),(IF((RAND()&lt;G979),1,0)))</f>
        <v>#N/A</v>
      </c>
      <c r="I979" s="46" t="e">
        <f aca="true">IF((H979=1),0,$D$3+$D$5*(RAND()-0.5))</f>
        <v>#N/A</v>
      </c>
      <c r="J979" s="46" t="e">
        <f aca="false">I979+MAX(D979,J978)</f>
        <v>#N/A</v>
      </c>
      <c r="K979" s="46" t="e">
        <f aca="false">IF((H979=0),J979-D979,0)</f>
        <v>#N/A</v>
      </c>
      <c r="L979" s="46" t="e">
        <f aca="true">IF(($H979=0),0,$D$4+$D$5*(RAND()-0.5))</f>
        <v>#N/A</v>
      </c>
      <c r="M979" s="46" t="e">
        <f aca="false">L979+MAX(D979,M978)</f>
        <v>#N/A</v>
      </c>
      <c r="N979" s="46" t="e">
        <f aca="false">IF((H979=1),M979-D979,0)</f>
        <v>#N/A</v>
      </c>
      <c r="O979" s="29" t="n">
        <v>962</v>
      </c>
      <c r="P979" s="49" t="e">
        <f aca="false">IF((Arterial=0),P978+1,P978)</f>
        <v>#N/A</v>
      </c>
      <c r="Q979" s="49" t="e">
        <f aca="false">IF((Arterial=1),Q978+1,Q978)</f>
        <v>#N/A</v>
      </c>
      <c r="R979" s="50" t="n">
        <f aca="false">IF((RESET=1),0,R979+K979)</f>
        <v>0</v>
      </c>
      <c r="S979" s="19" t="n">
        <f aca="false">IF(RESET=1,0,S979+N979)</f>
        <v>0</v>
      </c>
      <c r="T979" s="0" t="n">
        <f aca="false">IF(RESET=1,0,T979+IF(H979=0,1,0))</f>
        <v>0</v>
      </c>
      <c r="U979" s="0" t="n">
        <f aca="false">IF(RESET=1,0,U979+H979)</f>
        <v>0</v>
      </c>
      <c r="V979" s="19" t="n">
        <f aca="false">R979/(T979+0.00001)</f>
        <v>0</v>
      </c>
      <c r="W979" s="19" t="n">
        <f aca="false">S979/(U979+0.0001)</f>
        <v>0</v>
      </c>
      <c r="X979" s="47" t="e">
        <f aca="false">IF(Informed=1,K979,0)</f>
        <v>#N/A</v>
      </c>
      <c r="Y979" s="47" t="n">
        <f aca="false">IF(Informed=0,K979,0)</f>
        <v>0</v>
      </c>
      <c r="Z979" s="47" t="e">
        <f aca="false">IF(Informed=1,N979,0)</f>
        <v>#N/A</v>
      </c>
      <c r="AA979" s="47" t="n">
        <f aca="false">IF(Informed=0,N979,0)</f>
        <v>0</v>
      </c>
      <c r="AB979" s="51" t="e">
        <f aca="false">IF(Arterial=0,IF(Informed=1,1,0),0)</f>
        <v>#N/A</v>
      </c>
      <c r="AC979" s="51" t="e">
        <f aca="false">IF(Arterial=0,IF(Informed=0,1,0),0)</f>
        <v>#N/A</v>
      </c>
      <c r="AD979" s="51" t="e">
        <f aca="false">IF(Arterial=1,IF(Informed=1,1,0),0)</f>
        <v>#N/A</v>
      </c>
      <c r="AE979" s="51" t="e">
        <f aca="false">IF(Arterial=1,IF(Informed=0,1,0),0)</f>
        <v>#N/A</v>
      </c>
      <c r="AF979" s="44" t="e">
        <f aca="false">IF(AB979=1,(X979-G$1030)^2,0)</f>
        <v>#N/A</v>
      </c>
      <c r="AG979" s="44" t="e">
        <f aca="false">IF(AC979=1,(Y979-H$1030)^2,0)</f>
        <v>#N/A</v>
      </c>
      <c r="AH979" s="44" t="e">
        <f aca="false">IF(AD979=1,(Z979-I$1030)^2,0)</f>
        <v>#N/A</v>
      </c>
      <c r="AI979" s="44" t="e">
        <f aca="false">IF(AE979=1,(AA979-J$1030)^2,0)</f>
        <v>#N/A</v>
      </c>
    </row>
    <row r="980" customFormat="false" ht="12" hidden="false" customHeight="false" outlineLevel="0" collapsed="false">
      <c r="A980" s="29" t="n">
        <v>963</v>
      </c>
      <c r="B980" s="45" t="n">
        <f aca="true">IF(RAND()&lt;$D$8,1,0)</f>
        <v>1</v>
      </c>
      <c r="C980" s="34" t="n">
        <f aca="true">-LN(RAND())/$D$2</f>
        <v>0.277942033100699</v>
      </c>
      <c r="D980" s="46" t="n">
        <f aca="false">D979+C980</f>
        <v>1467.09631964414</v>
      </c>
      <c r="E980" s="47" t="e">
        <f aca="false">MAX($D$3,(1+P979-VLOOKUP(VALUE(D980),$J$18:$Q979,7,TRUE()))*$D$3)</f>
        <v>#N/A</v>
      </c>
      <c r="F980" s="47" t="e">
        <f aca="false">MAX($D$4,(1+Q979-VLOOKUP(VALUE(D980),$M$18:$Q979,5,TRUE()))*$D$4)</f>
        <v>#N/A</v>
      </c>
      <c r="G980" s="48" t="n">
        <v>0.5</v>
      </c>
      <c r="H980" s="46" t="e">
        <f aca="true">IF((B980=1),(IF((F980&lt;E980),1,(IF((F980=E980),(IF(RAND()&lt;G980,1,0)),0)))),(IF((RAND()&lt;G980),1,0)))</f>
        <v>#N/A</v>
      </c>
      <c r="I980" s="46" t="e">
        <f aca="true">IF((H980=1),0,$D$3+$D$5*(RAND()-0.5))</f>
        <v>#N/A</v>
      </c>
      <c r="J980" s="46" t="e">
        <f aca="false">I980+MAX(D980,J979)</f>
        <v>#N/A</v>
      </c>
      <c r="K980" s="46" t="e">
        <f aca="false">IF((H980=0),J980-D980,0)</f>
        <v>#N/A</v>
      </c>
      <c r="L980" s="46" t="e">
        <f aca="true">IF(($H980=0),0,$D$4+$D$5*(RAND()-0.5))</f>
        <v>#N/A</v>
      </c>
      <c r="M980" s="46" t="e">
        <f aca="false">L980+MAX(D980,M979)</f>
        <v>#N/A</v>
      </c>
      <c r="N980" s="46" t="e">
        <f aca="false">IF((H980=1),M980-D980,0)</f>
        <v>#N/A</v>
      </c>
      <c r="O980" s="29" t="n">
        <v>963</v>
      </c>
      <c r="P980" s="49" t="e">
        <f aca="false">IF((Arterial=0),P979+1,P979)</f>
        <v>#N/A</v>
      </c>
      <c r="Q980" s="49" t="e">
        <f aca="false">IF((Arterial=1),Q979+1,Q979)</f>
        <v>#N/A</v>
      </c>
      <c r="R980" s="50" t="n">
        <f aca="false">IF((RESET=1),0,R980+K980)</f>
        <v>0</v>
      </c>
      <c r="S980" s="19" t="n">
        <f aca="false">IF(RESET=1,0,S980+N980)</f>
        <v>0</v>
      </c>
      <c r="T980" s="0" t="n">
        <f aca="false">IF(RESET=1,0,T980+IF(H980=0,1,0))</f>
        <v>0</v>
      </c>
      <c r="U980" s="0" t="n">
        <f aca="false">IF(RESET=1,0,U980+H980)</f>
        <v>0</v>
      </c>
      <c r="V980" s="19" t="n">
        <f aca="false">R980/(T980+0.00001)</f>
        <v>0</v>
      </c>
      <c r="W980" s="19" t="n">
        <f aca="false">S980/(U980+0.0001)</f>
        <v>0</v>
      </c>
      <c r="X980" s="47" t="e">
        <f aca="false">IF(Informed=1,K980,0)</f>
        <v>#N/A</v>
      </c>
      <c r="Y980" s="47" t="n">
        <f aca="false">IF(Informed=0,K980,0)</f>
        <v>0</v>
      </c>
      <c r="Z980" s="47" t="e">
        <f aca="false">IF(Informed=1,N980,0)</f>
        <v>#N/A</v>
      </c>
      <c r="AA980" s="47" t="n">
        <f aca="false">IF(Informed=0,N980,0)</f>
        <v>0</v>
      </c>
      <c r="AB980" s="51" t="e">
        <f aca="false">IF(Arterial=0,IF(Informed=1,1,0),0)</f>
        <v>#N/A</v>
      </c>
      <c r="AC980" s="51" t="e">
        <f aca="false">IF(Arterial=0,IF(Informed=0,1,0),0)</f>
        <v>#N/A</v>
      </c>
      <c r="AD980" s="51" t="e">
        <f aca="false">IF(Arterial=1,IF(Informed=1,1,0),0)</f>
        <v>#N/A</v>
      </c>
      <c r="AE980" s="51" t="e">
        <f aca="false">IF(Arterial=1,IF(Informed=0,1,0),0)</f>
        <v>#N/A</v>
      </c>
      <c r="AF980" s="44" t="e">
        <f aca="false">IF(AB980=1,(X980-G$1030)^2,0)</f>
        <v>#N/A</v>
      </c>
      <c r="AG980" s="44" t="e">
        <f aca="false">IF(AC980=1,(Y980-H$1030)^2,0)</f>
        <v>#N/A</v>
      </c>
      <c r="AH980" s="44" t="e">
        <f aca="false">IF(AD980=1,(Z980-I$1030)^2,0)</f>
        <v>#N/A</v>
      </c>
      <c r="AI980" s="44" t="e">
        <f aca="false">IF(AE980=1,(AA980-J$1030)^2,0)</f>
        <v>#N/A</v>
      </c>
    </row>
    <row r="981" customFormat="false" ht="12" hidden="false" customHeight="false" outlineLevel="0" collapsed="false">
      <c r="A981" s="29" t="n">
        <v>964</v>
      </c>
      <c r="B981" s="45" t="n">
        <f aca="true">IF(RAND()&lt;$D$8,1,0)</f>
        <v>1</v>
      </c>
      <c r="C981" s="34" t="n">
        <f aca="true">-LN(RAND())/$D$2</f>
        <v>1.13756846423378</v>
      </c>
      <c r="D981" s="46" t="n">
        <f aca="false">D980+C981</f>
        <v>1468.23388810838</v>
      </c>
      <c r="E981" s="47" t="e">
        <f aca="false">MAX($D$3,(1+P980-VLOOKUP(VALUE(D981),$J$18:$Q980,7,TRUE()))*$D$3)</f>
        <v>#N/A</v>
      </c>
      <c r="F981" s="47" t="e">
        <f aca="false">MAX($D$4,(1+Q980-VLOOKUP(VALUE(D981),$M$18:$Q980,5,TRUE()))*$D$4)</f>
        <v>#N/A</v>
      </c>
      <c r="G981" s="48" t="n">
        <v>0.5</v>
      </c>
      <c r="H981" s="46" t="e">
        <f aca="true">IF((B981=1),(IF((F981&lt;E981),1,(IF((F981=E981),(IF(RAND()&lt;G981,1,0)),0)))),(IF((RAND()&lt;G981),1,0)))</f>
        <v>#N/A</v>
      </c>
      <c r="I981" s="46" t="e">
        <f aca="true">IF((H981=1),0,$D$3+$D$5*(RAND()-0.5))</f>
        <v>#N/A</v>
      </c>
      <c r="J981" s="46" t="e">
        <f aca="false">I981+MAX(D981,J980)</f>
        <v>#N/A</v>
      </c>
      <c r="K981" s="46" t="e">
        <f aca="false">IF((H981=0),J981-D981,0)</f>
        <v>#N/A</v>
      </c>
      <c r="L981" s="46" t="e">
        <f aca="true">IF(($H981=0),0,$D$4+$D$5*(RAND()-0.5))</f>
        <v>#N/A</v>
      </c>
      <c r="M981" s="46" t="e">
        <f aca="false">L981+MAX(D981,M980)</f>
        <v>#N/A</v>
      </c>
      <c r="N981" s="46" t="e">
        <f aca="false">IF((H981=1),M981-D981,0)</f>
        <v>#N/A</v>
      </c>
      <c r="O981" s="29" t="n">
        <v>964</v>
      </c>
      <c r="P981" s="49" t="e">
        <f aca="false">IF((Arterial=0),P980+1,P980)</f>
        <v>#N/A</v>
      </c>
      <c r="Q981" s="49" t="e">
        <f aca="false">IF((Arterial=1),Q980+1,Q980)</f>
        <v>#N/A</v>
      </c>
      <c r="R981" s="50" t="n">
        <f aca="false">IF((RESET=1),0,R981+K981)</f>
        <v>0</v>
      </c>
      <c r="S981" s="19" t="n">
        <f aca="false">IF(RESET=1,0,S981+N981)</f>
        <v>0</v>
      </c>
      <c r="T981" s="0" t="n">
        <f aca="false">IF(RESET=1,0,T981+IF(H981=0,1,0))</f>
        <v>0</v>
      </c>
      <c r="U981" s="0" t="n">
        <f aca="false">IF(RESET=1,0,U981+H981)</f>
        <v>0</v>
      </c>
      <c r="V981" s="19" t="n">
        <f aca="false">R981/(T981+0.00001)</f>
        <v>0</v>
      </c>
      <c r="W981" s="19" t="n">
        <f aca="false">S981/(U981+0.0001)</f>
        <v>0</v>
      </c>
      <c r="X981" s="47" t="e">
        <f aca="false">IF(Informed=1,K981,0)</f>
        <v>#N/A</v>
      </c>
      <c r="Y981" s="47" t="n">
        <f aca="false">IF(Informed=0,K981,0)</f>
        <v>0</v>
      </c>
      <c r="Z981" s="47" t="e">
        <f aca="false">IF(Informed=1,N981,0)</f>
        <v>#N/A</v>
      </c>
      <c r="AA981" s="47" t="n">
        <f aca="false">IF(Informed=0,N981,0)</f>
        <v>0</v>
      </c>
      <c r="AB981" s="51" t="e">
        <f aca="false">IF(Arterial=0,IF(Informed=1,1,0),0)</f>
        <v>#N/A</v>
      </c>
      <c r="AC981" s="51" t="e">
        <f aca="false">IF(Arterial=0,IF(Informed=0,1,0),0)</f>
        <v>#N/A</v>
      </c>
      <c r="AD981" s="51" t="e">
        <f aca="false">IF(Arterial=1,IF(Informed=1,1,0),0)</f>
        <v>#N/A</v>
      </c>
      <c r="AE981" s="51" t="e">
        <f aca="false">IF(Arterial=1,IF(Informed=0,1,0),0)</f>
        <v>#N/A</v>
      </c>
      <c r="AF981" s="44" t="e">
        <f aca="false">IF(AB981=1,(X981-G$1030)^2,0)</f>
        <v>#N/A</v>
      </c>
      <c r="AG981" s="44" t="e">
        <f aca="false">IF(AC981=1,(Y981-H$1030)^2,0)</f>
        <v>#N/A</v>
      </c>
      <c r="AH981" s="44" t="e">
        <f aca="false">IF(AD981=1,(Z981-I$1030)^2,0)</f>
        <v>#N/A</v>
      </c>
      <c r="AI981" s="44" t="e">
        <f aca="false">IF(AE981=1,(AA981-J$1030)^2,0)</f>
        <v>#N/A</v>
      </c>
    </row>
    <row r="982" customFormat="false" ht="12" hidden="false" customHeight="false" outlineLevel="0" collapsed="false">
      <c r="A982" s="29" t="n">
        <v>965</v>
      </c>
      <c r="B982" s="45" t="n">
        <f aca="true">IF(RAND()&lt;$D$8,1,0)</f>
        <v>1</v>
      </c>
      <c r="C982" s="34" t="n">
        <f aca="true">-LN(RAND())/$D$2</f>
        <v>0.35597587401883</v>
      </c>
      <c r="D982" s="46" t="n">
        <f aca="false">D981+C982</f>
        <v>1468.5898639824</v>
      </c>
      <c r="E982" s="47" t="e">
        <f aca="false">MAX($D$3,(1+P981-VLOOKUP(VALUE(D982),$J$18:$Q981,7,TRUE()))*$D$3)</f>
        <v>#N/A</v>
      </c>
      <c r="F982" s="47" t="e">
        <f aca="false">MAX($D$4,(1+Q981-VLOOKUP(VALUE(D982),$M$18:$Q981,5,TRUE()))*$D$4)</f>
        <v>#N/A</v>
      </c>
      <c r="G982" s="48" t="n">
        <v>0.5</v>
      </c>
      <c r="H982" s="46" t="e">
        <f aca="true">IF((B982=1),(IF((F982&lt;E982),1,(IF((F982=E982),(IF(RAND()&lt;G982,1,0)),0)))),(IF((RAND()&lt;G982),1,0)))</f>
        <v>#N/A</v>
      </c>
      <c r="I982" s="46" t="e">
        <f aca="true">IF((H982=1),0,$D$3+$D$5*(RAND()-0.5))</f>
        <v>#N/A</v>
      </c>
      <c r="J982" s="46" t="e">
        <f aca="false">I982+MAX(D982,J981)</f>
        <v>#N/A</v>
      </c>
      <c r="K982" s="46" t="e">
        <f aca="false">IF((H982=0),J982-D982,0)</f>
        <v>#N/A</v>
      </c>
      <c r="L982" s="46" t="e">
        <f aca="true">IF(($H982=0),0,$D$4+$D$5*(RAND()-0.5))</f>
        <v>#N/A</v>
      </c>
      <c r="M982" s="46" t="e">
        <f aca="false">L982+MAX(D982,M981)</f>
        <v>#N/A</v>
      </c>
      <c r="N982" s="46" t="e">
        <f aca="false">IF((H982=1),M982-D982,0)</f>
        <v>#N/A</v>
      </c>
      <c r="O982" s="29" t="n">
        <v>965</v>
      </c>
      <c r="P982" s="49" t="e">
        <f aca="false">IF((Arterial=0),P981+1,P981)</f>
        <v>#N/A</v>
      </c>
      <c r="Q982" s="49" t="e">
        <f aca="false">IF((Arterial=1),Q981+1,Q981)</f>
        <v>#N/A</v>
      </c>
      <c r="R982" s="50" t="n">
        <f aca="false">IF((RESET=1),0,R982+K982)</f>
        <v>0</v>
      </c>
      <c r="S982" s="19" t="n">
        <f aca="false">IF(RESET=1,0,S982+N982)</f>
        <v>0</v>
      </c>
      <c r="T982" s="0" t="n">
        <f aca="false">IF(RESET=1,0,T982+IF(H982=0,1,0))</f>
        <v>0</v>
      </c>
      <c r="U982" s="0" t="n">
        <f aca="false">IF(RESET=1,0,U982+H982)</f>
        <v>0</v>
      </c>
      <c r="V982" s="19" t="n">
        <f aca="false">R982/(T982+0.00001)</f>
        <v>0</v>
      </c>
      <c r="W982" s="19" t="n">
        <f aca="false">S982/(U982+0.0001)</f>
        <v>0</v>
      </c>
      <c r="X982" s="47" t="e">
        <f aca="false">IF(Informed=1,K982,0)</f>
        <v>#N/A</v>
      </c>
      <c r="Y982" s="47" t="n">
        <f aca="false">IF(Informed=0,K982,0)</f>
        <v>0</v>
      </c>
      <c r="Z982" s="47" t="e">
        <f aca="false">IF(Informed=1,N982,0)</f>
        <v>#N/A</v>
      </c>
      <c r="AA982" s="47" t="n">
        <f aca="false">IF(Informed=0,N982,0)</f>
        <v>0</v>
      </c>
      <c r="AB982" s="51" t="e">
        <f aca="false">IF(Arterial=0,IF(Informed=1,1,0),0)</f>
        <v>#N/A</v>
      </c>
      <c r="AC982" s="51" t="e">
        <f aca="false">IF(Arterial=0,IF(Informed=0,1,0),0)</f>
        <v>#N/A</v>
      </c>
      <c r="AD982" s="51" t="e">
        <f aca="false">IF(Arterial=1,IF(Informed=1,1,0),0)</f>
        <v>#N/A</v>
      </c>
      <c r="AE982" s="51" t="e">
        <f aca="false">IF(Arterial=1,IF(Informed=0,1,0),0)</f>
        <v>#N/A</v>
      </c>
      <c r="AF982" s="44" t="e">
        <f aca="false">IF(AB982=1,(X982-G$1030)^2,0)</f>
        <v>#N/A</v>
      </c>
      <c r="AG982" s="44" t="e">
        <f aca="false">IF(AC982=1,(Y982-H$1030)^2,0)</f>
        <v>#N/A</v>
      </c>
      <c r="AH982" s="44" t="e">
        <f aca="false">IF(AD982=1,(Z982-I$1030)^2,0)</f>
        <v>#N/A</v>
      </c>
      <c r="AI982" s="44" t="e">
        <f aca="false">IF(AE982=1,(AA982-J$1030)^2,0)</f>
        <v>#N/A</v>
      </c>
    </row>
    <row r="983" customFormat="false" ht="12" hidden="false" customHeight="false" outlineLevel="0" collapsed="false">
      <c r="A983" s="29" t="n">
        <v>966</v>
      </c>
      <c r="B983" s="45" t="n">
        <f aca="true">IF(RAND()&lt;$D$8,1,0)</f>
        <v>1</v>
      </c>
      <c r="C983" s="34" t="n">
        <f aca="true">-LN(RAND())/$D$2</f>
        <v>3.36601943709673</v>
      </c>
      <c r="D983" s="46" t="n">
        <f aca="false">D982+C983</f>
        <v>1471.95588341949</v>
      </c>
      <c r="E983" s="47" t="e">
        <f aca="false">MAX($D$3,(1+P982-VLOOKUP(VALUE(D983),$J$18:$Q982,7,TRUE()))*$D$3)</f>
        <v>#N/A</v>
      </c>
      <c r="F983" s="47" t="e">
        <f aca="false">MAX($D$4,(1+Q982-VLOOKUP(VALUE(D983),$M$18:$Q982,5,TRUE()))*$D$4)</f>
        <v>#N/A</v>
      </c>
      <c r="G983" s="48" t="n">
        <v>0.5</v>
      </c>
      <c r="H983" s="46" t="e">
        <f aca="true">IF((B983=1),(IF((F983&lt;E983),1,(IF((F983=E983),(IF(RAND()&lt;G983,1,0)),0)))),(IF((RAND()&lt;G983),1,0)))</f>
        <v>#N/A</v>
      </c>
      <c r="I983" s="46" t="e">
        <f aca="true">IF((H983=1),0,$D$3+$D$5*(RAND()-0.5))</f>
        <v>#N/A</v>
      </c>
      <c r="J983" s="46" t="e">
        <f aca="false">I983+MAX(D983,J982)</f>
        <v>#N/A</v>
      </c>
      <c r="K983" s="46" t="e">
        <f aca="false">IF((H983=0),J983-D983,0)</f>
        <v>#N/A</v>
      </c>
      <c r="L983" s="46" t="e">
        <f aca="true">IF(($H983=0),0,$D$4+$D$5*(RAND()-0.5))</f>
        <v>#N/A</v>
      </c>
      <c r="M983" s="46" t="e">
        <f aca="false">L983+MAX(D983,M982)</f>
        <v>#N/A</v>
      </c>
      <c r="N983" s="46" t="e">
        <f aca="false">IF((H983=1),M983-D983,0)</f>
        <v>#N/A</v>
      </c>
      <c r="O983" s="29" t="n">
        <v>966</v>
      </c>
      <c r="P983" s="49" t="e">
        <f aca="false">IF((Arterial=0),P982+1,P982)</f>
        <v>#N/A</v>
      </c>
      <c r="Q983" s="49" t="e">
        <f aca="false">IF((Arterial=1),Q982+1,Q982)</f>
        <v>#N/A</v>
      </c>
      <c r="R983" s="50" t="n">
        <f aca="false">IF((RESET=1),0,R983+K983)</f>
        <v>0</v>
      </c>
      <c r="S983" s="19" t="n">
        <f aca="false">IF(RESET=1,0,S983+N983)</f>
        <v>0</v>
      </c>
      <c r="T983" s="0" t="n">
        <f aca="false">IF(RESET=1,0,T983+IF(H983=0,1,0))</f>
        <v>0</v>
      </c>
      <c r="U983" s="0" t="n">
        <f aca="false">IF(RESET=1,0,U983+H983)</f>
        <v>0</v>
      </c>
      <c r="V983" s="19" t="n">
        <f aca="false">R983/(T983+0.00001)</f>
        <v>0</v>
      </c>
      <c r="W983" s="19" t="n">
        <f aca="false">S983/(U983+0.0001)</f>
        <v>0</v>
      </c>
      <c r="X983" s="47" t="e">
        <f aca="false">IF(Informed=1,K983,0)</f>
        <v>#N/A</v>
      </c>
      <c r="Y983" s="47" t="n">
        <f aca="false">IF(Informed=0,K983,0)</f>
        <v>0</v>
      </c>
      <c r="Z983" s="47" t="e">
        <f aca="false">IF(Informed=1,N983,0)</f>
        <v>#N/A</v>
      </c>
      <c r="AA983" s="47" t="n">
        <f aca="false">IF(Informed=0,N983,0)</f>
        <v>0</v>
      </c>
      <c r="AB983" s="51" t="e">
        <f aca="false">IF(Arterial=0,IF(Informed=1,1,0),0)</f>
        <v>#N/A</v>
      </c>
      <c r="AC983" s="51" t="e">
        <f aca="false">IF(Arterial=0,IF(Informed=0,1,0),0)</f>
        <v>#N/A</v>
      </c>
      <c r="AD983" s="51" t="e">
        <f aca="false">IF(Arterial=1,IF(Informed=1,1,0),0)</f>
        <v>#N/A</v>
      </c>
      <c r="AE983" s="51" t="e">
        <f aca="false">IF(Arterial=1,IF(Informed=0,1,0),0)</f>
        <v>#N/A</v>
      </c>
      <c r="AF983" s="44" t="e">
        <f aca="false">IF(AB983=1,(X983-G$1030)^2,0)</f>
        <v>#N/A</v>
      </c>
      <c r="AG983" s="44" t="e">
        <f aca="false">IF(AC983=1,(Y983-H$1030)^2,0)</f>
        <v>#N/A</v>
      </c>
      <c r="AH983" s="44" t="e">
        <f aca="false">IF(AD983=1,(Z983-I$1030)^2,0)</f>
        <v>#N/A</v>
      </c>
      <c r="AI983" s="44" t="e">
        <f aca="false">IF(AE983=1,(AA983-J$1030)^2,0)</f>
        <v>#N/A</v>
      </c>
    </row>
    <row r="984" customFormat="false" ht="12" hidden="false" customHeight="false" outlineLevel="0" collapsed="false">
      <c r="A984" s="29" t="n">
        <v>967</v>
      </c>
      <c r="B984" s="45" t="n">
        <f aca="true">IF(RAND()&lt;$D$8,1,0)</f>
        <v>1</v>
      </c>
      <c r="C984" s="34" t="n">
        <f aca="true">-LN(RAND())/$D$2</f>
        <v>0.0883612897568175</v>
      </c>
      <c r="D984" s="46" t="n">
        <f aca="false">D983+C984</f>
        <v>1472.04424470925</v>
      </c>
      <c r="E984" s="47" t="e">
        <f aca="false">MAX($D$3,(1+P983-VLOOKUP(VALUE(D984),$J$18:$Q983,7,TRUE()))*$D$3)</f>
        <v>#N/A</v>
      </c>
      <c r="F984" s="47" t="e">
        <f aca="false">MAX($D$4,(1+Q983-VLOOKUP(VALUE(D984),$M$18:$Q983,5,TRUE()))*$D$4)</f>
        <v>#N/A</v>
      </c>
      <c r="G984" s="48" t="n">
        <v>0.5</v>
      </c>
      <c r="H984" s="46" t="e">
        <f aca="true">IF((B984=1),(IF((F984&lt;E984),1,(IF((F984=E984),(IF(RAND()&lt;G984,1,0)),0)))),(IF((RAND()&lt;G984),1,0)))</f>
        <v>#N/A</v>
      </c>
      <c r="I984" s="46" t="e">
        <f aca="true">IF((H984=1),0,$D$3+$D$5*(RAND()-0.5))</f>
        <v>#N/A</v>
      </c>
      <c r="J984" s="46" t="e">
        <f aca="false">I984+MAX(D984,J983)</f>
        <v>#N/A</v>
      </c>
      <c r="K984" s="46" t="e">
        <f aca="false">IF((H984=0),J984-D984,0)</f>
        <v>#N/A</v>
      </c>
      <c r="L984" s="46" t="e">
        <f aca="true">IF(($H984=0),0,$D$4+$D$5*(RAND()-0.5))</f>
        <v>#N/A</v>
      </c>
      <c r="M984" s="46" t="e">
        <f aca="false">L984+MAX(D984,M983)</f>
        <v>#N/A</v>
      </c>
      <c r="N984" s="46" t="e">
        <f aca="false">IF((H984=1),M984-D984,0)</f>
        <v>#N/A</v>
      </c>
      <c r="O984" s="29" t="n">
        <v>967</v>
      </c>
      <c r="P984" s="49" t="e">
        <f aca="false">IF((Arterial=0),P983+1,P983)</f>
        <v>#N/A</v>
      </c>
      <c r="Q984" s="49" t="e">
        <f aca="false">IF((Arterial=1),Q983+1,Q983)</f>
        <v>#N/A</v>
      </c>
      <c r="R984" s="50" t="n">
        <f aca="false">IF((RESET=1),0,R984+K984)</f>
        <v>0</v>
      </c>
      <c r="S984" s="19" t="n">
        <f aca="false">IF(RESET=1,0,S984+N984)</f>
        <v>0</v>
      </c>
      <c r="T984" s="0" t="n">
        <f aca="false">IF(RESET=1,0,T984+IF(H984=0,1,0))</f>
        <v>0</v>
      </c>
      <c r="U984" s="0" t="n">
        <f aca="false">IF(RESET=1,0,U984+H984)</f>
        <v>0</v>
      </c>
      <c r="V984" s="19" t="n">
        <f aca="false">R984/(T984+0.00001)</f>
        <v>0</v>
      </c>
      <c r="W984" s="19" t="n">
        <f aca="false">S984/(U984+0.0001)</f>
        <v>0</v>
      </c>
      <c r="X984" s="47" t="e">
        <f aca="false">IF(Informed=1,K984,0)</f>
        <v>#N/A</v>
      </c>
      <c r="Y984" s="47" t="n">
        <f aca="false">IF(Informed=0,K984,0)</f>
        <v>0</v>
      </c>
      <c r="Z984" s="47" t="e">
        <f aca="false">IF(Informed=1,N984,0)</f>
        <v>#N/A</v>
      </c>
      <c r="AA984" s="47" t="n">
        <f aca="false">IF(Informed=0,N984,0)</f>
        <v>0</v>
      </c>
      <c r="AB984" s="51" t="e">
        <f aca="false">IF(Arterial=0,IF(Informed=1,1,0),0)</f>
        <v>#N/A</v>
      </c>
      <c r="AC984" s="51" t="e">
        <f aca="false">IF(Arterial=0,IF(Informed=0,1,0),0)</f>
        <v>#N/A</v>
      </c>
      <c r="AD984" s="51" t="e">
        <f aca="false">IF(Arterial=1,IF(Informed=1,1,0),0)</f>
        <v>#N/A</v>
      </c>
      <c r="AE984" s="51" t="e">
        <f aca="false">IF(Arterial=1,IF(Informed=0,1,0),0)</f>
        <v>#N/A</v>
      </c>
      <c r="AF984" s="44" t="e">
        <f aca="false">IF(AB984=1,(X984-G$1030)^2,0)</f>
        <v>#N/A</v>
      </c>
      <c r="AG984" s="44" t="e">
        <f aca="false">IF(AC984=1,(Y984-H$1030)^2,0)</f>
        <v>#N/A</v>
      </c>
      <c r="AH984" s="44" t="e">
        <f aca="false">IF(AD984=1,(Z984-I$1030)^2,0)</f>
        <v>#N/A</v>
      </c>
      <c r="AI984" s="44" t="e">
        <f aca="false">IF(AE984=1,(AA984-J$1030)^2,0)</f>
        <v>#N/A</v>
      </c>
    </row>
    <row r="985" customFormat="false" ht="12" hidden="false" customHeight="false" outlineLevel="0" collapsed="false">
      <c r="A985" s="29" t="n">
        <v>968</v>
      </c>
      <c r="B985" s="45" t="n">
        <f aca="true">IF(RAND()&lt;$D$8,1,0)</f>
        <v>1</v>
      </c>
      <c r="C985" s="34" t="n">
        <f aca="true">-LN(RAND())/$D$2</f>
        <v>1.91737904490422</v>
      </c>
      <c r="D985" s="46" t="n">
        <f aca="false">D984+C985</f>
        <v>1473.96162375416</v>
      </c>
      <c r="E985" s="47" t="e">
        <f aca="false">MAX($D$3,(1+P984-VLOOKUP(VALUE(D985),$J$18:$Q984,7,TRUE()))*$D$3)</f>
        <v>#N/A</v>
      </c>
      <c r="F985" s="47" t="e">
        <f aca="false">MAX($D$4,(1+Q984-VLOOKUP(VALUE(D985),$M$18:$Q984,5,TRUE()))*$D$4)</f>
        <v>#N/A</v>
      </c>
      <c r="G985" s="48" t="n">
        <v>0.5</v>
      </c>
      <c r="H985" s="46" t="e">
        <f aca="true">IF((B985=1),(IF((F985&lt;E985),1,(IF((F985=E985),(IF(RAND()&lt;G985,1,0)),0)))),(IF((RAND()&lt;G985),1,0)))</f>
        <v>#N/A</v>
      </c>
      <c r="I985" s="46" t="e">
        <f aca="true">IF((H985=1),0,$D$3+$D$5*(RAND()-0.5))</f>
        <v>#N/A</v>
      </c>
      <c r="J985" s="46" t="e">
        <f aca="false">I985+MAX(D985,J984)</f>
        <v>#N/A</v>
      </c>
      <c r="K985" s="46" t="e">
        <f aca="false">IF((H985=0),J985-D985,0)</f>
        <v>#N/A</v>
      </c>
      <c r="L985" s="46" t="e">
        <f aca="true">IF(($H985=0),0,$D$4+$D$5*(RAND()-0.5))</f>
        <v>#N/A</v>
      </c>
      <c r="M985" s="46" t="e">
        <f aca="false">L985+MAX(D985,M984)</f>
        <v>#N/A</v>
      </c>
      <c r="N985" s="46" t="e">
        <f aca="false">IF((H985=1),M985-D985,0)</f>
        <v>#N/A</v>
      </c>
      <c r="O985" s="29" t="n">
        <v>968</v>
      </c>
      <c r="P985" s="49" t="e">
        <f aca="false">IF((Arterial=0),P984+1,P984)</f>
        <v>#N/A</v>
      </c>
      <c r="Q985" s="49" t="e">
        <f aca="false">IF((Arterial=1),Q984+1,Q984)</f>
        <v>#N/A</v>
      </c>
      <c r="R985" s="50" t="n">
        <f aca="false">IF((RESET=1),0,R985+K985)</f>
        <v>0</v>
      </c>
      <c r="S985" s="19" t="n">
        <f aca="false">IF(RESET=1,0,S985+N985)</f>
        <v>0</v>
      </c>
      <c r="T985" s="0" t="n">
        <f aca="false">IF(RESET=1,0,T985+IF(H985=0,1,0))</f>
        <v>0</v>
      </c>
      <c r="U985" s="0" t="n">
        <f aca="false">IF(RESET=1,0,U985+H985)</f>
        <v>0</v>
      </c>
      <c r="V985" s="19" t="n">
        <f aca="false">R985/(T985+0.00001)</f>
        <v>0</v>
      </c>
      <c r="W985" s="19" t="n">
        <f aca="false">S985/(U985+0.0001)</f>
        <v>0</v>
      </c>
      <c r="X985" s="47" t="e">
        <f aca="false">IF(Informed=1,K985,0)</f>
        <v>#N/A</v>
      </c>
      <c r="Y985" s="47" t="n">
        <f aca="false">IF(Informed=0,K985,0)</f>
        <v>0</v>
      </c>
      <c r="Z985" s="47" t="e">
        <f aca="false">IF(Informed=1,N985,0)</f>
        <v>#N/A</v>
      </c>
      <c r="AA985" s="47" t="n">
        <f aca="false">IF(Informed=0,N985,0)</f>
        <v>0</v>
      </c>
      <c r="AB985" s="51" t="e">
        <f aca="false">IF(Arterial=0,IF(Informed=1,1,0),0)</f>
        <v>#N/A</v>
      </c>
      <c r="AC985" s="51" t="e">
        <f aca="false">IF(Arterial=0,IF(Informed=0,1,0),0)</f>
        <v>#N/A</v>
      </c>
      <c r="AD985" s="51" t="e">
        <f aca="false">IF(Arterial=1,IF(Informed=1,1,0),0)</f>
        <v>#N/A</v>
      </c>
      <c r="AE985" s="51" t="e">
        <f aca="false">IF(Arterial=1,IF(Informed=0,1,0),0)</f>
        <v>#N/A</v>
      </c>
      <c r="AF985" s="44" t="e">
        <f aca="false">IF(AB985=1,(X985-G$1030)^2,0)</f>
        <v>#N/A</v>
      </c>
      <c r="AG985" s="44" t="e">
        <f aca="false">IF(AC985=1,(Y985-H$1030)^2,0)</f>
        <v>#N/A</v>
      </c>
      <c r="AH985" s="44" t="e">
        <f aca="false">IF(AD985=1,(Z985-I$1030)^2,0)</f>
        <v>#N/A</v>
      </c>
      <c r="AI985" s="44" t="e">
        <f aca="false">IF(AE985=1,(AA985-J$1030)^2,0)</f>
        <v>#N/A</v>
      </c>
    </row>
    <row r="986" customFormat="false" ht="12" hidden="false" customHeight="false" outlineLevel="0" collapsed="false">
      <c r="A986" s="29" t="n">
        <v>969</v>
      </c>
      <c r="B986" s="45" t="n">
        <f aca="true">IF(RAND()&lt;$D$8,1,0)</f>
        <v>1</v>
      </c>
      <c r="C986" s="34" t="n">
        <f aca="true">-LN(RAND())/$D$2</f>
        <v>3.03728017570283</v>
      </c>
      <c r="D986" s="46" t="n">
        <f aca="false">D985+C986</f>
        <v>1476.99890392986</v>
      </c>
      <c r="E986" s="47" t="e">
        <f aca="false">MAX($D$3,(1+P985-VLOOKUP(VALUE(D986),$J$18:$Q985,7,TRUE()))*$D$3)</f>
        <v>#N/A</v>
      </c>
      <c r="F986" s="47" t="e">
        <f aca="false">MAX($D$4,(1+Q985-VLOOKUP(VALUE(D986),$M$18:$Q985,5,TRUE()))*$D$4)</f>
        <v>#N/A</v>
      </c>
      <c r="G986" s="48" t="n">
        <v>0.5</v>
      </c>
      <c r="H986" s="46" t="e">
        <f aca="true">IF((B986=1),(IF((F986&lt;E986),1,(IF((F986=E986),(IF(RAND()&lt;G986,1,0)),0)))),(IF((RAND()&lt;G986),1,0)))</f>
        <v>#N/A</v>
      </c>
      <c r="I986" s="46" t="e">
        <f aca="true">IF((H986=1),0,$D$3+$D$5*(RAND()-0.5))</f>
        <v>#N/A</v>
      </c>
      <c r="J986" s="46" t="e">
        <f aca="false">I986+MAX(D986,J985)</f>
        <v>#N/A</v>
      </c>
      <c r="K986" s="46" t="e">
        <f aca="false">IF((H986=0),J986-D986,0)</f>
        <v>#N/A</v>
      </c>
      <c r="L986" s="46" t="e">
        <f aca="true">IF(($H986=0),0,$D$4+$D$5*(RAND()-0.5))</f>
        <v>#N/A</v>
      </c>
      <c r="M986" s="46" t="e">
        <f aca="false">L986+MAX(D986,M985)</f>
        <v>#N/A</v>
      </c>
      <c r="N986" s="46" t="e">
        <f aca="false">IF((H986=1),M986-D986,0)</f>
        <v>#N/A</v>
      </c>
      <c r="O986" s="29" t="n">
        <v>969</v>
      </c>
      <c r="P986" s="49" t="e">
        <f aca="false">IF((Arterial=0),P985+1,P985)</f>
        <v>#N/A</v>
      </c>
      <c r="Q986" s="49" t="e">
        <f aca="false">IF((Arterial=1),Q985+1,Q985)</f>
        <v>#N/A</v>
      </c>
      <c r="R986" s="50" t="n">
        <f aca="false">IF((RESET=1),0,R986+K986)</f>
        <v>0</v>
      </c>
      <c r="S986" s="19" t="n">
        <f aca="false">IF(RESET=1,0,S986+N986)</f>
        <v>0</v>
      </c>
      <c r="T986" s="0" t="n">
        <f aca="false">IF(RESET=1,0,T986+IF(H986=0,1,0))</f>
        <v>0</v>
      </c>
      <c r="U986" s="0" t="n">
        <f aca="false">IF(RESET=1,0,U986+H986)</f>
        <v>0</v>
      </c>
      <c r="V986" s="19" t="n">
        <f aca="false">R986/(T986+0.00001)</f>
        <v>0</v>
      </c>
      <c r="W986" s="19" t="n">
        <f aca="false">S986/(U986+0.0001)</f>
        <v>0</v>
      </c>
      <c r="X986" s="47" t="e">
        <f aca="false">IF(Informed=1,K986,0)</f>
        <v>#N/A</v>
      </c>
      <c r="Y986" s="47" t="n">
        <f aca="false">IF(Informed=0,K986,0)</f>
        <v>0</v>
      </c>
      <c r="Z986" s="47" t="e">
        <f aca="false">IF(Informed=1,N986,0)</f>
        <v>#N/A</v>
      </c>
      <c r="AA986" s="47" t="n">
        <f aca="false">IF(Informed=0,N986,0)</f>
        <v>0</v>
      </c>
      <c r="AB986" s="51" t="e">
        <f aca="false">IF(Arterial=0,IF(Informed=1,1,0),0)</f>
        <v>#N/A</v>
      </c>
      <c r="AC986" s="51" t="e">
        <f aca="false">IF(Arterial=0,IF(Informed=0,1,0),0)</f>
        <v>#N/A</v>
      </c>
      <c r="AD986" s="51" t="e">
        <f aca="false">IF(Arterial=1,IF(Informed=1,1,0),0)</f>
        <v>#N/A</v>
      </c>
      <c r="AE986" s="51" t="e">
        <f aca="false">IF(Arterial=1,IF(Informed=0,1,0),0)</f>
        <v>#N/A</v>
      </c>
      <c r="AF986" s="44" t="e">
        <f aca="false">IF(AB986=1,(X986-G$1030)^2,0)</f>
        <v>#N/A</v>
      </c>
      <c r="AG986" s="44" t="e">
        <f aca="false">IF(AC986=1,(Y986-H$1030)^2,0)</f>
        <v>#N/A</v>
      </c>
      <c r="AH986" s="44" t="e">
        <f aca="false">IF(AD986=1,(Z986-I$1030)^2,0)</f>
        <v>#N/A</v>
      </c>
      <c r="AI986" s="44" t="e">
        <f aca="false">IF(AE986=1,(AA986-J$1030)^2,0)</f>
        <v>#N/A</v>
      </c>
    </row>
    <row r="987" customFormat="false" ht="12" hidden="false" customHeight="false" outlineLevel="0" collapsed="false">
      <c r="A987" s="29" t="n">
        <v>970</v>
      </c>
      <c r="B987" s="45" t="n">
        <f aca="true">IF(RAND()&lt;$D$8,1,0)</f>
        <v>1</v>
      </c>
      <c r="C987" s="34" t="n">
        <f aca="true">-LN(RAND())/$D$2</f>
        <v>1.54114392655315</v>
      </c>
      <c r="D987" s="46" t="n">
        <f aca="false">D986+C987</f>
        <v>1478.54004785641</v>
      </c>
      <c r="E987" s="47" t="e">
        <f aca="false">MAX($D$3,(1+P986-VLOOKUP(VALUE(D987),$J$18:$Q986,7,TRUE()))*$D$3)</f>
        <v>#N/A</v>
      </c>
      <c r="F987" s="47" t="e">
        <f aca="false">MAX($D$4,(1+Q986-VLOOKUP(VALUE(D987),$M$18:$Q986,5,TRUE()))*$D$4)</f>
        <v>#N/A</v>
      </c>
      <c r="G987" s="48" t="n">
        <v>0.5</v>
      </c>
      <c r="H987" s="46" t="e">
        <f aca="true">IF((B987=1),(IF((F987&lt;E987),1,(IF((F987=E987),(IF(RAND()&lt;G987,1,0)),0)))),(IF((RAND()&lt;G987),1,0)))</f>
        <v>#N/A</v>
      </c>
      <c r="I987" s="46" t="e">
        <f aca="true">IF((H987=1),0,$D$3+$D$5*(RAND()-0.5))</f>
        <v>#N/A</v>
      </c>
      <c r="J987" s="46" t="e">
        <f aca="false">I987+MAX(D987,J986)</f>
        <v>#N/A</v>
      </c>
      <c r="K987" s="46" t="e">
        <f aca="false">IF((H987=0),J987-D987,0)</f>
        <v>#N/A</v>
      </c>
      <c r="L987" s="46" t="e">
        <f aca="true">IF(($H987=0),0,$D$4+$D$5*(RAND()-0.5))</f>
        <v>#N/A</v>
      </c>
      <c r="M987" s="46" t="e">
        <f aca="false">L987+MAX(D987,M986)</f>
        <v>#N/A</v>
      </c>
      <c r="N987" s="46" t="e">
        <f aca="false">IF((H987=1),M987-D987,0)</f>
        <v>#N/A</v>
      </c>
      <c r="O987" s="29" t="n">
        <v>970</v>
      </c>
      <c r="P987" s="49" t="e">
        <f aca="false">IF((Arterial=0),P986+1,P986)</f>
        <v>#N/A</v>
      </c>
      <c r="Q987" s="49" t="e">
        <f aca="false">IF((Arterial=1),Q986+1,Q986)</f>
        <v>#N/A</v>
      </c>
      <c r="R987" s="50" t="n">
        <f aca="false">IF((RESET=1),0,R987+K987)</f>
        <v>0</v>
      </c>
      <c r="S987" s="19" t="n">
        <f aca="false">IF(RESET=1,0,S987+N987)</f>
        <v>0</v>
      </c>
      <c r="T987" s="0" t="n">
        <f aca="false">IF(RESET=1,0,T987+IF(H987=0,1,0))</f>
        <v>0</v>
      </c>
      <c r="U987" s="0" t="n">
        <f aca="false">IF(RESET=1,0,U987+H987)</f>
        <v>0</v>
      </c>
      <c r="V987" s="19" t="n">
        <f aca="false">R987/(T987+0.00001)</f>
        <v>0</v>
      </c>
      <c r="W987" s="19" t="n">
        <f aca="false">S987/(U987+0.0001)</f>
        <v>0</v>
      </c>
      <c r="X987" s="47" t="e">
        <f aca="false">IF(Informed=1,K987,0)</f>
        <v>#N/A</v>
      </c>
      <c r="Y987" s="47" t="n">
        <f aca="false">IF(Informed=0,K987,0)</f>
        <v>0</v>
      </c>
      <c r="Z987" s="47" t="e">
        <f aca="false">IF(Informed=1,N987,0)</f>
        <v>#N/A</v>
      </c>
      <c r="AA987" s="47" t="n">
        <f aca="false">IF(Informed=0,N987,0)</f>
        <v>0</v>
      </c>
      <c r="AB987" s="51" t="e">
        <f aca="false">IF(Arterial=0,IF(Informed=1,1,0),0)</f>
        <v>#N/A</v>
      </c>
      <c r="AC987" s="51" t="e">
        <f aca="false">IF(Arterial=0,IF(Informed=0,1,0),0)</f>
        <v>#N/A</v>
      </c>
      <c r="AD987" s="51" t="e">
        <f aca="false">IF(Arterial=1,IF(Informed=1,1,0),0)</f>
        <v>#N/A</v>
      </c>
      <c r="AE987" s="51" t="e">
        <f aca="false">IF(Arterial=1,IF(Informed=0,1,0),0)</f>
        <v>#N/A</v>
      </c>
      <c r="AF987" s="44" t="e">
        <f aca="false">IF(AB987=1,(X987-G$1030)^2,0)</f>
        <v>#N/A</v>
      </c>
      <c r="AG987" s="44" t="e">
        <f aca="false">IF(AC987=1,(Y987-H$1030)^2,0)</f>
        <v>#N/A</v>
      </c>
      <c r="AH987" s="44" t="e">
        <f aca="false">IF(AD987=1,(Z987-I$1030)^2,0)</f>
        <v>#N/A</v>
      </c>
      <c r="AI987" s="44" t="e">
        <f aca="false">IF(AE987=1,(AA987-J$1030)^2,0)</f>
        <v>#N/A</v>
      </c>
    </row>
    <row r="988" customFormat="false" ht="12" hidden="false" customHeight="false" outlineLevel="0" collapsed="false">
      <c r="A988" s="29" t="n">
        <v>971</v>
      </c>
      <c r="B988" s="45" t="n">
        <f aca="true">IF(RAND()&lt;$D$8,1,0)</f>
        <v>1</v>
      </c>
      <c r="C988" s="34" t="n">
        <f aca="true">-LN(RAND())/$D$2</f>
        <v>0.437142876136961</v>
      </c>
      <c r="D988" s="46" t="n">
        <f aca="false">D987+C988</f>
        <v>1478.97719073255</v>
      </c>
      <c r="E988" s="47" t="e">
        <f aca="false">MAX($D$3,(1+P987-VLOOKUP(VALUE(D988),$J$18:$Q987,7,TRUE()))*$D$3)</f>
        <v>#N/A</v>
      </c>
      <c r="F988" s="47" t="e">
        <f aca="false">MAX($D$4,(1+Q987-VLOOKUP(VALUE(D988),$M$18:$Q987,5,TRUE()))*$D$4)</f>
        <v>#N/A</v>
      </c>
      <c r="G988" s="48" t="n">
        <v>0.5</v>
      </c>
      <c r="H988" s="46" t="e">
        <f aca="true">IF((B988=1),(IF((F988&lt;E988),1,(IF((F988=E988),(IF(RAND()&lt;G988,1,0)),0)))),(IF((RAND()&lt;G988),1,0)))</f>
        <v>#N/A</v>
      </c>
      <c r="I988" s="46" t="e">
        <f aca="true">IF((H988=1),0,$D$3+$D$5*(RAND()-0.5))</f>
        <v>#N/A</v>
      </c>
      <c r="J988" s="46" t="e">
        <f aca="false">I988+MAX(D988,J987)</f>
        <v>#N/A</v>
      </c>
      <c r="K988" s="46" t="e">
        <f aca="false">IF((H988=0),J988-D988,0)</f>
        <v>#N/A</v>
      </c>
      <c r="L988" s="46" t="e">
        <f aca="true">IF(($H988=0),0,$D$4+$D$5*(RAND()-0.5))</f>
        <v>#N/A</v>
      </c>
      <c r="M988" s="46" t="e">
        <f aca="false">L988+MAX(D988,M987)</f>
        <v>#N/A</v>
      </c>
      <c r="N988" s="46" t="e">
        <f aca="false">IF((H988=1),M988-D988,0)</f>
        <v>#N/A</v>
      </c>
      <c r="O988" s="29" t="n">
        <v>971</v>
      </c>
      <c r="P988" s="49" t="e">
        <f aca="false">IF((Arterial=0),P987+1,P987)</f>
        <v>#N/A</v>
      </c>
      <c r="Q988" s="49" t="e">
        <f aca="false">IF((Arterial=1),Q987+1,Q987)</f>
        <v>#N/A</v>
      </c>
      <c r="R988" s="50" t="n">
        <f aca="false">IF((RESET=1),0,R988+K988)</f>
        <v>0</v>
      </c>
      <c r="S988" s="19" t="n">
        <f aca="false">IF(RESET=1,0,S988+N988)</f>
        <v>0</v>
      </c>
      <c r="T988" s="0" t="n">
        <f aca="false">IF(RESET=1,0,T988+IF(H988=0,1,0))</f>
        <v>0</v>
      </c>
      <c r="U988" s="0" t="n">
        <f aca="false">IF(RESET=1,0,U988+H988)</f>
        <v>0</v>
      </c>
      <c r="V988" s="19" t="n">
        <f aca="false">R988/(T988+0.00001)</f>
        <v>0</v>
      </c>
      <c r="W988" s="19" t="n">
        <f aca="false">S988/(U988+0.0001)</f>
        <v>0</v>
      </c>
      <c r="X988" s="47" t="e">
        <f aca="false">IF(Informed=1,K988,0)</f>
        <v>#N/A</v>
      </c>
      <c r="Y988" s="47" t="n">
        <f aca="false">IF(Informed=0,K988,0)</f>
        <v>0</v>
      </c>
      <c r="Z988" s="47" t="e">
        <f aca="false">IF(Informed=1,N988,0)</f>
        <v>#N/A</v>
      </c>
      <c r="AA988" s="47" t="n">
        <f aca="false">IF(Informed=0,N988,0)</f>
        <v>0</v>
      </c>
      <c r="AB988" s="51" t="e">
        <f aca="false">IF(Arterial=0,IF(Informed=1,1,0),0)</f>
        <v>#N/A</v>
      </c>
      <c r="AC988" s="51" t="e">
        <f aca="false">IF(Arterial=0,IF(Informed=0,1,0),0)</f>
        <v>#N/A</v>
      </c>
      <c r="AD988" s="51" t="e">
        <f aca="false">IF(Arterial=1,IF(Informed=1,1,0),0)</f>
        <v>#N/A</v>
      </c>
      <c r="AE988" s="51" t="e">
        <f aca="false">IF(Arterial=1,IF(Informed=0,1,0),0)</f>
        <v>#N/A</v>
      </c>
      <c r="AF988" s="44" t="e">
        <f aca="false">IF(AB988=1,(X988-G$1030)^2,0)</f>
        <v>#N/A</v>
      </c>
      <c r="AG988" s="44" t="e">
        <f aca="false">IF(AC988=1,(Y988-H$1030)^2,0)</f>
        <v>#N/A</v>
      </c>
      <c r="AH988" s="44" t="e">
        <f aca="false">IF(AD988=1,(Z988-I$1030)^2,0)</f>
        <v>#N/A</v>
      </c>
      <c r="AI988" s="44" t="e">
        <f aca="false">IF(AE988=1,(AA988-J$1030)^2,0)</f>
        <v>#N/A</v>
      </c>
    </row>
    <row r="989" customFormat="false" ht="12" hidden="false" customHeight="false" outlineLevel="0" collapsed="false">
      <c r="A989" s="29" t="n">
        <v>972</v>
      </c>
      <c r="B989" s="45" t="n">
        <f aca="true">IF(RAND()&lt;$D$8,1,0)</f>
        <v>1</v>
      </c>
      <c r="C989" s="34" t="n">
        <f aca="true">-LN(RAND())/$D$2</f>
        <v>0.12794230482168</v>
      </c>
      <c r="D989" s="46" t="n">
        <f aca="false">D988+C989</f>
        <v>1479.10513303737</v>
      </c>
      <c r="E989" s="47" t="e">
        <f aca="false">MAX($D$3,(1+P988-VLOOKUP(VALUE(D989),$J$18:$Q988,7,TRUE()))*$D$3)</f>
        <v>#N/A</v>
      </c>
      <c r="F989" s="47" t="e">
        <f aca="false">MAX($D$4,(1+Q988-VLOOKUP(VALUE(D989),$M$18:$Q988,5,TRUE()))*$D$4)</f>
        <v>#N/A</v>
      </c>
      <c r="G989" s="48" t="n">
        <v>0.5</v>
      </c>
      <c r="H989" s="46" t="e">
        <f aca="true">IF((B989=1),(IF((F989&lt;E989),1,(IF((F989=E989),(IF(RAND()&lt;G989,1,0)),0)))),(IF((RAND()&lt;G989),1,0)))</f>
        <v>#N/A</v>
      </c>
      <c r="I989" s="46" t="e">
        <f aca="true">IF((H989=1),0,$D$3+$D$5*(RAND()-0.5))</f>
        <v>#N/A</v>
      </c>
      <c r="J989" s="46" t="e">
        <f aca="false">I989+MAX(D989,J988)</f>
        <v>#N/A</v>
      </c>
      <c r="K989" s="46" t="e">
        <f aca="false">IF((H989=0),J989-D989,0)</f>
        <v>#N/A</v>
      </c>
      <c r="L989" s="46" t="e">
        <f aca="true">IF(($H989=0),0,$D$4+$D$5*(RAND()-0.5))</f>
        <v>#N/A</v>
      </c>
      <c r="M989" s="46" t="e">
        <f aca="false">L989+MAX(D989,M988)</f>
        <v>#N/A</v>
      </c>
      <c r="N989" s="46" t="e">
        <f aca="false">IF((H989=1),M989-D989,0)</f>
        <v>#N/A</v>
      </c>
      <c r="O989" s="29" t="n">
        <v>972</v>
      </c>
      <c r="P989" s="49" t="e">
        <f aca="false">IF((Arterial=0),P988+1,P988)</f>
        <v>#N/A</v>
      </c>
      <c r="Q989" s="49" t="e">
        <f aca="false">IF((Arterial=1),Q988+1,Q988)</f>
        <v>#N/A</v>
      </c>
      <c r="R989" s="50" t="n">
        <f aca="false">IF((RESET=1),0,R989+K989)</f>
        <v>0</v>
      </c>
      <c r="S989" s="19" t="n">
        <f aca="false">IF(RESET=1,0,S989+N989)</f>
        <v>0</v>
      </c>
      <c r="T989" s="0" t="n">
        <f aca="false">IF(RESET=1,0,T989+IF(H989=0,1,0))</f>
        <v>0</v>
      </c>
      <c r="U989" s="0" t="n">
        <f aca="false">IF(RESET=1,0,U989+H989)</f>
        <v>0</v>
      </c>
      <c r="V989" s="19" t="n">
        <f aca="false">R989/(T989+0.00001)</f>
        <v>0</v>
      </c>
      <c r="W989" s="19" t="n">
        <f aca="false">S989/(U989+0.0001)</f>
        <v>0</v>
      </c>
      <c r="X989" s="47" t="e">
        <f aca="false">IF(Informed=1,K989,0)</f>
        <v>#N/A</v>
      </c>
      <c r="Y989" s="47" t="n">
        <f aca="false">IF(Informed=0,K989,0)</f>
        <v>0</v>
      </c>
      <c r="Z989" s="47" t="e">
        <f aca="false">IF(Informed=1,N989,0)</f>
        <v>#N/A</v>
      </c>
      <c r="AA989" s="47" t="n">
        <f aca="false">IF(Informed=0,N989,0)</f>
        <v>0</v>
      </c>
      <c r="AB989" s="51" t="e">
        <f aca="false">IF(Arterial=0,IF(Informed=1,1,0),0)</f>
        <v>#N/A</v>
      </c>
      <c r="AC989" s="51" t="e">
        <f aca="false">IF(Arterial=0,IF(Informed=0,1,0),0)</f>
        <v>#N/A</v>
      </c>
      <c r="AD989" s="51" t="e">
        <f aca="false">IF(Arterial=1,IF(Informed=1,1,0),0)</f>
        <v>#N/A</v>
      </c>
      <c r="AE989" s="51" t="e">
        <f aca="false">IF(Arterial=1,IF(Informed=0,1,0),0)</f>
        <v>#N/A</v>
      </c>
      <c r="AF989" s="44" t="e">
        <f aca="false">IF(AB989=1,(X989-G$1030)^2,0)</f>
        <v>#N/A</v>
      </c>
      <c r="AG989" s="44" t="e">
        <f aca="false">IF(AC989=1,(Y989-H$1030)^2,0)</f>
        <v>#N/A</v>
      </c>
      <c r="AH989" s="44" t="e">
        <f aca="false">IF(AD989=1,(Z989-I$1030)^2,0)</f>
        <v>#N/A</v>
      </c>
      <c r="AI989" s="44" t="e">
        <f aca="false">IF(AE989=1,(AA989-J$1030)^2,0)</f>
        <v>#N/A</v>
      </c>
    </row>
    <row r="990" customFormat="false" ht="12" hidden="false" customHeight="false" outlineLevel="0" collapsed="false">
      <c r="A990" s="29" t="n">
        <v>973</v>
      </c>
      <c r="B990" s="45" t="n">
        <f aca="true">IF(RAND()&lt;$D$8,1,0)</f>
        <v>1</v>
      </c>
      <c r="C990" s="34" t="n">
        <f aca="true">-LN(RAND())/$D$2</f>
        <v>2.71100034715846</v>
      </c>
      <c r="D990" s="46" t="n">
        <f aca="false">D989+C990</f>
        <v>1481.81613338453</v>
      </c>
      <c r="E990" s="47" t="e">
        <f aca="false">MAX($D$3,(1+P989-VLOOKUP(VALUE(D990),$J$18:$Q989,7,TRUE()))*$D$3)</f>
        <v>#N/A</v>
      </c>
      <c r="F990" s="47" t="e">
        <f aca="false">MAX($D$4,(1+Q989-VLOOKUP(VALUE(D990),$M$18:$Q989,5,TRUE()))*$D$4)</f>
        <v>#N/A</v>
      </c>
      <c r="G990" s="48" t="n">
        <v>0.5</v>
      </c>
      <c r="H990" s="46" t="e">
        <f aca="true">IF((B990=1),(IF((F990&lt;E990),1,(IF((F990=E990),(IF(RAND()&lt;G990,1,0)),0)))),(IF((RAND()&lt;G990),1,0)))</f>
        <v>#N/A</v>
      </c>
      <c r="I990" s="46" t="e">
        <f aca="true">IF((H990=1),0,$D$3+$D$5*(RAND()-0.5))</f>
        <v>#N/A</v>
      </c>
      <c r="J990" s="46" t="e">
        <f aca="false">I990+MAX(D990,J989)</f>
        <v>#N/A</v>
      </c>
      <c r="K990" s="46" t="e">
        <f aca="false">IF((H990=0),J990-D990,0)</f>
        <v>#N/A</v>
      </c>
      <c r="L990" s="46" t="e">
        <f aca="true">IF(($H990=0),0,$D$4+$D$5*(RAND()-0.5))</f>
        <v>#N/A</v>
      </c>
      <c r="M990" s="46" t="e">
        <f aca="false">L990+MAX(D990,M989)</f>
        <v>#N/A</v>
      </c>
      <c r="N990" s="46" t="e">
        <f aca="false">IF((H990=1),M990-D990,0)</f>
        <v>#N/A</v>
      </c>
      <c r="O990" s="29" t="n">
        <v>973</v>
      </c>
      <c r="P990" s="49" t="e">
        <f aca="false">IF((Arterial=0),P989+1,P989)</f>
        <v>#N/A</v>
      </c>
      <c r="Q990" s="49" t="e">
        <f aca="false">IF((Arterial=1),Q989+1,Q989)</f>
        <v>#N/A</v>
      </c>
      <c r="R990" s="50" t="n">
        <f aca="false">IF((RESET=1),0,R990+K990)</f>
        <v>0</v>
      </c>
      <c r="S990" s="19" t="n">
        <f aca="false">IF(RESET=1,0,S990+N990)</f>
        <v>0</v>
      </c>
      <c r="T990" s="0" t="n">
        <f aca="false">IF(RESET=1,0,T990+IF(H990=0,1,0))</f>
        <v>0</v>
      </c>
      <c r="U990" s="0" t="n">
        <f aca="false">IF(RESET=1,0,U990+H990)</f>
        <v>0</v>
      </c>
      <c r="V990" s="19" t="n">
        <f aca="false">R990/(T990+0.00001)</f>
        <v>0</v>
      </c>
      <c r="W990" s="19" t="n">
        <f aca="false">S990/(U990+0.0001)</f>
        <v>0</v>
      </c>
      <c r="X990" s="47" t="e">
        <f aca="false">IF(Informed=1,K990,0)</f>
        <v>#N/A</v>
      </c>
      <c r="Y990" s="47" t="n">
        <f aca="false">IF(Informed=0,K990,0)</f>
        <v>0</v>
      </c>
      <c r="Z990" s="47" t="e">
        <f aca="false">IF(Informed=1,N990,0)</f>
        <v>#N/A</v>
      </c>
      <c r="AA990" s="47" t="n">
        <f aca="false">IF(Informed=0,N990,0)</f>
        <v>0</v>
      </c>
      <c r="AB990" s="51" t="e">
        <f aca="false">IF(Arterial=0,IF(Informed=1,1,0),0)</f>
        <v>#N/A</v>
      </c>
      <c r="AC990" s="51" t="e">
        <f aca="false">IF(Arterial=0,IF(Informed=0,1,0),0)</f>
        <v>#N/A</v>
      </c>
      <c r="AD990" s="51" t="e">
        <f aca="false">IF(Arterial=1,IF(Informed=1,1,0),0)</f>
        <v>#N/A</v>
      </c>
      <c r="AE990" s="51" t="e">
        <f aca="false">IF(Arterial=1,IF(Informed=0,1,0),0)</f>
        <v>#N/A</v>
      </c>
      <c r="AF990" s="44" t="e">
        <f aca="false">IF(AB990=1,(X990-G$1030)^2,0)</f>
        <v>#N/A</v>
      </c>
      <c r="AG990" s="44" t="e">
        <f aca="false">IF(AC990=1,(Y990-H$1030)^2,0)</f>
        <v>#N/A</v>
      </c>
      <c r="AH990" s="44" t="e">
        <f aca="false">IF(AD990=1,(Z990-I$1030)^2,0)</f>
        <v>#N/A</v>
      </c>
      <c r="AI990" s="44" t="e">
        <f aca="false">IF(AE990=1,(AA990-J$1030)^2,0)</f>
        <v>#N/A</v>
      </c>
    </row>
    <row r="991" customFormat="false" ht="12" hidden="false" customHeight="false" outlineLevel="0" collapsed="false">
      <c r="A991" s="29" t="n">
        <v>974</v>
      </c>
      <c r="B991" s="45" t="n">
        <f aca="true">IF(RAND()&lt;$D$8,1,0)</f>
        <v>1</v>
      </c>
      <c r="C991" s="34" t="n">
        <f aca="true">-LN(RAND())/$D$2</f>
        <v>0.688797658197741</v>
      </c>
      <c r="D991" s="46" t="n">
        <f aca="false">D990+C991</f>
        <v>1482.50493104273</v>
      </c>
      <c r="E991" s="47" t="e">
        <f aca="false">MAX($D$3,(1+P990-VLOOKUP(VALUE(D991),$J$18:$Q990,7,TRUE()))*$D$3)</f>
        <v>#N/A</v>
      </c>
      <c r="F991" s="47" t="e">
        <f aca="false">MAX($D$4,(1+Q990-VLOOKUP(VALUE(D991),$M$18:$Q990,5,TRUE()))*$D$4)</f>
        <v>#N/A</v>
      </c>
      <c r="G991" s="48" t="n">
        <v>0.5</v>
      </c>
      <c r="H991" s="46" t="e">
        <f aca="true">IF((B991=1),(IF((F991&lt;E991),1,(IF((F991=E991),(IF(RAND()&lt;G991,1,0)),0)))),(IF((RAND()&lt;G991),1,0)))</f>
        <v>#N/A</v>
      </c>
      <c r="I991" s="46" t="e">
        <f aca="true">IF((H991=1),0,$D$3+$D$5*(RAND()-0.5))</f>
        <v>#N/A</v>
      </c>
      <c r="J991" s="46" t="e">
        <f aca="false">I991+MAX(D991,J990)</f>
        <v>#N/A</v>
      </c>
      <c r="K991" s="46" t="e">
        <f aca="false">IF((H991=0),J991-D991,0)</f>
        <v>#N/A</v>
      </c>
      <c r="L991" s="46" t="e">
        <f aca="true">IF(($H991=0),0,$D$4+$D$5*(RAND()-0.5))</f>
        <v>#N/A</v>
      </c>
      <c r="M991" s="46" t="e">
        <f aca="false">L991+MAX(D991,M990)</f>
        <v>#N/A</v>
      </c>
      <c r="N991" s="46" t="e">
        <f aca="false">IF((H991=1),M991-D991,0)</f>
        <v>#N/A</v>
      </c>
      <c r="O991" s="29" t="n">
        <v>974</v>
      </c>
      <c r="P991" s="49" t="e">
        <f aca="false">IF((Arterial=0),P990+1,P990)</f>
        <v>#N/A</v>
      </c>
      <c r="Q991" s="49" t="e">
        <f aca="false">IF((Arterial=1),Q990+1,Q990)</f>
        <v>#N/A</v>
      </c>
      <c r="R991" s="50" t="n">
        <f aca="false">IF((RESET=1),0,R991+K991)</f>
        <v>0</v>
      </c>
      <c r="S991" s="19" t="n">
        <f aca="false">IF(RESET=1,0,S991+N991)</f>
        <v>0</v>
      </c>
      <c r="T991" s="0" t="n">
        <f aca="false">IF(RESET=1,0,T991+IF(H991=0,1,0))</f>
        <v>0</v>
      </c>
      <c r="U991" s="0" t="n">
        <f aca="false">IF(RESET=1,0,U991+H991)</f>
        <v>0</v>
      </c>
      <c r="V991" s="19" t="n">
        <f aca="false">R991/(T991+0.00001)</f>
        <v>0</v>
      </c>
      <c r="W991" s="19" t="n">
        <f aca="false">S991/(U991+0.0001)</f>
        <v>0</v>
      </c>
      <c r="X991" s="47" t="e">
        <f aca="false">IF(Informed=1,K991,0)</f>
        <v>#N/A</v>
      </c>
      <c r="Y991" s="47" t="n">
        <f aca="false">IF(Informed=0,K991,0)</f>
        <v>0</v>
      </c>
      <c r="Z991" s="47" t="e">
        <f aca="false">IF(Informed=1,N991,0)</f>
        <v>#N/A</v>
      </c>
      <c r="AA991" s="47" t="n">
        <f aca="false">IF(Informed=0,N991,0)</f>
        <v>0</v>
      </c>
      <c r="AB991" s="51" t="e">
        <f aca="false">IF(Arterial=0,IF(Informed=1,1,0),0)</f>
        <v>#N/A</v>
      </c>
      <c r="AC991" s="51" t="e">
        <f aca="false">IF(Arterial=0,IF(Informed=0,1,0),0)</f>
        <v>#N/A</v>
      </c>
      <c r="AD991" s="51" t="e">
        <f aca="false">IF(Arterial=1,IF(Informed=1,1,0),0)</f>
        <v>#N/A</v>
      </c>
      <c r="AE991" s="51" t="e">
        <f aca="false">IF(Arterial=1,IF(Informed=0,1,0),0)</f>
        <v>#N/A</v>
      </c>
      <c r="AF991" s="44" t="e">
        <f aca="false">IF(AB991=1,(X991-G$1030)^2,0)</f>
        <v>#N/A</v>
      </c>
      <c r="AG991" s="44" t="e">
        <f aca="false">IF(AC991=1,(Y991-H$1030)^2,0)</f>
        <v>#N/A</v>
      </c>
      <c r="AH991" s="44" t="e">
        <f aca="false">IF(AD991=1,(Z991-I$1030)^2,0)</f>
        <v>#N/A</v>
      </c>
      <c r="AI991" s="44" t="e">
        <f aca="false">IF(AE991=1,(AA991-J$1030)^2,0)</f>
        <v>#N/A</v>
      </c>
    </row>
    <row r="992" customFormat="false" ht="12" hidden="false" customHeight="false" outlineLevel="0" collapsed="false">
      <c r="A992" s="29" t="n">
        <v>975</v>
      </c>
      <c r="B992" s="45" t="n">
        <f aca="true">IF(RAND()&lt;$D$8,1,0)</f>
        <v>1</v>
      </c>
      <c r="C992" s="34" t="n">
        <f aca="true">-LN(RAND())/$D$2</f>
        <v>0.636963898783949</v>
      </c>
      <c r="D992" s="46" t="n">
        <f aca="false">D991+C992</f>
        <v>1483.14189494151</v>
      </c>
      <c r="E992" s="47" t="e">
        <f aca="false">MAX($D$3,(1+P991-VLOOKUP(VALUE(D992),$J$18:$Q991,7,TRUE()))*$D$3)</f>
        <v>#N/A</v>
      </c>
      <c r="F992" s="47" t="e">
        <f aca="false">MAX($D$4,(1+Q991-VLOOKUP(VALUE(D992),$M$18:$Q991,5,TRUE()))*$D$4)</f>
        <v>#N/A</v>
      </c>
      <c r="G992" s="48" t="n">
        <v>0.5</v>
      </c>
      <c r="H992" s="46" t="e">
        <f aca="true">IF((B992=1),(IF((F992&lt;E992),1,(IF((F992=E992),(IF(RAND()&lt;G992,1,0)),0)))),(IF((RAND()&lt;G992),1,0)))</f>
        <v>#N/A</v>
      </c>
      <c r="I992" s="46" t="e">
        <f aca="true">IF((H992=1),0,$D$3+$D$5*(RAND()-0.5))</f>
        <v>#N/A</v>
      </c>
      <c r="J992" s="46" t="e">
        <f aca="false">I992+MAX(D992,J991)</f>
        <v>#N/A</v>
      </c>
      <c r="K992" s="46" t="e">
        <f aca="false">IF((H992=0),J992-D992,0)</f>
        <v>#N/A</v>
      </c>
      <c r="L992" s="46" t="e">
        <f aca="true">IF(($H992=0),0,$D$4+$D$5*(RAND()-0.5))</f>
        <v>#N/A</v>
      </c>
      <c r="M992" s="46" t="e">
        <f aca="false">L992+MAX(D992,M991)</f>
        <v>#N/A</v>
      </c>
      <c r="N992" s="46" t="e">
        <f aca="false">IF((H992=1),M992-D992,0)</f>
        <v>#N/A</v>
      </c>
      <c r="O992" s="29" t="n">
        <v>975</v>
      </c>
      <c r="P992" s="49" t="e">
        <f aca="false">IF((Arterial=0),P991+1,P991)</f>
        <v>#N/A</v>
      </c>
      <c r="Q992" s="49" t="e">
        <f aca="false">IF((Arterial=1),Q991+1,Q991)</f>
        <v>#N/A</v>
      </c>
      <c r="R992" s="50" t="n">
        <f aca="false">IF((RESET=1),0,R992+K992)</f>
        <v>0</v>
      </c>
      <c r="S992" s="19" t="n">
        <f aca="false">IF(RESET=1,0,S992+N992)</f>
        <v>0</v>
      </c>
      <c r="T992" s="0" t="n">
        <f aca="false">IF(RESET=1,0,T992+IF(H992=0,1,0))</f>
        <v>0</v>
      </c>
      <c r="U992" s="0" t="n">
        <f aca="false">IF(RESET=1,0,U992+H992)</f>
        <v>0</v>
      </c>
      <c r="V992" s="19" t="n">
        <f aca="false">R992/(T992+0.00001)</f>
        <v>0</v>
      </c>
      <c r="W992" s="19" t="n">
        <f aca="false">S992/(U992+0.0001)</f>
        <v>0</v>
      </c>
      <c r="X992" s="47" t="e">
        <f aca="false">IF(Informed=1,K992,0)</f>
        <v>#N/A</v>
      </c>
      <c r="Y992" s="47" t="n">
        <f aca="false">IF(Informed=0,K992,0)</f>
        <v>0</v>
      </c>
      <c r="Z992" s="47" t="e">
        <f aca="false">IF(Informed=1,N992,0)</f>
        <v>#N/A</v>
      </c>
      <c r="AA992" s="47" t="n">
        <f aca="false">IF(Informed=0,N992,0)</f>
        <v>0</v>
      </c>
      <c r="AB992" s="51" t="e">
        <f aca="false">IF(Arterial=0,IF(Informed=1,1,0),0)</f>
        <v>#N/A</v>
      </c>
      <c r="AC992" s="51" t="e">
        <f aca="false">IF(Arterial=0,IF(Informed=0,1,0),0)</f>
        <v>#N/A</v>
      </c>
      <c r="AD992" s="51" t="e">
        <f aca="false">IF(Arterial=1,IF(Informed=1,1,0),0)</f>
        <v>#N/A</v>
      </c>
      <c r="AE992" s="51" t="e">
        <f aca="false">IF(Arterial=1,IF(Informed=0,1,0),0)</f>
        <v>#N/A</v>
      </c>
      <c r="AF992" s="44" t="e">
        <f aca="false">IF(AB992=1,(X992-G$1030)^2,0)</f>
        <v>#N/A</v>
      </c>
      <c r="AG992" s="44" t="e">
        <f aca="false">IF(AC992=1,(Y992-H$1030)^2,0)</f>
        <v>#N/A</v>
      </c>
      <c r="AH992" s="44" t="e">
        <f aca="false">IF(AD992=1,(Z992-I$1030)^2,0)</f>
        <v>#N/A</v>
      </c>
      <c r="AI992" s="44" t="e">
        <f aca="false">IF(AE992=1,(AA992-J$1030)^2,0)</f>
        <v>#N/A</v>
      </c>
    </row>
    <row r="993" customFormat="false" ht="12" hidden="false" customHeight="false" outlineLevel="0" collapsed="false">
      <c r="A993" s="29" t="n">
        <v>976</v>
      </c>
      <c r="B993" s="45" t="n">
        <f aca="true">IF(RAND()&lt;$D$8,1,0)</f>
        <v>1</v>
      </c>
      <c r="C993" s="34" t="n">
        <f aca="true">-LN(RAND())/$D$2</f>
        <v>0.994606778048145</v>
      </c>
      <c r="D993" s="46" t="n">
        <f aca="false">D992+C993</f>
        <v>1484.13650171956</v>
      </c>
      <c r="E993" s="47" t="e">
        <f aca="false">MAX($D$3,(1+P992-VLOOKUP(VALUE(D993),$J$18:$Q992,7,TRUE()))*$D$3)</f>
        <v>#N/A</v>
      </c>
      <c r="F993" s="47" t="e">
        <f aca="false">MAX($D$4,(1+Q992-VLOOKUP(VALUE(D993),$M$18:$Q992,5,TRUE()))*$D$4)</f>
        <v>#N/A</v>
      </c>
      <c r="G993" s="48" t="n">
        <v>0.5</v>
      </c>
      <c r="H993" s="46" t="e">
        <f aca="true">IF((B993=1),(IF((F993&lt;E993),1,(IF((F993=E993),(IF(RAND()&lt;G993,1,0)),0)))),(IF((RAND()&lt;G993),1,0)))</f>
        <v>#N/A</v>
      </c>
      <c r="I993" s="46" t="e">
        <f aca="true">IF((H993=1),0,$D$3+$D$5*(RAND()-0.5))</f>
        <v>#N/A</v>
      </c>
      <c r="J993" s="46" t="e">
        <f aca="false">I993+MAX(D993,J992)</f>
        <v>#N/A</v>
      </c>
      <c r="K993" s="46" t="e">
        <f aca="false">IF((H993=0),J993-D993,0)</f>
        <v>#N/A</v>
      </c>
      <c r="L993" s="46" t="e">
        <f aca="true">IF(($H993=0),0,$D$4+$D$5*(RAND()-0.5))</f>
        <v>#N/A</v>
      </c>
      <c r="M993" s="46" t="e">
        <f aca="false">L993+MAX(D993,M992)</f>
        <v>#N/A</v>
      </c>
      <c r="N993" s="46" t="e">
        <f aca="false">IF((H993=1),M993-D993,0)</f>
        <v>#N/A</v>
      </c>
      <c r="O993" s="29" t="n">
        <v>976</v>
      </c>
      <c r="P993" s="49" t="e">
        <f aca="false">IF((Arterial=0),P992+1,P992)</f>
        <v>#N/A</v>
      </c>
      <c r="Q993" s="49" t="e">
        <f aca="false">IF((Arterial=1),Q992+1,Q992)</f>
        <v>#N/A</v>
      </c>
      <c r="R993" s="50" t="n">
        <f aca="false">IF((RESET=1),0,R993+K993)</f>
        <v>0</v>
      </c>
      <c r="S993" s="19" t="n">
        <f aca="false">IF(RESET=1,0,S993+N993)</f>
        <v>0</v>
      </c>
      <c r="T993" s="0" t="n">
        <f aca="false">IF(RESET=1,0,T993+IF(H993=0,1,0))</f>
        <v>0</v>
      </c>
      <c r="U993" s="0" t="n">
        <f aca="false">IF(RESET=1,0,U993+H993)</f>
        <v>0</v>
      </c>
      <c r="V993" s="19" t="n">
        <f aca="false">R993/(T993+0.00001)</f>
        <v>0</v>
      </c>
      <c r="W993" s="19" t="n">
        <f aca="false">S993/(U993+0.0001)</f>
        <v>0</v>
      </c>
      <c r="X993" s="47" t="e">
        <f aca="false">IF(Informed=1,K993,0)</f>
        <v>#N/A</v>
      </c>
      <c r="Y993" s="47" t="n">
        <f aca="false">IF(Informed=0,K993,0)</f>
        <v>0</v>
      </c>
      <c r="Z993" s="47" t="e">
        <f aca="false">IF(Informed=1,N993,0)</f>
        <v>#N/A</v>
      </c>
      <c r="AA993" s="47" t="n">
        <f aca="false">IF(Informed=0,N993,0)</f>
        <v>0</v>
      </c>
      <c r="AB993" s="51" t="e">
        <f aca="false">IF(Arterial=0,IF(Informed=1,1,0),0)</f>
        <v>#N/A</v>
      </c>
      <c r="AC993" s="51" t="e">
        <f aca="false">IF(Arterial=0,IF(Informed=0,1,0),0)</f>
        <v>#N/A</v>
      </c>
      <c r="AD993" s="51" t="e">
        <f aca="false">IF(Arterial=1,IF(Informed=1,1,0),0)</f>
        <v>#N/A</v>
      </c>
      <c r="AE993" s="51" t="e">
        <f aca="false">IF(Arterial=1,IF(Informed=0,1,0),0)</f>
        <v>#N/A</v>
      </c>
      <c r="AF993" s="44" t="e">
        <f aca="false">IF(AB993=1,(X993-G$1030)^2,0)</f>
        <v>#N/A</v>
      </c>
      <c r="AG993" s="44" t="e">
        <f aca="false">IF(AC993=1,(Y993-H$1030)^2,0)</f>
        <v>#N/A</v>
      </c>
      <c r="AH993" s="44" t="e">
        <f aca="false">IF(AD993=1,(Z993-I$1030)^2,0)</f>
        <v>#N/A</v>
      </c>
      <c r="AI993" s="44" t="e">
        <f aca="false">IF(AE993=1,(AA993-J$1030)^2,0)</f>
        <v>#N/A</v>
      </c>
    </row>
    <row r="994" customFormat="false" ht="12" hidden="false" customHeight="false" outlineLevel="0" collapsed="false">
      <c r="A994" s="29" t="n">
        <v>977</v>
      </c>
      <c r="B994" s="45" t="n">
        <f aca="true">IF(RAND()&lt;$D$8,1,0)</f>
        <v>1</v>
      </c>
      <c r="C994" s="34" t="n">
        <f aca="true">-LN(RAND())/$D$2</f>
        <v>0.432541108817943</v>
      </c>
      <c r="D994" s="46" t="n">
        <f aca="false">D993+C994</f>
        <v>1484.56904282838</v>
      </c>
      <c r="E994" s="47" t="e">
        <f aca="false">MAX($D$3,(1+P993-VLOOKUP(VALUE(D994),$J$18:$Q993,7,TRUE()))*$D$3)</f>
        <v>#N/A</v>
      </c>
      <c r="F994" s="47" t="e">
        <f aca="false">MAX($D$4,(1+Q993-VLOOKUP(VALUE(D994),$M$18:$Q993,5,TRUE()))*$D$4)</f>
        <v>#N/A</v>
      </c>
      <c r="G994" s="48" t="n">
        <v>0.5</v>
      </c>
      <c r="H994" s="46" t="e">
        <f aca="true">IF((B994=1),(IF((F994&lt;E994),1,(IF((F994=E994),(IF(RAND()&lt;G994,1,0)),0)))),(IF((RAND()&lt;G994),1,0)))</f>
        <v>#N/A</v>
      </c>
      <c r="I994" s="46" t="e">
        <f aca="true">IF((H994=1),0,$D$3+$D$5*(RAND()-0.5))</f>
        <v>#N/A</v>
      </c>
      <c r="J994" s="46" t="e">
        <f aca="false">I994+MAX(D994,J993)</f>
        <v>#N/A</v>
      </c>
      <c r="K994" s="46" t="e">
        <f aca="false">IF((H994=0),J994-D994,0)</f>
        <v>#N/A</v>
      </c>
      <c r="L994" s="46" t="e">
        <f aca="true">IF(($H994=0),0,$D$4+$D$5*(RAND()-0.5))</f>
        <v>#N/A</v>
      </c>
      <c r="M994" s="46" t="e">
        <f aca="false">L994+MAX(D994,M993)</f>
        <v>#N/A</v>
      </c>
      <c r="N994" s="46" t="e">
        <f aca="false">IF((H994=1),M994-D994,0)</f>
        <v>#N/A</v>
      </c>
      <c r="O994" s="29" t="n">
        <v>977</v>
      </c>
      <c r="P994" s="49" t="e">
        <f aca="false">IF((Arterial=0),P993+1,P993)</f>
        <v>#N/A</v>
      </c>
      <c r="Q994" s="49" t="e">
        <f aca="false">IF((Arterial=1),Q993+1,Q993)</f>
        <v>#N/A</v>
      </c>
      <c r="R994" s="50" t="n">
        <f aca="false">IF((RESET=1),0,R994+K994)</f>
        <v>0</v>
      </c>
      <c r="S994" s="19" t="n">
        <f aca="false">IF(RESET=1,0,S994+N994)</f>
        <v>0</v>
      </c>
      <c r="T994" s="0" t="n">
        <f aca="false">IF(RESET=1,0,T994+IF(H994=0,1,0))</f>
        <v>0</v>
      </c>
      <c r="U994" s="0" t="n">
        <f aca="false">IF(RESET=1,0,U994+H994)</f>
        <v>0</v>
      </c>
      <c r="V994" s="19" t="n">
        <f aca="false">R994/(T994+0.00001)</f>
        <v>0</v>
      </c>
      <c r="W994" s="19" t="n">
        <f aca="false">S994/(U994+0.0001)</f>
        <v>0</v>
      </c>
      <c r="X994" s="47" t="e">
        <f aca="false">IF(Informed=1,K994,0)</f>
        <v>#N/A</v>
      </c>
      <c r="Y994" s="47" t="n">
        <f aca="false">IF(Informed=0,K994,0)</f>
        <v>0</v>
      </c>
      <c r="Z994" s="47" t="e">
        <f aca="false">IF(Informed=1,N994,0)</f>
        <v>#N/A</v>
      </c>
      <c r="AA994" s="47" t="n">
        <f aca="false">IF(Informed=0,N994,0)</f>
        <v>0</v>
      </c>
      <c r="AB994" s="51" t="e">
        <f aca="false">IF(Arterial=0,IF(Informed=1,1,0),0)</f>
        <v>#N/A</v>
      </c>
      <c r="AC994" s="51" t="e">
        <f aca="false">IF(Arterial=0,IF(Informed=0,1,0),0)</f>
        <v>#N/A</v>
      </c>
      <c r="AD994" s="51" t="e">
        <f aca="false">IF(Arterial=1,IF(Informed=1,1,0),0)</f>
        <v>#N/A</v>
      </c>
      <c r="AE994" s="51" t="e">
        <f aca="false">IF(Arterial=1,IF(Informed=0,1,0),0)</f>
        <v>#N/A</v>
      </c>
      <c r="AF994" s="44" t="e">
        <f aca="false">IF(AB994=1,(X994-G$1030)^2,0)</f>
        <v>#N/A</v>
      </c>
      <c r="AG994" s="44" t="e">
        <f aca="false">IF(AC994=1,(Y994-H$1030)^2,0)</f>
        <v>#N/A</v>
      </c>
      <c r="AH994" s="44" t="e">
        <f aca="false">IF(AD994=1,(Z994-I$1030)^2,0)</f>
        <v>#N/A</v>
      </c>
      <c r="AI994" s="44" t="e">
        <f aca="false">IF(AE994=1,(AA994-J$1030)^2,0)</f>
        <v>#N/A</v>
      </c>
    </row>
    <row r="995" customFormat="false" ht="12" hidden="false" customHeight="false" outlineLevel="0" collapsed="false">
      <c r="A995" s="29" t="n">
        <v>978</v>
      </c>
      <c r="B995" s="45" t="n">
        <f aca="true">IF(RAND()&lt;$D$8,1,0)</f>
        <v>1</v>
      </c>
      <c r="C995" s="34" t="n">
        <f aca="true">-LN(RAND())/$D$2</f>
        <v>1.78957409485294</v>
      </c>
      <c r="D995" s="46" t="n">
        <f aca="false">D994+C995</f>
        <v>1486.35861692323</v>
      </c>
      <c r="E995" s="47" t="e">
        <f aca="false">MAX($D$3,(1+P994-VLOOKUP(VALUE(D995),$J$18:$Q994,7,TRUE()))*$D$3)</f>
        <v>#N/A</v>
      </c>
      <c r="F995" s="47" t="e">
        <f aca="false">MAX($D$4,(1+Q994-VLOOKUP(VALUE(D995),$M$18:$Q994,5,TRUE()))*$D$4)</f>
        <v>#N/A</v>
      </c>
      <c r="G995" s="48" t="n">
        <v>0.5</v>
      </c>
      <c r="H995" s="46" t="e">
        <f aca="true">IF((B995=1),(IF((F995&lt;E995),1,(IF((F995=E995),(IF(RAND()&lt;G995,1,0)),0)))),(IF((RAND()&lt;G995),1,0)))</f>
        <v>#N/A</v>
      </c>
      <c r="I995" s="46" t="e">
        <f aca="true">IF((H995=1),0,$D$3+$D$5*(RAND()-0.5))</f>
        <v>#N/A</v>
      </c>
      <c r="J995" s="46" t="e">
        <f aca="false">I995+MAX(D995,J994)</f>
        <v>#N/A</v>
      </c>
      <c r="K995" s="46" t="e">
        <f aca="false">IF((H995=0),J995-D995,0)</f>
        <v>#N/A</v>
      </c>
      <c r="L995" s="46" t="e">
        <f aca="true">IF(($H995=0),0,$D$4+$D$5*(RAND()-0.5))</f>
        <v>#N/A</v>
      </c>
      <c r="M995" s="46" t="e">
        <f aca="false">L995+MAX(D995,M994)</f>
        <v>#N/A</v>
      </c>
      <c r="N995" s="46" t="e">
        <f aca="false">IF((H995=1),M995-D995,0)</f>
        <v>#N/A</v>
      </c>
      <c r="O995" s="29" t="n">
        <v>978</v>
      </c>
      <c r="P995" s="49" t="e">
        <f aca="false">IF((Arterial=0),P994+1,P994)</f>
        <v>#N/A</v>
      </c>
      <c r="Q995" s="49" t="e">
        <f aca="false">IF((Arterial=1),Q994+1,Q994)</f>
        <v>#N/A</v>
      </c>
      <c r="R995" s="50" t="n">
        <f aca="false">IF((RESET=1),0,R995+K995)</f>
        <v>0</v>
      </c>
      <c r="S995" s="19" t="n">
        <f aca="false">IF(RESET=1,0,S995+N995)</f>
        <v>0</v>
      </c>
      <c r="T995" s="0" t="n">
        <f aca="false">IF(RESET=1,0,T995+IF(H995=0,1,0))</f>
        <v>0</v>
      </c>
      <c r="U995" s="0" t="n">
        <f aca="false">IF(RESET=1,0,U995+H995)</f>
        <v>0</v>
      </c>
      <c r="V995" s="19" t="n">
        <f aca="false">R995/(T995+0.00001)</f>
        <v>0</v>
      </c>
      <c r="W995" s="19" t="n">
        <f aca="false">S995/(U995+0.0001)</f>
        <v>0</v>
      </c>
      <c r="X995" s="47" t="e">
        <f aca="false">IF(Informed=1,K995,0)</f>
        <v>#N/A</v>
      </c>
      <c r="Y995" s="47" t="n">
        <f aca="false">IF(Informed=0,K995,0)</f>
        <v>0</v>
      </c>
      <c r="Z995" s="47" t="e">
        <f aca="false">IF(Informed=1,N995,0)</f>
        <v>#N/A</v>
      </c>
      <c r="AA995" s="47" t="n">
        <f aca="false">IF(Informed=0,N995,0)</f>
        <v>0</v>
      </c>
      <c r="AB995" s="51" t="e">
        <f aca="false">IF(Arterial=0,IF(Informed=1,1,0),0)</f>
        <v>#N/A</v>
      </c>
      <c r="AC995" s="51" t="e">
        <f aca="false">IF(Arterial=0,IF(Informed=0,1,0),0)</f>
        <v>#N/A</v>
      </c>
      <c r="AD995" s="51" t="e">
        <f aca="false">IF(Arterial=1,IF(Informed=1,1,0),0)</f>
        <v>#N/A</v>
      </c>
      <c r="AE995" s="51" t="e">
        <f aca="false">IF(Arterial=1,IF(Informed=0,1,0),0)</f>
        <v>#N/A</v>
      </c>
      <c r="AF995" s="44" t="e">
        <f aca="false">IF(AB995=1,(X995-G$1030)^2,0)</f>
        <v>#N/A</v>
      </c>
      <c r="AG995" s="44" t="e">
        <f aca="false">IF(AC995=1,(Y995-H$1030)^2,0)</f>
        <v>#N/A</v>
      </c>
      <c r="AH995" s="44" t="e">
        <f aca="false">IF(AD995=1,(Z995-I$1030)^2,0)</f>
        <v>#N/A</v>
      </c>
      <c r="AI995" s="44" t="e">
        <f aca="false">IF(AE995=1,(AA995-J$1030)^2,0)</f>
        <v>#N/A</v>
      </c>
    </row>
    <row r="996" customFormat="false" ht="12" hidden="false" customHeight="false" outlineLevel="0" collapsed="false">
      <c r="A996" s="29" t="n">
        <v>979</v>
      </c>
      <c r="B996" s="45" t="n">
        <f aca="true">IF(RAND()&lt;$D$8,1,0)</f>
        <v>1</v>
      </c>
      <c r="C996" s="34" t="n">
        <f aca="true">-LN(RAND())/$D$2</f>
        <v>0.739724946445025</v>
      </c>
      <c r="D996" s="46" t="n">
        <f aca="false">D995+C996</f>
        <v>1487.09834186967</v>
      </c>
      <c r="E996" s="47" t="e">
        <f aca="false">MAX($D$3,(1+P995-VLOOKUP(VALUE(D996),$J$18:$Q995,7,TRUE()))*$D$3)</f>
        <v>#N/A</v>
      </c>
      <c r="F996" s="47" t="e">
        <f aca="false">MAX($D$4,(1+Q995-VLOOKUP(VALUE(D996),$M$18:$Q995,5,TRUE()))*$D$4)</f>
        <v>#N/A</v>
      </c>
      <c r="G996" s="48" t="n">
        <v>0.5</v>
      </c>
      <c r="H996" s="46" t="e">
        <f aca="true">IF((B996=1),(IF((F996&lt;E996),1,(IF((F996=E996),(IF(RAND()&lt;G996,1,0)),0)))),(IF((RAND()&lt;G996),1,0)))</f>
        <v>#N/A</v>
      </c>
      <c r="I996" s="46" t="e">
        <f aca="true">IF((H996=1),0,$D$3+$D$5*(RAND()-0.5))</f>
        <v>#N/A</v>
      </c>
      <c r="J996" s="46" t="e">
        <f aca="false">I996+MAX(D996,J995)</f>
        <v>#N/A</v>
      </c>
      <c r="K996" s="46" t="e">
        <f aca="false">IF((H996=0),J996-D996,0)</f>
        <v>#N/A</v>
      </c>
      <c r="L996" s="46" t="e">
        <f aca="true">IF(($H996=0),0,$D$4+$D$5*(RAND()-0.5))</f>
        <v>#N/A</v>
      </c>
      <c r="M996" s="46" t="e">
        <f aca="false">L996+MAX(D996,M995)</f>
        <v>#N/A</v>
      </c>
      <c r="N996" s="46" t="e">
        <f aca="false">IF((H996=1),M996-D996,0)</f>
        <v>#N/A</v>
      </c>
      <c r="O996" s="29" t="n">
        <v>979</v>
      </c>
      <c r="P996" s="49" t="e">
        <f aca="false">IF((Arterial=0),P995+1,P995)</f>
        <v>#N/A</v>
      </c>
      <c r="Q996" s="49" t="e">
        <f aca="false">IF((Arterial=1),Q995+1,Q995)</f>
        <v>#N/A</v>
      </c>
      <c r="R996" s="50" t="n">
        <f aca="false">IF((RESET=1),0,R996+K996)</f>
        <v>0</v>
      </c>
      <c r="S996" s="19" t="n">
        <f aca="false">IF(RESET=1,0,S996+N996)</f>
        <v>0</v>
      </c>
      <c r="T996" s="0" t="n">
        <f aca="false">IF(RESET=1,0,T996+IF(H996=0,1,0))</f>
        <v>0</v>
      </c>
      <c r="U996" s="0" t="n">
        <f aca="false">IF(RESET=1,0,U996+H996)</f>
        <v>0</v>
      </c>
      <c r="V996" s="19" t="n">
        <f aca="false">R996/(T996+0.00001)</f>
        <v>0</v>
      </c>
      <c r="W996" s="19" t="n">
        <f aca="false">S996/(U996+0.0001)</f>
        <v>0</v>
      </c>
      <c r="X996" s="47" t="e">
        <f aca="false">IF(Informed=1,K996,0)</f>
        <v>#N/A</v>
      </c>
      <c r="Y996" s="47" t="n">
        <f aca="false">IF(Informed=0,K996,0)</f>
        <v>0</v>
      </c>
      <c r="Z996" s="47" t="e">
        <f aca="false">IF(Informed=1,N996,0)</f>
        <v>#N/A</v>
      </c>
      <c r="AA996" s="47" t="n">
        <f aca="false">IF(Informed=0,N996,0)</f>
        <v>0</v>
      </c>
      <c r="AB996" s="51" t="e">
        <f aca="false">IF(Arterial=0,IF(Informed=1,1,0),0)</f>
        <v>#N/A</v>
      </c>
      <c r="AC996" s="51" t="e">
        <f aca="false">IF(Arterial=0,IF(Informed=0,1,0),0)</f>
        <v>#N/A</v>
      </c>
      <c r="AD996" s="51" t="e">
        <f aca="false">IF(Arterial=1,IF(Informed=1,1,0),0)</f>
        <v>#N/A</v>
      </c>
      <c r="AE996" s="51" t="e">
        <f aca="false">IF(Arterial=1,IF(Informed=0,1,0),0)</f>
        <v>#N/A</v>
      </c>
      <c r="AF996" s="44" t="e">
        <f aca="false">IF(AB996=1,(X996-G$1030)^2,0)</f>
        <v>#N/A</v>
      </c>
      <c r="AG996" s="44" t="e">
        <f aca="false">IF(AC996=1,(Y996-H$1030)^2,0)</f>
        <v>#N/A</v>
      </c>
      <c r="AH996" s="44" t="e">
        <f aca="false">IF(AD996=1,(Z996-I$1030)^2,0)</f>
        <v>#N/A</v>
      </c>
      <c r="AI996" s="44" t="e">
        <f aca="false">IF(AE996=1,(AA996-J$1030)^2,0)</f>
        <v>#N/A</v>
      </c>
    </row>
    <row r="997" customFormat="false" ht="12" hidden="false" customHeight="false" outlineLevel="0" collapsed="false">
      <c r="A997" s="29" t="n">
        <v>980</v>
      </c>
      <c r="B997" s="45" t="n">
        <f aca="true">IF(RAND()&lt;$D$8,1,0)</f>
        <v>1</v>
      </c>
      <c r="C997" s="34" t="n">
        <f aca="true">-LN(RAND())/$D$2</f>
        <v>0.307231806143155</v>
      </c>
      <c r="D997" s="46" t="n">
        <f aca="false">D996+C997</f>
        <v>1487.40557367582</v>
      </c>
      <c r="E997" s="47" t="e">
        <f aca="false">MAX($D$3,(1+P996-VLOOKUP(VALUE(D997),$J$18:$Q996,7,TRUE()))*$D$3)</f>
        <v>#N/A</v>
      </c>
      <c r="F997" s="47" t="e">
        <f aca="false">MAX($D$4,(1+Q996-VLOOKUP(VALUE(D997),$M$18:$Q996,5,TRUE()))*$D$4)</f>
        <v>#N/A</v>
      </c>
      <c r="G997" s="48" t="n">
        <v>0.5</v>
      </c>
      <c r="H997" s="46" t="e">
        <f aca="true">IF((B997=1),(IF((F997&lt;E997),1,(IF((F997=E997),(IF(RAND()&lt;G997,1,0)),0)))),(IF((RAND()&lt;G997),1,0)))</f>
        <v>#N/A</v>
      </c>
      <c r="I997" s="46" t="e">
        <f aca="true">IF((H997=1),0,$D$3+$D$5*(RAND()-0.5))</f>
        <v>#N/A</v>
      </c>
      <c r="J997" s="46" t="e">
        <f aca="false">I997+MAX(D997,J996)</f>
        <v>#N/A</v>
      </c>
      <c r="K997" s="46" t="e">
        <f aca="false">IF((H997=0),J997-D997,0)</f>
        <v>#N/A</v>
      </c>
      <c r="L997" s="46" t="e">
        <f aca="true">IF(($H997=0),0,$D$4+$D$5*(RAND()-0.5))</f>
        <v>#N/A</v>
      </c>
      <c r="M997" s="46" t="e">
        <f aca="false">L997+MAX(D997,M996)</f>
        <v>#N/A</v>
      </c>
      <c r="N997" s="46" t="e">
        <f aca="false">IF((H997=1),M997-D997,0)</f>
        <v>#N/A</v>
      </c>
      <c r="O997" s="29" t="n">
        <v>980</v>
      </c>
      <c r="P997" s="49" t="e">
        <f aca="false">IF((Arterial=0),P996+1,P996)</f>
        <v>#N/A</v>
      </c>
      <c r="Q997" s="49" t="e">
        <f aca="false">IF((Arterial=1),Q996+1,Q996)</f>
        <v>#N/A</v>
      </c>
      <c r="R997" s="50" t="n">
        <f aca="false">IF((RESET=1),0,R997+K997)</f>
        <v>0</v>
      </c>
      <c r="S997" s="19" t="n">
        <f aca="false">IF(RESET=1,0,S997+N997)</f>
        <v>0</v>
      </c>
      <c r="T997" s="0" t="n">
        <f aca="false">IF(RESET=1,0,T997+IF(H997=0,1,0))</f>
        <v>0</v>
      </c>
      <c r="U997" s="0" t="n">
        <f aca="false">IF(RESET=1,0,U997+H997)</f>
        <v>0</v>
      </c>
      <c r="V997" s="19" t="n">
        <f aca="false">R997/(T997+0.00001)</f>
        <v>0</v>
      </c>
      <c r="W997" s="19" t="n">
        <f aca="false">S997/(U997+0.0001)</f>
        <v>0</v>
      </c>
      <c r="X997" s="47" t="e">
        <f aca="false">IF(Informed=1,K997,0)</f>
        <v>#N/A</v>
      </c>
      <c r="Y997" s="47" t="n">
        <f aca="false">IF(Informed=0,K997,0)</f>
        <v>0</v>
      </c>
      <c r="Z997" s="47" t="e">
        <f aca="false">IF(Informed=1,N997,0)</f>
        <v>#N/A</v>
      </c>
      <c r="AA997" s="47" t="n">
        <f aca="false">IF(Informed=0,N997,0)</f>
        <v>0</v>
      </c>
      <c r="AB997" s="51" t="e">
        <f aca="false">IF(Arterial=0,IF(Informed=1,1,0),0)</f>
        <v>#N/A</v>
      </c>
      <c r="AC997" s="51" t="e">
        <f aca="false">IF(Arterial=0,IF(Informed=0,1,0),0)</f>
        <v>#N/A</v>
      </c>
      <c r="AD997" s="51" t="e">
        <f aca="false">IF(Arterial=1,IF(Informed=1,1,0),0)</f>
        <v>#N/A</v>
      </c>
      <c r="AE997" s="51" t="e">
        <f aca="false">IF(Arterial=1,IF(Informed=0,1,0),0)</f>
        <v>#N/A</v>
      </c>
      <c r="AF997" s="44" t="e">
        <f aca="false">IF(AB997=1,(X997-G$1030)^2,0)</f>
        <v>#N/A</v>
      </c>
      <c r="AG997" s="44" t="e">
        <f aca="false">IF(AC997=1,(Y997-H$1030)^2,0)</f>
        <v>#N/A</v>
      </c>
      <c r="AH997" s="44" t="e">
        <f aca="false">IF(AD997=1,(Z997-I$1030)^2,0)</f>
        <v>#N/A</v>
      </c>
      <c r="AI997" s="44" t="e">
        <f aca="false">IF(AE997=1,(AA997-J$1030)^2,0)</f>
        <v>#N/A</v>
      </c>
    </row>
    <row r="998" customFormat="false" ht="12" hidden="false" customHeight="false" outlineLevel="0" collapsed="false">
      <c r="A998" s="29" t="n">
        <v>981</v>
      </c>
      <c r="B998" s="45" t="n">
        <f aca="true">IF(RAND()&lt;$D$8,1,0)</f>
        <v>1</v>
      </c>
      <c r="C998" s="34" t="n">
        <f aca="true">-LN(RAND())/$D$2</f>
        <v>7.92446197707605</v>
      </c>
      <c r="D998" s="46" t="n">
        <f aca="false">D997+C998</f>
        <v>1495.33003565289</v>
      </c>
      <c r="E998" s="47" t="e">
        <f aca="false">MAX($D$3,(1+P997-VLOOKUP(VALUE(D998),$J$18:$Q997,7,TRUE()))*$D$3)</f>
        <v>#N/A</v>
      </c>
      <c r="F998" s="47" t="e">
        <f aca="false">MAX($D$4,(1+Q997-VLOOKUP(VALUE(D998),$M$18:$Q997,5,TRUE()))*$D$4)</f>
        <v>#N/A</v>
      </c>
      <c r="G998" s="48" t="n">
        <v>0.5</v>
      </c>
      <c r="H998" s="46" t="e">
        <f aca="true">IF((B998=1),(IF((F998&lt;E998),1,(IF((F998=E998),(IF(RAND()&lt;G998,1,0)),0)))),(IF((RAND()&lt;G998),1,0)))</f>
        <v>#N/A</v>
      </c>
      <c r="I998" s="46" t="e">
        <f aca="true">IF((H998=1),0,$D$3+$D$5*(RAND()-0.5))</f>
        <v>#N/A</v>
      </c>
      <c r="J998" s="46" t="e">
        <f aca="false">I998+MAX(D998,J997)</f>
        <v>#N/A</v>
      </c>
      <c r="K998" s="46" t="e">
        <f aca="false">IF((H998=0),J998-D998,0)</f>
        <v>#N/A</v>
      </c>
      <c r="L998" s="46" t="e">
        <f aca="true">IF(($H998=0),0,$D$4+$D$5*(RAND()-0.5))</f>
        <v>#N/A</v>
      </c>
      <c r="M998" s="46" t="e">
        <f aca="false">L998+MAX(D998,M997)</f>
        <v>#N/A</v>
      </c>
      <c r="N998" s="46" t="e">
        <f aca="false">IF((H998=1),M998-D998,0)</f>
        <v>#N/A</v>
      </c>
      <c r="O998" s="29" t="n">
        <v>981</v>
      </c>
      <c r="P998" s="49" t="e">
        <f aca="false">IF((Arterial=0),P997+1,P997)</f>
        <v>#N/A</v>
      </c>
      <c r="Q998" s="49" t="e">
        <f aca="false">IF((Arterial=1),Q997+1,Q997)</f>
        <v>#N/A</v>
      </c>
      <c r="R998" s="50" t="n">
        <f aca="false">IF((RESET=1),0,R998+K998)</f>
        <v>0</v>
      </c>
      <c r="S998" s="19" t="n">
        <f aca="false">IF(RESET=1,0,S998+N998)</f>
        <v>0</v>
      </c>
      <c r="T998" s="0" t="n">
        <f aca="false">IF(RESET=1,0,T998+IF(H998=0,1,0))</f>
        <v>0</v>
      </c>
      <c r="U998" s="0" t="n">
        <f aca="false">IF(RESET=1,0,U998+H998)</f>
        <v>0</v>
      </c>
      <c r="V998" s="19" t="n">
        <f aca="false">R998/(T998+0.00001)</f>
        <v>0</v>
      </c>
      <c r="W998" s="19" t="n">
        <f aca="false">S998/(U998+0.0001)</f>
        <v>0</v>
      </c>
      <c r="X998" s="47" t="e">
        <f aca="false">IF(Informed=1,K998,0)</f>
        <v>#N/A</v>
      </c>
      <c r="Y998" s="47" t="n">
        <f aca="false">IF(Informed=0,K998,0)</f>
        <v>0</v>
      </c>
      <c r="Z998" s="47" t="e">
        <f aca="false">IF(Informed=1,N998,0)</f>
        <v>#N/A</v>
      </c>
      <c r="AA998" s="47" t="n">
        <f aca="false">IF(Informed=0,N998,0)</f>
        <v>0</v>
      </c>
      <c r="AB998" s="51" t="e">
        <f aca="false">IF(Arterial=0,IF(Informed=1,1,0),0)</f>
        <v>#N/A</v>
      </c>
      <c r="AC998" s="51" t="e">
        <f aca="false">IF(Arterial=0,IF(Informed=0,1,0),0)</f>
        <v>#N/A</v>
      </c>
      <c r="AD998" s="51" t="e">
        <f aca="false">IF(Arterial=1,IF(Informed=1,1,0),0)</f>
        <v>#N/A</v>
      </c>
      <c r="AE998" s="51" t="e">
        <f aca="false">IF(Arterial=1,IF(Informed=0,1,0),0)</f>
        <v>#N/A</v>
      </c>
      <c r="AF998" s="44" t="e">
        <f aca="false">IF(AB998=1,(X998-G$1030)^2,0)</f>
        <v>#N/A</v>
      </c>
      <c r="AG998" s="44" t="e">
        <f aca="false">IF(AC998=1,(Y998-H$1030)^2,0)</f>
        <v>#N/A</v>
      </c>
      <c r="AH998" s="44" t="e">
        <f aca="false">IF(AD998=1,(Z998-I$1030)^2,0)</f>
        <v>#N/A</v>
      </c>
      <c r="AI998" s="44" t="e">
        <f aca="false">IF(AE998=1,(AA998-J$1030)^2,0)</f>
        <v>#N/A</v>
      </c>
    </row>
    <row r="999" customFormat="false" ht="12" hidden="false" customHeight="false" outlineLevel="0" collapsed="false">
      <c r="A999" s="29" t="n">
        <v>982</v>
      </c>
      <c r="B999" s="45" t="n">
        <f aca="true">IF(RAND()&lt;$D$8,1,0)</f>
        <v>1</v>
      </c>
      <c r="C999" s="34" t="n">
        <f aca="true">-LN(RAND())/$D$2</f>
        <v>2.18480920198965</v>
      </c>
      <c r="D999" s="46" t="n">
        <f aca="false">D998+C999</f>
        <v>1497.51484485488</v>
      </c>
      <c r="E999" s="47" t="e">
        <f aca="false">MAX($D$3,(1+P998-VLOOKUP(VALUE(D999),$J$18:$Q998,7,TRUE()))*$D$3)</f>
        <v>#N/A</v>
      </c>
      <c r="F999" s="47" t="e">
        <f aca="false">MAX($D$4,(1+Q998-VLOOKUP(VALUE(D999),$M$18:$Q998,5,TRUE()))*$D$4)</f>
        <v>#N/A</v>
      </c>
      <c r="G999" s="48" t="n">
        <v>0.5</v>
      </c>
      <c r="H999" s="46" t="e">
        <f aca="true">IF((B999=1),(IF((F999&lt;E999),1,(IF((F999=E999),(IF(RAND()&lt;G999,1,0)),0)))),(IF((RAND()&lt;G999),1,0)))</f>
        <v>#N/A</v>
      </c>
      <c r="I999" s="46" t="e">
        <f aca="true">IF((H999=1),0,$D$3+$D$5*(RAND()-0.5))</f>
        <v>#N/A</v>
      </c>
      <c r="J999" s="46" t="e">
        <f aca="false">I999+MAX(D999,J998)</f>
        <v>#N/A</v>
      </c>
      <c r="K999" s="46" t="e">
        <f aca="false">IF((H999=0),J999-D999,0)</f>
        <v>#N/A</v>
      </c>
      <c r="L999" s="46" t="e">
        <f aca="true">IF(($H999=0),0,$D$4+$D$5*(RAND()-0.5))</f>
        <v>#N/A</v>
      </c>
      <c r="M999" s="46" t="e">
        <f aca="false">L999+MAX(D999,M998)</f>
        <v>#N/A</v>
      </c>
      <c r="N999" s="46" t="e">
        <f aca="false">IF((H999=1),M999-D999,0)</f>
        <v>#N/A</v>
      </c>
      <c r="O999" s="29" t="n">
        <v>982</v>
      </c>
      <c r="P999" s="49" t="e">
        <f aca="false">IF((Arterial=0),P998+1,P998)</f>
        <v>#N/A</v>
      </c>
      <c r="Q999" s="49" t="e">
        <f aca="false">IF((Arterial=1),Q998+1,Q998)</f>
        <v>#N/A</v>
      </c>
      <c r="R999" s="50" t="n">
        <f aca="false">IF((RESET=1),0,R999+K999)</f>
        <v>0</v>
      </c>
      <c r="S999" s="19" t="n">
        <f aca="false">IF(RESET=1,0,S999+N999)</f>
        <v>0</v>
      </c>
      <c r="T999" s="0" t="n">
        <f aca="false">IF(RESET=1,0,T999+IF(H999=0,1,0))</f>
        <v>0</v>
      </c>
      <c r="U999" s="0" t="n">
        <f aca="false">IF(RESET=1,0,U999+H999)</f>
        <v>0</v>
      </c>
      <c r="V999" s="19" t="n">
        <f aca="false">R999/(T999+0.00001)</f>
        <v>0</v>
      </c>
      <c r="W999" s="19" t="n">
        <f aca="false">S999/(U999+0.0001)</f>
        <v>0</v>
      </c>
      <c r="X999" s="47" t="e">
        <f aca="false">IF(Informed=1,K999,0)</f>
        <v>#N/A</v>
      </c>
      <c r="Y999" s="47" t="n">
        <f aca="false">IF(Informed=0,K999,0)</f>
        <v>0</v>
      </c>
      <c r="Z999" s="47" t="e">
        <f aca="false">IF(Informed=1,N999,0)</f>
        <v>#N/A</v>
      </c>
      <c r="AA999" s="47" t="n">
        <f aca="false">IF(Informed=0,N999,0)</f>
        <v>0</v>
      </c>
      <c r="AB999" s="51" t="e">
        <f aca="false">IF(Arterial=0,IF(Informed=1,1,0),0)</f>
        <v>#N/A</v>
      </c>
      <c r="AC999" s="51" t="e">
        <f aca="false">IF(Arterial=0,IF(Informed=0,1,0),0)</f>
        <v>#N/A</v>
      </c>
      <c r="AD999" s="51" t="e">
        <f aca="false">IF(Arterial=1,IF(Informed=1,1,0),0)</f>
        <v>#N/A</v>
      </c>
      <c r="AE999" s="51" t="e">
        <f aca="false">IF(Arterial=1,IF(Informed=0,1,0),0)</f>
        <v>#N/A</v>
      </c>
      <c r="AF999" s="44" t="e">
        <f aca="false">IF(AB999=1,(X999-G$1030)^2,0)</f>
        <v>#N/A</v>
      </c>
      <c r="AG999" s="44" t="e">
        <f aca="false">IF(AC999=1,(Y999-H$1030)^2,0)</f>
        <v>#N/A</v>
      </c>
      <c r="AH999" s="44" t="e">
        <f aca="false">IF(AD999=1,(Z999-I$1030)^2,0)</f>
        <v>#N/A</v>
      </c>
      <c r="AI999" s="44" t="e">
        <f aca="false">IF(AE999=1,(AA999-J$1030)^2,0)</f>
        <v>#N/A</v>
      </c>
    </row>
    <row r="1000" customFormat="false" ht="12" hidden="false" customHeight="false" outlineLevel="0" collapsed="false">
      <c r="A1000" s="29" t="n">
        <v>983</v>
      </c>
      <c r="B1000" s="45" t="n">
        <f aca="true">IF(RAND()&lt;$D$8,1,0)</f>
        <v>1</v>
      </c>
      <c r="C1000" s="34" t="n">
        <f aca="true">-LN(RAND())/$D$2</f>
        <v>1.05272435000264</v>
      </c>
      <c r="D1000" s="46" t="n">
        <f aca="false">D999+C1000</f>
        <v>1498.56756920489</v>
      </c>
      <c r="E1000" s="47" t="e">
        <f aca="false">MAX($D$3,(1+P999-VLOOKUP(VALUE(D1000),$J$18:$Q999,7,TRUE()))*$D$3)</f>
        <v>#N/A</v>
      </c>
      <c r="F1000" s="47" t="e">
        <f aca="false">MAX($D$4,(1+Q999-VLOOKUP(VALUE(D1000),$M$18:$Q999,5,TRUE()))*$D$4)</f>
        <v>#N/A</v>
      </c>
      <c r="G1000" s="48" t="n">
        <v>0.5</v>
      </c>
      <c r="H1000" s="46" t="e">
        <f aca="true">IF((B1000=1),(IF((F1000&lt;E1000),1,(IF((F1000=E1000),(IF(RAND()&lt;G1000,1,0)),0)))),(IF((RAND()&lt;G1000),1,0)))</f>
        <v>#N/A</v>
      </c>
      <c r="I1000" s="46" t="e">
        <f aca="true">IF((H1000=1),0,$D$3+$D$5*(RAND()-0.5))</f>
        <v>#N/A</v>
      </c>
      <c r="J1000" s="46" t="e">
        <f aca="false">I1000+MAX(D1000,J999)</f>
        <v>#N/A</v>
      </c>
      <c r="K1000" s="46" t="e">
        <f aca="false">IF((H1000=0),J1000-D1000,0)</f>
        <v>#N/A</v>
      </c>
      <c r="L1000" s="46" t="e">
        <f aca="true">IF(($H1000=0),0,$D$4+$D$5*(RAND()-0.5))</f>
        <v>#N/A</v>
      </c>
      <c r="M1000" s="46" t="e">
        <f aca="false">L1000+MAX(D1000,M999)</f>
        <v>#N/A</v>
      </c>
      <c r="N1000" s="46" t="e">
        <f aca="false">IF((H1000=1),M1000-D1000,0)</f>
        <v>#N/A</v>
      </c>
      <c r="O1000" s="29" t="n">
        <v>983</v>
      </c>
      <c r="P1000" s="49" t="e">
        <f aca="false">IF((Arterial=0),P999+1,P999)</f>
        <v>#N/A</v>
      </c>
      <c r="Q1000" s="49" t="e">
        <f aca="false">IF((Arterial=1),Q999+1,Q999)</f>
        <v>#N/A</v>
      </c>
      <c r="R1000" s="50" t="n">
        <f aca="false">IF((RESET=1),0,R1000+K1000)</f>
        <v>0</v>
      </c>
      <c r="S1000" s="19" t="n">
        <f aca="false">IF(RESET=1,0,S1000+N1000)</f>
        <v>0</v>
      </c>
      <c r="T1000" s="0" t="n">
        <f aca="false">IF(RESET=1,0,T1000+IF(H1000=0,1,0))</f>
        <v>0</v>
      </c>
      <c r="U1000" s="0" t="n">
        <f aca="false">IF(RESET=1,0,U1000+H1000)</f>
        <v>0</v>
      </c>
      <c r="V1000" s="19" t="n">
        <f aca="false">R1000/(T1000+0.00001)</f>
        <v>0</v>
      </c>
      <c r="W1000" s="19" t="n">
        <f aca="false">S1000/(U1000+0.0001)</f>
        <v>0</v>
      </c>
      <c r="X1000" s="47" t="e">
        <f aca="false">IF(Informed=1,K1000,0)</f>
        <v>#N/A</v>
      </c>
      <c r="Y1000" s="47" t="n">
        <f aca="false">IF(Informed=0,K1000,0)</f>
        <v>0</v>
      </c>
      <c r="Z1000" s="47" t="e">
        <f aca="false">IF(Informed=1,N1000,0)</f>
        <v>#N/A</v>
      </c>
      <c r="AA1000" s="47" t="n">
        <f aca="false">IF(Informed=0,N1000,0)</f>
        <v>0</v>
      </c>
      <c r="AB1000" s="51" t="e">
        <f aca="false">IF(Arterial=0,IF(Informed=1,1,0),0)</f>
        <v>#N/A</v>
      </c>
      <c r="AC1000" s="51" t="e">
        <f aca="false">IF(Arterial=0,IF(Informed=0,1,0),0)</f>
        <v>#N/A</v>
      </c>
      <c r="AD1000" s="51" t="e">
        <f aca="false">IF(Arterial=1,IF(Informed=1,1,0),0)</f>
        <v>#N/A</v>
      </c>
      <c r="AE1000" s="51" t="e">
        <f aca="false">IF(Arterial=1,IF(Informed=0,1,0),0)</f>
        <v>#N/A</v>
      </c>
      <c r="AF1000" s="44" t="e">
        <f aca="false">IF(AB1000=1,(X1000-G$1030)^2,0)</f>
        <v>#N/A</v>
      </c>
      <c r="AG1000" s="44" t="e">
        <f aca="false">IF(AC1000=1,(Y1000-H$1030)^2,0)</f>
        <v>#N/A</v>
      </c>
      <c r="AH1000" s="44" t="e">
        <f aca="false">IF(AD1000=1,(Z1000-I$1030)^2,0)</f>
        <v>#N/A</v>
      </c>
      <c r="AI1000" s="44" t="e">
        <f aca="false">IF(AE1000=1,(AA1000-J$1030)^2,0)</f>
        <v>#N/A</v>
      </c>
    </row>
    <row r="1001" customFormat="false" ht="12" hidden="false" customHeight="false" outlineLevel="0" collapsed="false">
      <c r="A1001" s="29" t="n">
        <v>984</v>
      </c>
      <c r="B1001" s="45" t="n">
        <f aca="true">IF(RAND()&lt;$D$8,1,0)</f>
        <v>1</v>
      </c>
      <c r="C1001" s="34" t="n">
        <f aca="true">-LN(RAND())/$D$2</f>
        <v>0.382261921559888</v>
      </c>
      <c r="D1001" s="46" t="n">
        <f aca="false">D1000+C1001</f>
        <v>1498.94983112645</v>
      </c>
      <c r="E1001" s="47" t="e">
        <f aca="false">MAX($D$3,(1+P1000-VLOOKUP(VALUE(D1001),$J$18:$Q1000,7,TRUE()))*$D$3)</f>
        <v>#N/A</v>
      </c>
      <c r="F1001" s="47" t="e">
        <f aca="false">MAX($D$4,(1+Q1000-VLOOKUP(VALUE(D1001),$M$18:$Q1000,5,TRUE()))*$D$4)</f>
        <v>#N/A</v>
      </c>
      <c r="G1001" s="48" t="n">
        <v>0.5</v>
      </c>
      <c r="H1001" s="46" t="e">
        <f aca="true">IF((B1001=1),(IF((F1001&lt;E1001),1,(IF((F1001=E1001),(IF(RAND()&lt;G1001,1,0)),0)))),(IF((RAND()&lt;G1001),1,0)))</f>
        <v>#N/A</v>
      </c>
      <c r="I1001" s="46" t="e">
        <f aca="true">IF((H1001=1),0,$D$3+$D$5*(RAND()-0.5))</f>
        <v>#N/A</v>
      </c>
      <c r="J1001" s="46" t="e">
        <f aca="false">I1001+MAX(D1001,J1000)</f>
        <v>#N/A</v>
      </c>
      <c r="K1001" s="46" t="e">
        <f aca="false">IF((H1001=0),J1001-D1001,0)</f>
        <v>#N/A</v>
      </c>
      <c r="L1001" s="46" t="e">
        <f aca="true">IF(($H1001=0),0,$D$4+$D$5*(RAND()-0.5))</f>
        <v>#N/A</v>
      </c>
      <c r="M1001" s="46" t="e">
        <f aca="false">L1001+MAX(D1001,M1000)</f>
        <v>#N/A</v>
      </c>
      <c r="N1001" s="46" t="e">
        <f aca="false">IF((H1001=1),M1001-D1001,0)</f>
        <v>#N/A</v>
      </c>
      <c r="O1001" s="29" t="n">
        <v>984</v>
      </c>
      <c r="P1001" s="49" t="e">
        <f aca="false">IF((Arterial=0),P1000+1,P1000)</f>
        <v>#N/A</v>
      </c>
      <c r="Q1001" s="49" t="e">
        <f aca="false">IF((Arterial=1),Q1000+1,Q1000)</f>
        <v>#N/A</v>
      </c>
      <c r="R1001" s="50" t="n">
        <f aca="false">IF((RESET=1),0,R1001+K1001)</f>
        <v>0</v>
      </c>
      <c r="S1001" s="19" t="n">
        <f aca="false">IF(RESET=1,0,S1001+N1001)</f>
        <v>0</v>
      </c>
      <c r="T1001" s="0" t="n">
        <f aca="false">IF(RESET=1,0,T1001+IF(H1001=0,1,0))</f>
        <v>0</v>
      </c>
      <c r="U1001" s="0" t="n">
        <f aca="false">IF(RESET=1,0,U1001+H1001)</f>
        <v>0</v>
      </c>
      <c r="V1001" s="19" t="n">
        <f aca="false">R1001/(T1001+0.00001)</f>
        <v>0</v>
      </c>
      <c r="W1001" s="19" t="n">
        <f aca="false">S1001/(U1001+0.0001)</f>
        <v>0</v>
      </c>
      <c r="X1001" s="47" t="e">
        <f aca="false">IF(Informed=1,K1001,0)</f>
        <v>#N/A</v>
      </c>
      <c r="Y1001" s="47" t="n">
        <f aca="false">IF(Informed=0,K1001,0)</f>
        <v>0</v>
      </c>
      <c r="Z1001" s="47" t="e">
        <f aca="false">IF(Informed=1,N1001,0)</f>
        <v>#N/A</v>
      </c>
      <c r="AA1001" s="47" t="n">
        <f aca="false">IF(Informed=0,N1001,0)</f>
        <v>0</v>
      </c>
      <c r="AB1001" s="51" t="e">
        <f aca="false">IF(Arterial=0,IF(Informed=1,1,0),0)</f>
        <v>#N/A</v>
      </c>
      <c r="AC1001" s="51" t="e">
        <f aca="false">IF(Arterial=0,IF(Informed=0,1,0),0)</f>
        <v>#N/A</v>
      </c>
      <c r="AD1001" s="51" t="e">
        <f aca="false">IF(Arterial=1,IF(Informed=1,1,0),0)</f>
        <v>#N/A</v>
      </c>
      <c r="AE1001" s="51" t="e">
        <f aca="false">IF(Arterial=1,IF(Informed=0,1,0),0)</f>
        <v>#N/A</v>
      </c>
      <c r="AF1001" s="44" t="e">
        <f aca="false">IF(AB1001=1,(X1001-G$1030)^2,0)</f>
        <v>#N/A</v>
      </c>
      <c r="AG1001" s="44" t="e">
        <f aca="false">IF(AC1001=1,(Y1001-H$1030)^2,0)</f>
        <v>#N/A</v>
      </c>
      <c r="AH1001" s="44" t="e">
        <f aca="false">IF(AD1001=1,(Z1001-I$1030)^2,0)</f>
        <v>#N/A</v>
      </c>
      <c r="AI1001" s="44" t="e">
        <f aca="false">IF(AE1001=1,(AA1001-J$1030)^2,0)</f>
        <v>#N/A</v>
      </c>
    </row>
    <row r="1002" customFormat="false" ht="12" hidden="false" customHeight="false" outlineLevel="0" collapsed="false">
      <c r="A1002" s="29" t="n">
        <v>985</v>
      </c>
      <c r="B1002" s="45" t="n">
        <f aca="true">IF(RAND()&lt;$D$8,1,0)</f>
        <v>1</v>
      </c>
      <c r="C1002" s="34" t="n">
        <f aca="true">-LN(RAND())/$D$2</f>
        <v>0.59649100563815</v>
      </c>
      <c r="D1002" s="46" t="n">
        <f aca="false">D1001+C1002</f>
        <v>1499.54632213208</v>
      </c>
      <c r="E1002" s="47" t="e">
        <f aca="false">MAX($D$3,(1+P1001-VLOOKUP(VALUE(D1002),$J$18:$Q1001,7,TRUE()))*$D$3)</f>
        <v>#N/A</v>
      </c>
      <c r="F1002" s="47" t="e">
        <f aca="false">MAX($D$4,(1+Q1001-VLOOKUP(VALUE(D1002),$M$18:$Q1001,5,TRUE()))*$D$4)</f>
        <v>#N/A</v>
      </c>
      <c r="G1002" s="48" t="n">
        <v>0.5</v>
      </c>
      <c r="H1002" s="46" t="e">
        <f aca="true">IF((B1002=1),(IF((F1002&lt;E1002),1,(IF((F1002=E1002),(IF(RAND()&lt;G1002,1,0)),0)))),(IF((RAND()&lt;G1002),1,0)))</f>
        <v>#N/A</v>
      </c>
      <c r="I1002" s="46" t="e">
        <f aca="true">IF((H1002=1),0,$D$3+$D$5*(RAND()-0.5))</f>
        <v>#N/A</v>
      </c>
      <c r="J1002" s="46" t="e">
        <f aca="false">I1002+MAX(D1002,J1001)</f>
        <v>#N/A</v>
      </c>
      <c r="K1002" s="46" t="e">
        <f aca="false">IF((H1002=0),J1002-D1002,0)</f>
        <v>#N/A</v>
      </c>
      <c r="L1002" s="46" t="e">
        <f aca="true">IF(($H1002=0),0,$D$4+$D$5*(RAND()-0.5))</f>
        <v>#N/A</v>
      </c>
      <c r="M1002" s="46" t="e">
        <f aca="false">L1002+MAX(D1002,M1001)</f>
        <v>#N/A</v>
      </c>
      <c r="N1002" s="46" t="e">
        <f aca="false">IF((H1002=1),M1002-D1002,0)</f>
        <v>#N/A</v>
      </c>
      <c r="O1002" s="29" t="n">
        <v>985</v>
      </c>
      <c r="P1002" s="49" t="e">
        <f aca="false">IF((Arterial=0),P1001+1,P1001)</f>
        <v>#N/A</v>
      </c>
      <c r="Q1002" s="49" t="e">
        <f aca="false">IF((Arterial=1),Q1001+1,Q1001)</f>
        <v>#N/A</v>
      </c>
      <c r="R1002" s="50" t="n">
        <f aca="false">IF((RESET=1),0,R1002+K1002)</f>
        <v>0</v>
      </c>
      <c r="S1002" s="19" t="n">
        <f aca="false">IF(RESET=1,0,S1002+N1002)</f>
        <v>0</v>
      </c>
      <c r="T1002" s="0" t="n">
        <f aca="false">IF(RESET=1,0,T1002+IF(H1002=0,1,0))</f>
        <v>0</v>
      </c>
      <c r="U1002" s="0" t="n">
        <f aca="false">IF(RESET=1,0,U1002+H1002)</f>
        <v>0</v>
      </c>
      <c r="V1002" s="19" t="n">
        <f aca="false">R1002/(T1002+0.00001)</f>
        <v>0</v>
      </c>
      <c r="W1002" s="19" t="n">
        <f aca="false">S1002/(U1002+0.0001)</f>
        <v>0</v>
      </c>
      <c r="X1002" s="47" t="e">
        <f aca="false">IF(Informed=1,K1002,0)</f>
        <v>#N/A</v>
      </c>
      <c r="Y1002" s="47" t="n">
        <f aca="false">IF(Informed=0,K1002,0)</f>
        <v>0</v>
      </c>
      <c r="Z1002" s="47" t="e">
        <f aca="false">IF(Informed=1,N1002,0)</f>
        <v>#N/A</v>
      </c>
      <c r="AA1002" s="47" t="n">
        <f aca="false">IF(Informed=0,N1002,0)</f>
        <v>0</v>
      </c>
      <c r="AB1002" s="51" t="e">
        <f aca="false">IF(Arterial=0,IF(Informed=1,1,0),0)</f>
        <v>#N/A</v>
      </c>
      <c r="AC1002" s="51" t="e">
        <f aca="false">IF(Arterial=0,IF(Informed=0,1,0),0)</f>
        <v>#N/A</v>
      </c>
      <c r="AD1002" s="51" t="e">
        <f aca="false">IF(Arterial=1,IF(Informed=1,1,0),0)</f>
        <v>#N/A</v>
      </c>
      <c r="AE1002" s="51" t="e">
        <f aca="false">IF(Arterial=1,IF(Informed=0,1,0),0)</f>
        <v>#N/A</v>
      </c>
      <c r="AF1002" s="44" t="e">
        <f aca="false">IF(AB1002=1,(X1002-G$1030)^2,0)</f>
        <v>#N/A</v>
      </c>
      <c r="AG1002" s="44" t="e">
        <f aca="false">IF(AC1002=1,(Y1002-H$1030)^2,0)</f>
        <v>#N/A</v>
      </c>
      <c r="AH1002" s="44" t="e">
        <f aca="false">IF(AD1002=1,(Z1002-I$1030)^2,0)</f>
        <v>#N/A</v>
      </c>
      <c r="AI1002" s="44" t="e">
        <f aca="false">IF(AE1002=1,(AA1002-J$1030)^2,0)</f>
        <v>#N/A</v>
      </c>
    </row>
    <row r="1003" customFormat="false" ht="12" hidden="false" customHeight="false" outlineLevel="0" collapsed="false">
      <c r="A1003" s="29" t="n">
        <v>986</v>
      </c>
      <c r="B1003" s="45" t="n">
        <f aca="true">IF(RAND()&lt;$D$8,1,0)</f>
        <v>1</v>
      </c>
      <c r="C1003" s="34" t="n">
        <f aca="true">-LN(RAND())/$D$2</f>
        <v>1.09525138485699</v>
      </c>
      <c r="D1003" s="46" t="n">
        <f aca="false">D1002+C1003</f>
        <v>1500.64157351694</v>
      </c>
      <c r="E1003" s="47" t="e">
        <f aca="false">MAX($D$3,(1+P1002-VLOOKUP(VALUE(D1003),$J$18:$Q1002,7,TRUE()))*$D$3)</f>
        <v>#N/A</v>
      </c>
      <c r="F1003" s="47" t="e">
        <f aca="false">MAX($D$4,(1+Q1002-VLOOKUP(VALUE(D1003),$M$18:$Q1002,5,TRUE()))*$D$4)</f>
        <v>#N/A</v>
      </c>
      <c r="G1003" s="48" t="n">
        <v>0.5</v>
      </c>
      <c r="H1003" s="46" t="e">
        <f aca="true">IF((B1003=1),(IF((F1003&lt;E1003),1,(IF((F1003=E1003),(IF(RAND()&lt;G1003,1,0)),0)))),(IF((RAND()&lt;G1003),1,0)))</f>
        <v>#N/A</v>
      </c>
      <c r="I1003" s="46" t="e">
        <f aca="true">IF((H1003=1),0,$D$3+$D$5*(RAND()-0.5))</f>
        <v>#N/A</v>
      </c>
      <c r="J1003" s="46" t="e">
        <f aca="false">I1003+MAX(D1003,J1002)</f>
        <v>#N/A</v>
      </c>
      <c r="K1003" s="46" t="e">
        <f aca="false">IF((H1003=0),J1003-D1003,0)</f>
        <v>#N/A</v>
      </c>
      <c r="L1003" s="46" t="e">
        <f aca="true">IF(($H1003=0),0,$D$4+$D$5*(RAND()-0.5))</f>
        <v>#N/A</v>
      </c>
      <c r="M1003" s="46" t="e">
        <f aca="false">L1003+MAX(D1003,M1002)</f>
        <v>#N/A</v>
      </c>
      <c r="N1003" s="46" t="e">
        <f aca="false">IF((H1003=1),M1003-D1003,0)</f>
        <v>#N/A</v>
      </c>
      <c r="O1003" s="29" t="n">
        <v>986</v>
      </c>
      <c r="P1003" s="49" t="e">
        <f aca="false">IF((Arterial=0),P1002+1,P1002)</f>
        <v>#N/A</v>
      </c>
      <c r="Q1003" s="49" t="e">
        <f aca="false">IF((Arterial=1),Q1002+1,Q1002)</f>
        <v>#N/A</v>
      </c>
      <c r="R1003" s="50" t="n">
        <f aca="false">IF((RESET=1),0,R1003+K1003)</f>
        <v>0</v>
      </c>
      <c r="S1003" s="19" t="n">
        <f aca="false">IF(RESET=1,0,S1003+N1003)</f>
        <v>0</v>
      </c>
      <c r="T1003" s="0" t="n">
        <f aca="false">IF(RESET=1,0,T1003+IF(H1003=0,1,0))</f>
        <v>0</v>
      </c>
      <c r="U1003" s="0" t="n">
        <f aca="false">IF(RESET=1,0,U1003+H1003)</f>
        <v>0</v>
      </c>
      <c r="V1003" s="19" t="n">
        <f aca="false">R1003/(T1003+0.00001)</f>
        <v>0</v>
      </c>
      <c r="W1003" s="19" t="n">
        <f aca="false">S1003/(U1003+0.0001)</f>
        <v>0</v>
      </c>
      <c r="X1003" s="47" t="e">
        <f aca="false">IF(Informed=1,K1003,0)</f>
        <v>#N/A</v>
      </c>
      <c r="Y1003" s="47" t="n">
        <f aca="false">IF(Informed=0,K1003,0)</f>
        <v>0</v>
      </c>
      <c r="Z1003" s="47" t="e">
        <f aca="false">IF(Informed=1,N1003,0)</f>
        <v>#N/A</v>
      </c>
      <c r="AA1003" s="47" t="n">
        <f aca="false">IF(Informed=0,N1003,0)</f>
        <v>0</v>
      </c>
      <c r="AB1003" s="51" t="e">
        <f aca="false">IF(Arterial=0,IF(Informed=1,1,0),0)</f>
        <v>#N/A</v>
      </c>
      <c r="AC1003" s="51" t="e">
        <f aca="false">IF(Arterial=0,IF(Informed=0,1,0),0)</f>
        <v>#N/A</v>
      </c>
      <c r="AD1003" s="51" t="e">
        <f aca="false">IF(Arterial=1,IF(Informed=1,1,0),0)</f>
        <v>#N/A</v>
      </c>
      <c r="AE1003" s="51" t="e">
        <f aca="false">IF(Arterial=1,IF(Informed=0,1,0),0)</f>
        <v>#N/A</v>
      </c>
      <c r="AF1003" s="44" t="e">
        <f aca="false">IF(AB1003=1,(X1003-G$1030)^2,0)</f>
        <v>#N/A</v>
      </c>
      <c r="AG1003" s="44" t="e">
        <f aca="false">IF(AC1003=1,(Y1003-H$1030)^2,0)</f>
        <v>#N/A</v>
      </c>
      <c r="AH1003" s="44" t="e">
        <f aca="false">IF(AD1003=1,(Z1003-I$1030)^2,0)</f>
        <v>#N/A</v>
      </c>
      <c r="AI1003" s="44" t="e">
        <f aca="false">IF(AE1003=1,(AA1003-J$1030)^2,0)</f>
        <v>#N/A</v>
      </c>
    </row>
    <row r="1004" customFormat="false" ht="12" hidden="false" customHeight="false" outlineLevel="0" collapsed="false">
      <c r="A1004" s="29" t="n">
        <v>987</v>
      </c>
      <c r="B1004" s="45" t="n">
        <f aca="true">IF(RAND()&lt;$D$8,1,0)</f>
        <v>1</v>
      </c>
      <c r="C1004" s="34" t="n">
        <f aca="true">-LN(RAND())/$D$2</f>
        <v>2.2209935936796</v>
      </c>
      <c r="D1004" s="46" t="n">
        <f aca="false">D1003+C1004</f>
        <v>1502.86256711062</v>
      </c>
      <c r="E1004" s="47" t="e">
        <f aca="false">MAX($D$3,(1+P1003-VLOOKUP(VALUE(D1004),$J$18:$Q1003,7,TRUE()))*$D$3)</f>
        <v>#N/A</v>
      </c>
      <c r="F1004" s="47" t="e">
        <f aca="false">MAX($D$4,(1+Q1003-VLOOKUP(VALUE(D1004),$M$18:$Q1003,5,TRUE()))*$D$4)</f>
        <v>#N/A</v>
      </c>
      <c r="G1004" s="48" t="n">
        <v>0.5</v>
      </c>
      <c r="H1004" s="46" t="e">
        <f aca="true">IF((B1004=1),(IF((F1004&lt;E1004),1,(IF((F1004=E1004),(IF(RAND()&lt;G1004,1,0)),0)))),(IF((RAND()&lt;G1004),1,0)))</f>
        <v>#N/A</v>
      </c>
      <c r="I1004" s="46" t="e">
        <f aca="true">IF((H1004=1),0,$D$3+$D$5*(RAND()-0.5))</f>
        <v>#N/A</v>
      </c>
      <c r="J1004" s="46" t="e">
        <f aca="false">I1004+MAX(D1004,J1003)</f>
        <v>#N/A</v>
      </c>
      <c r="K1004" s="46" t="e">
        <f aca="false">IF((H1004=0),J1004-D1004,0)</f>
        <v>#N/A</v>
      </c>
      <c r="L1004" s="46" t="e">
        <f aca="true">IF(($H1004=0),0,$D$4+$D$5*(RAND()-0.5))</f>
        <v>#N/A</v>
      </c>
      <c r="M1004" s="46" t="e">
        <f aca="false">L1004+MAX(D1004,M1003)</f>
        <v>#N/A</v>
      </c>
      <c r="N1004" s="46" t="e">
        <f aca="false">IF((H1004=1),M1004-D1004,0)</f>
        <v>#N/A</v>
      </c>
      <c r="O1004" s="29" t="n">
        <v>987</v>
      </c>
      <c r="P1004" s="49" t="e">
        <f aca="false">IF((Arterial=0),P1003+1,P1003)</f>
        <v>#N/A</v>
      </c>
      <c r="Q1004" s="49" t="e">
        <f aca="false">IF((Arterial=1),Q1003+1,Q1003)</f>
        <v>#N/A</v>
      </c>
      <c r="R1004" s="50" t="n">
        <f aca="false">IF((RESET=1),0,R1004+K1004)</f>
        <v>0</v>
      </c>
      <c r="S1004" s="19" t="n">
        <f aca="false">IF(RESET=1,0,S1004+N1004)</f>
        <v>0</v>
      </c>
      <c r="T1004" s="0" t="n">
        <f aca="false">IF(RESET=1,0,T1004+IF(H1004=0,1,0))</f>
        <v>0</v>
      </c>
      <c r="U1004" s="0" t="n">
        <f aca="false">IF(RESET=1,0,U1004+H1004)</f>
        <v>0</v>
      </c>
      <c r="V1004" s="19" t="n">
        <f aca="false">R1004/(T1004+0.00001)</f>
        <v>0</v>
      </c>
      <c r="W1004" s="19" t="n">
        <f aca="false">S1004/(U1004+0.0001)</f>
        <v>0</v>
      </c>
      <c r="X1004" s="47" t="e">
        <f aca="false">IF(Informed=1,K1004,0)</f>
        <v>#N/A</v>
      </c>
      <c r="Y1004" s="47" t="n">
        <f aca="false">IF(Informed=0,K1004,0)</f>
        <v>0</v>
      </c>
      <c r="Z1004" s="47" t="e">
        <f aca="false">IF(Informed=1,N1004,0)</f>
        <v>#N/A</v>
      </c>
      <c r="AA1004" s="47" t="n">
        <f aca="false">IF(Informed=0,N1004,0)</f>
        <v>0</v>
      </c>
      <c r="AB1004" s="51" t="e">
        <f aca="false">IF(Arterial=0,IF(Informed=1,1,0),0)</f>
        <v>#N/A</v>
      </c>
      <c r="AC1004" s="51" t="e">
        <f aca="false">IF(Arterial=0,IF(Informed=0,1,0),0)</f>
        <v>#N/A</v>
      </c>
      <c r="AD1004" s="51" t="e">
        <f aca="false">IF(Arterial=1,IF(Informed=1,1,0),0)</f>
        <v>#N/A</v>
      </c>
      <c r="AE1004" s="51" t="e">
        <f aca="false">IF(Arterial=1,IF(Informed=0,1,0),0)</f>
        <v>#N/A</v>
      </c>
      <c r="AF1004" s="44" t="e">
        <f aca="false">IF(AB1004=1,(X1004-G$1030)^2,0)</f>
        <v>#N/A</v>
      </c>
      <c r="AG1004" s="44" t="e">
        <f aca="false">IF(AC1004=1,(Y1004-H$1030)^2,0)</f>
        <v>#N/A</v>
      </c>
      <c r="AH1004" s="44" t="e">
        <f aca="false">IF(AD1004=1,(Z1004-I$1030)^2,0)</f>
        <v>#N/A</v>
      </c>
      <c r="AI1004" s="44" t="e">
        <f aca="false">IF(AE1004=1,(AA1004-J$1030)^2,0)</f>
        <v>#N/A</v>
      </c>
    </row>
    <row r="1005" customFormat="false" ht="12" hidden="false" customHeight="false" outlineLevel="0" collapsed="false">
      <c r="A1005" s="29" t="n">
        <v>988</v>
      </c>
      <c r="B1005" s="45" t="n">
        <f aca="true">IF(RAND()&lt;$D$8,1,0)</f>
        <v>1</v>
      </c>
      <c r="C1005" s="34" t="n">
        <f aca="true">-LN(RAND())/$D$2</f>
        <v>0.384270179053942</v>
      </c>
      <c r="D1005" s="46" t="n">
        <f aca="false">D1004+C1005</f>
        <v>1503.24683728967</v>
      </c>
      <c r="E1005" s="47" t="e">
        <f aca="false">MAX($D$3,(1+P1004-VLOOKUP(VALUE(D1005),$J$18:$Q1004,7,TRUE()))*$D$3)</f>
        <v>#N/A</v>
      </c>
      <c r="F1005" s="47" t="e">
        <f aca="false">MAX($D$4,(1+Q1004-VLOOKUP(VALUE(D1005),$M$18:$Q1004,5,TRUE()))*$D$4)</f>
        <v>#N/A</v>
      </c>
      <c r="G1005" s="48" t="n">
        <v>0.5</v>
      </c>
      <c r="H1005" s="46" t="e">
        <f aca="true">IF((B1005=1),(IF((F1005&lt;E1005),1,(IF((F1005=E1005),(IF(RAND()&lt;G1005,1,0)),0)))),(IF((RAND()&lt;G1005),1,0)))</f>
        <v>#N/A</v>
      </c>
      <c r="I1005" s="46" t="e">
        <f aca="true">IF((H1005=1),0,$D$3+$D$5*(RAND()-0.5))</f>
        <v>#N/A</v>
      </c>
      <c r="J1005" s="46" t="e">
        <f aca="false">I1005+MAX(D1005,J1004)</f>
        <v>#N/A</v>
      </c>
      <c r="K1005" s="46" t="e">
        <f aca="false">IF((H1005=0),J1005-D1005,0)</f>
        <v>#N/A</v>
      </c>
      <c r="L1005" s="46" t="e">
        <f aca="true">IF(($H1005=0),0,$D$4+$D$5*(RAND()-0.5))</f>
        <v>#N/A</v>
      </c>
      <c r="M1005" s="46" t="e">
        <f aca="false">L1005+MAX(D1005,M1004)</f>
        <v>#N/A</v>
      </c>
      <c r="N1005" s="46" t="e">
        <f aca="false">IF((H1005=1),M1005-D1005,0)</f>
        <v>#N/A</v>
      </c>
      <c r="O1005" s="29" t="n">
        <v>988</v>
      </c>
      <c r="P1005" s="49" t="e">
        <f aca="false">IF((Arterial=0),P1004+1,P1004)</f>
        <v>#N/A</v>
      </c>
      <c r="Q1005" s="49" t="e">
        <f aca="false">IF((Arterial=1),Q1004+1,Q1004)</f>
        <v>#N/A</v>
      </c>
      <c r="R1005" s="50" t="n">
        <f aca="false">IF((RESET=1),0,R1005+K1005)</f>
        <v>0</v>
      </c>
      <c r="S1005" s="19" t="n">
        <f aca="false">IF(RESET=1,0,S1005+N1005)</f>
        <v>0</v>
      </c>
      <c r="T1005" s="0" t="n">
        <f aca="false">IF(RESET=1,0,T1005+IF(H1005=0,1,0))</f>
        <v>0</v>
      </c>
      <c r="U1005" s="0" t="n">
        <f aca="false">IF(RESET=1,0,U1005+H1005)</f>
        <v>0</v>
      </c>
      <c r="V1005" s="19" t="n">
        <f aca="false">R1005/(T1005+0.00001)</f>
        <v>0</v>
      </c>
      <c r="W1005" s="19" t="n">
        <f aca="false">S1005/(U1005+0.0001)</f>
        <v>0</v>
      </c>
      <c r="X1005" s="47" t="e">
        <f aca="false">IF(Informed=1,K1005,0)</f>
        <v>#N/A</v>
      </c>
      <c r="Y1005" s="47" t="n">
        <f aca="false">IF(Informed=0,K1005,0)</f>
        <v>0</v>
      </c>
      <c r="Z1005" s="47" t="e">
        <f aca="false">IF(Informed=1,N1005,0)</f>
        <v>#N/A</v>
      </c>
      <c r="AA1005" s="47" t="n">
        <f aca="false">IF(Informed=0,N1005,0)</f>
        <v>0</v>
      </c>
      <c r="AB1005" s="51" t="e">
        <f aca="false">IF(Arterial=0,IF(Informed=1,1,0),0)</f>
        <v>#N/A</v>
      </c>
      <c r="AC1005" s="51" t="e">
        <f aca="false">IF(Arterial=0,IF(Informed=0,1,0),0)</f>
        <v>#N/A</v>
      </c>
      <c r="AD1005" s="51" t="e">
        <f aca="false">IF(Arterial=1,IF(Informed=1,1,0),0)</f>
        <v>#N/A</v>
      </c>
      <c r="AE1005" s="51" t="e">
        <f aca="false">IF(Arterial=1,IF(Informed=0,1,0),0)</f>
        <v>#N/A</v>
      </c>
      <c r="AF1005" s="44" t="e">
        <f aca="false">IF(AB1005=1,(X1005-G$1030)^2,0)</f>
        <v>#N/A</v>
      </c>
      <c r="AG1005" s="44" t="e">
        <f aca="false">IF(AC1005=1,(Y1005-H$1030)^2,0)</f>
        <v>#N/A</v>
      </c>
      <c r="AH1005" s="44" t="e">
        <f aca="false">IF(AD1005=1,(Z1005-I$1030)^2,0)</f>
        <v>#N/A</v>
      </c>
      <c r="AI1005" s="44" t="e">
        <f aca="false">IF(AE1005=1,(AA1005-J$1030)^2,0)</f>
        <v>#N/A</v>
      </c>
    </row>
    <row r="1006" customFormat="false" ht="12" hidden="false" customHeight="false" outlineLevel="0" collapsed="false">
      <c r="A1006" s="29" t="n">
        <v>989</v>
      </c>
      <c r="B1006" s="45" t="n">
        <f aca="true">IF(RAND()&lt;$D$8,1,0)</f>
        <v>1</v>
      </c>
      <c r="C1006" s="34" t="n">
        <f aca="true">-LN(RAND())/$D$2</f>
        <v>2.89426719306979</v>
      </c>
      <c r="D1006" s="46" t="n">
        <f aca="false">D1005+C1006</f>
        <v>1506.14110448274</v>
      </c>
      <c r="E1006" s="47" t="e">
        <f aca="false">MAX($D$3,(1+P1005-VLOOKUP(VALUE(D1006),$J$18:$Q1005,7,TRUE()))*$D$3)</f>
        <v>#N/A</v>
      </c>
      <c r="F1006" s="47" t="e">
        <f aca="false">MAX($D$4,(1+Q1005-VLOOKUP(VALUE(D1006),$M$18:$Q1005,5,TRUE()))*$D$4)</f>
        <v>#N/A</v>
      </c>
      <c r="G1006" s="48" t="n">
        <v>0.5</v>
      </c>
      <c r="H1006" s="46" t="e">
        <f aca="true">IF((B1006=1),(IF((F1006&lt;E1006),1,(IF((F1006=E1006),(IF(RAND()&lt;G1006,1,0)),0)))),(IF((RAND()&lt;G1006),1,0)))</f>
        <v>#N/A</v>
      </c>
      <c r="I1006" s="46" t="e">
        <f aca="true">IF((H1006=1),0,$D$3+$D$5*(RAND()-0.5))</f>
        <v>#N/A</v>
      </c>
      <c r="J1006" s="46" t="e">
        <f aca="false">I1006+MAX(D1006,J1005)</f>
        <v>#N/A</v>
      </c>
      <c r="K1006" s="46" t="e">
        <f aca="false">IF((H1006=0),J1006-D1006,0)</f>
        <v>#N/A</v>
      </c>
      <c r="L1006" s="46" t="e">
        <f aca="true">IF(($H1006=0),0,$D$4+$D$5*(RAND()-0.5))</f>
        <v>#N/A</v>
      </c>
      <c r="M1006" s="46" t="e">
        <f aca="false">L1006+MAX(D1006,M1005)</f>
        <v>#N/A</v>
      </c>
      <c r="N1006" s="46" t="e">
        <f aca="false">IF((H1006=1),M1006-D1006,0)</f>
        <v>#N/A</v>
      </c>
      <c r="O1006" s="29" t="n">
        <v>989</v>
      </c>
      <c r="P1006" s="49" t="e">
        <f aca="false">IF((Arterial=0),P1005+1,P1005)</f>
        <v>#N/A</v>
      </c>
      <c r="Q1006" s="49" t="e">
        <f aca="false">IF((Arterial=1),Q1005+1,Q1005)</f>
        <v>#N/A</v>
      </c>
      <c r="R1006" s="50" t="n">
        <f aca="false">IF((RESET=1),0,R1006+K1006)</f>
        <v>0</v>
      </c>
      <c r="S1006" s="19" t="n">
        <f aca="false">IF(RESET=1,0,S1006+N1006)</f>
        <v>0</v>
      </c>
      <c r="T1006" s="0" t="n">
        <f aca="false">IF(RESET=1,0,T1006+IF(H1006=0,1,0))</f>
        <v>0</v>
      </c>
      <c r="U1006" s="0" t="n">
        <f aca="false">IF(RESET=1,0,U1006+H1006)</f>
        <v>0</v>
      </c>
      <c r="V1006" s="19" t="n">
        <f aca="false">R1006/(T1006+0.00001)</f>
        <v>0</v>
      </c>
      <c r="W1006" s="19" t="n">
        <f aca="false">S1006/(U1006+0.0001)</f>
        <v>0</v>
      </c>
      <c r="X1006" s="47" t="e">
        <f aca="false">IF(Informed=1,K1006,0)</f>
        <v>#N/A</v>
      </c>
      <c r="Y1006" s="47" t="n">
        <f aca="false">IF(Informed=0,K1006,0)</f>
        <v>0</v>
      </c>
      <c r="Z1006" s="47" t="e">
        <f aca="false">IF(Informed=1,N1006,0)</f>
        <v>#N/A</v>
      </c>
      <c r="AA1006" s="47" t="n">
        <f aca="false">IF(Informed=0,N1006,0)</f>
        <v>0</v>
      </c>
      <c r="AB1006" s="51" t="e">
        <f aca="false">IF(Arterial=0,IF(Informed=1,1,0),0)</f>
        <v>#N/A</v>
      </c>
      <c r="AC1006" s="51" t="e">
        <f aca="false">IF(Arterial=0,IF(Informed=0,1,0),0)</f>
        <v>#N/A</v>
      </c>
      <c r="AD1006" s="51" t="e">
        <f aca="false">IF(Arterial=1,IF(Informed=1,1,0),0)</f>
        <v>#N/A</v>
      </c>
      <c r="AE1006" s="51" t="e">
        <f aca="false">IF(Arterial=1,IF(Informed=0,1,0),0)</f>
        <v>#N/A</v>
      </c>
      <c r="AF1006" s="44" t="e">
        <f aca="false">IF(AB1006=1,(X1006-G$1030)^2,0)</f>
        <v>#N/A</v>
      </c>
      <c r="AG1006" s="44" t="e">
        <f aca="false">IF(AC1006=1,(Y1006-H$1030)^2,0)</f>
        <v>#N/A</v>
      </c>
      <c r="AH1006" s="44" t="e">
        <f aca="false">IF(AD1006=1,(Z1006-I$1030)^2,0)</f>
        <v>#N/A</v>
      </c>
      <c r="AI1006" s="44" t="e">
        <f aca="false">IF(AE1006=1,(AA1006-J$1030)^2,0)</f>
        <v>#N/A</v>
      </c>
    </row>
    <row r="1007" customFormat="false" ht="12" hidden="false" customHeight="false" outlineLevel="0" collapsed="false">
      <c r="A1007" s="29" t="n">
        <v>990</v>
      </c>
      <c r="B1007" s="45" t="n">
        <f aca="true">IF(RAND()&lt;$D$8,1,0)</f>
        <v>1</v>
      </c>
      <c r="C1007" s="34" t="n">
        <f aca="true">-LN(RAND())/$D$2</f>
        <v>0.852929251288276</v>
      </c>
      <c r="D1007" s="46" t="n">
        <f aca="false">D1006+C1007</f>
        <v>1506.99403373403</v>
      </c>
      <c r="E1007" s="47" t="e">
        <f aca="false">MAX($D$3,(1+P1006-VLOOKUP(VALUE(D1007),$J$18:$Q1006,7,TRUE()))*$D$3)</f>
        <v>#N/A</v>
      </c>
      <c r="F1007" s="47" t="e">
        <f aca="false">MAX($D$4,(1+Q1006-VLOOKUP(VALUE(D1007),$M$18:$Q1006,5,TRUE()))*$D$4)</f>
        <v>#N/A</v>
      </c>
      <c r="G1007" s="48" t="n">
        <v>0.5</v>
      </c>
      <c r="H1007" s="46" t="e">
        <f aca="true">IF((B1007=1),(IF((F1007&lt;E1007),1,(IF((F1007=E1007),(IF(RAND()&lt;G1007,1,0)),0)))),(IF((RAND()&lt;G1007),1,0)))</f>
        <v>#N/A</v>
      </c>
      <c r="I1007" s="46" t="e">
        <f aca="true">IF((H1007=1),0,$D$3+$D$5*(RAND()-0.5))</f>
        <v>#N/A</v>
      </c>
      <c r="J1007" s="46" t="e">
        <f aca="false">I1007+MAX(D1007,J1006)</f>
        <v>#N/A</v>
      </c>
      <c r="K1007" s="46" t="e">
        <f aca="false">IF((H1007=0),J1007-D1007,0)</f>
        <v>#N/A</v>
      </c>
      <c r="L1007" s="46" t="e">
        <f aca="true">IF(($H1007=0),0,$D$4+$D$5*(RAND()-0.5))</f>
        <v>#N/A</v>
      </c>
      <c r="M1007" s="46" t="e">
        <f aca="false">L1007+MAX(D1007,M1006)</f>
        <v>#N/A</v>
      </c>
      <c r="N1007" s="46" t="e">
        <f aca="false">IF((H1007=1),M1007-D1007,0)</f>
        <v>#N/A</v>
      </c>
      <c r="O1007" s="29" t="n">
        <v>990</v>
      </c>
      <c r="P1007" s="49" t="e">
        <f aca="false">IF((Arterial=0),P1006+1,P1006)</f>
        <v>#N/A</v>
      </c>
      <c r="Q1007" s="49" t="e">
        <f aca="false">IF((Arterial=1),Q1006+1,Q1006)</f>
        <v>#N/A</v>
      </c>
      <c r="R1007" s="50" t="n">
        <f aca="false">IF((RESET=1),0,R1007+K1007)</f>
        <v>0</v>
      </c>
      <c r="S1007" s="19" t="n">
        <f aca="false">IF(RESET=1,0,S1007+N1007)</f>
        <v>0</v>
      </c>
      <c r="T1007" s="0" t="n">
        <f aca="false">IF(RESET=1,0,T1007+IF(H1007=0,1,0))</f>
        <v>0</v>
      </c>
      <c r="U1007" s="0" t="n">
        <f aca="false">IF(RESET=1,0,U1007+H1007)</f>
        <v>0</v>
      </c>
      <c r="V1007" s="19" t="n">
        <f aca="false">R1007/(T1007+0.00001)</f>
        <v>0</v>
      </c>
      <c r="W1007" s="19" t="n">
        <f aca="false">S1007/(U1007+0.0001)</f>
        <v>0</v>
      </c>
      <c r="X1007" s="47" t="e">
        <f aca="false">IF(Informed=1,K1007,0)</f>
        <v>#N/A</v>
      </c>
      <c r="Y1007" s="47" t="n">
        <f aca="false">IF(Informed=0,K1007,0)</f>
        <v>0</v>
      </c>
      <c r="Z1007" s="47" t="e">
        <f aca="false">IF(Informed=1,N1007,0)</f>
        <v>#N/A</v>
      </c>
      <c r="AA1007" s="47" t="n">
        <f aca="false">IF(Informed=0,N1007,0)</f>
        <v>0</v>
      </c>
      <c r="AB1007" s="51" t="e">
        <f aca="false">IF(Arterial=0,IF(Informed=1,1,0),0)</f>
        <v>#N/A</v>
      </c>
      <c r="AC1007" s="51" t="e">
        <f aca="false">IF(Arterial=0,IF(Informed=0,1,0),0)</f>
        <v>#N/A</v>
      </c>
      <c r="AD1007" s="51" t="e">
        <f aca="false">IF(Arterial=1,IF(Informed=1,1,0),0)</f>
        <v>#N/A</v>
      </c>
      <c r="AE1007" s="51" t="e">
        <f aca="false">IF(Arterial=1,IF(Informed=0,1,0),0)</f>
        <v>#N/A</v>
      </c>
      <c r="AF1007" s="44" t="e">
        <f aca="false">IF(AB1007=1,(X1007-G$1030)^2,0)</f>
        <v>#N/A</v>
      </c>
      <c r="AG1007" s="44" t="e">
        <f aca="false">IF(AC1007=1,(Y1007-H$1030)^2,0)</f>
        <v>#N/A</v>
      </c>
      <c r="AH1007" s="44" t="e">
        <f aca="false">IF(AD1007=1,(Z1007-I$1030)^2,0)</f>
        <v>#N/A</v>
      </c>
      <c r="AI1007" s="44" t="e">
        <f aca="false">IF(AE1007=1,(AA1007-J$1030)^2,0)</f>
        <v>#N/A</v>
      </c>
    </row>
    <row r="1008" customFormat="false" ht="12" hidden="false" customHeight="false" outlineLevel="0" collapsed="false">
      <c r="A1008" s="29" t="n">
        <v>991</v>
      </c>
      <c r="B1008" s="45" t="n">
        <f aca="true">IF(RAND()&lt;$D$8,1,0)</f>
        <v>1</v>
      </c>
      <c r="C1008" s="34" t="n">
        <f aca="true">-LN(RAND())/$D$2</f>
        <v>1.21564713744513</v>
      </c>
      <c r="D1008" s="46" t="n">
        <f aca="false">D1007+C1008</f>
        <v>1508.20968087148</v>
      </c>
      <c r="E1008" s="47" t="e">
        <f aca="false">MAX($D$3,(1+P1007-VLOOKUP(VALUE(D1008),$J$18:$Q1007,7,TRUE()))*$D$3)</f>
        <v>#N/A</v>
      </c>
      <c r="F1008" s="47" t="e">
        <f aca="false">MAX($D$4,(1+Q1007-VLOOKUP(VALUE(D1008),$M$18:$Q1007,5,TRUE()))*$D$4)</f>
        <v>#N/A</v>
      </c>
      <c r="G1008" s="48" t="n">
        <v>0.5</v>
      </c>
      <c r="H1008" s="46" t="e">
        <f aca="true">IF((B1008=1),(IF((F1008&lt;E1008),1,(IF((F1008=E1008),(IF(RAND()&lt;G1008,1,0)),0)))),(IF((RAND()&lt;G1008),1,0)))</f>
        <v>#N/A</v>
      </c>
      <c r="I1008" s="46" t="e">
        <f aca="true">IF((H1008=1),0,$D$3+$D$5*(RAND()-0.5))</f>
        <v>#N/A</v>
      </c>
      <c r="J1008" s="46" t="e">
        <f aca="false">I1008+MAX(D1008,J1007)</f>
        <v>#N/A</v>
      </c>
      <c r="K1008" s="46" t="e">
        <f aca="false">IF((H1008=0),J1008-D1008,0)</f>
        <v>#N/A</v>
      </c>
      <c r="L1008" s="46" t="e">
        <f aca="true">IF(($H1008=0),0,$D$4+$D$5*(RAND()-0.5))</f>
        <v>#N/A</v>
      </c>
      <c r="M1008" s="46" t="e">
        <f aca="false">L1008+MAX(D1008,M1007)</f>
        <v>#N/A</v>
      </c>
      <c r="N1008" s="46" t="e">
        <f aca="false">IF((H1008=1),M1008-D1008,0)</f>
        <v>#N/A</v>
      </c>
      <c r="O1008" s="29" t="n">
        <v>991</v>
      </c>
      <c r="P1008" s="49" t="e">
        <f aca="false">IF((Arterial=0),P1007+1,P1007)</f>
        <v>#N/A</v>
      </c>
      <c r="Q1008" s="49" t="e">
        <f aca="false">IF((Arterial=1),Q1007+1,Q1007)</f>
        <v>#N/A</v>
      </c>
      <c r="R1008" s="50" t="n">
        <f aca="false">IF((RESET=1),0,R1008+K1008)</f>
        <v>0</v>
      </c>
      <c r="S1008" s="19" t="n">
        <f aca="false">IF(RESET=1,0,S1008+N1008)</f>
        <v>0</v>
      </c>
      <c r="T1008" s="0" t="n">
        <f aca="false">IF(RESET=1,0,T1008+IF(H1008=0,1,0))</f>
        <v>0</v>
      </c>
      <c r="U1008" s="0" t="n">
        <f aca="false">IF(RESET=1,0,U1008+H1008)</f>
        <v>0</v>
      </c>
      <c r="V1008" s="19" t="n">
        <f aca="false">R1008/(T1008+0.00001)</f>
        <v>0</v>
      </c>
      <c r="W1008" s="19" t="n">
        <f aca="false">S1008/(U1008+0.0001)</f>
        <v>0</v>
      </c>
      <c r="X1008" s="47" t="e">
        <f aca="false">IF(Informed=1,K1008,0)</f>
        <v>#N/A</v>
      </c>
      <c r="Y1008" s="47" t="n">
        <f aca="false">IF(Informed=0,K1008,0)</f>
        <v>0</v>
      </c>
      <c r="Z1008" s="47" t="e">
        <f aca="false">IF(Informed=1,N1008,0)</f>
        <v>#N/A</v>
      </c>
      <c r="AA1008" s="47" t="n">
        <f aca="false">IF(Informed=0,N1008,0)</f>
        <v>0</v>
      </c>
      <c r="AB1008" s="51" t="e">
        <f aca="false">IF(Arterial=0,IF(Informed=1,1,0),0)</f>
        <v>#N/A</v>
      </c>
      <c r="AC1008" s="51" t="e">
        <f aca="false">IF(Arterial=0,IF(Informed=0,1,0),0)</f>
        <v>#N/A</v>
      </c>
      <c r="AD1008" s="51" t="e">
        <f aca="false">IF(Arterial=1,IF(Informed=1,1,0),0)</f>
        <v>#N/A</v>
      </c>
      <c r="AE1008" s="51" t="e">
        <f aca="false">IF(Arterial=1,IF(Informed=0,1,0),0)</f>
        <v>#N/A</v>
      </c>
      <c r="AF1008" s="44" t="e">
        <f aca="false">IF(AB1008=1,(X1008-G$1030)^2,0)</f>
        <v>#N/A</v>
      </c>
      <c r="AG1008" s="44" t="e">
        <f aca="false">IF(AC1008=1,(Y1008-H$1030)^2,0)</f>
        <v>#N/A</v>
      </c>
      <c r="AH1008" s="44" t="e">
        <f aca="false">IF(AD1008=1,(Z1008-I$1030)^2,0)</f>
        <v>#N/A</v>
      </c>
      <c r="AI1008" s="44" t="e">
        <f aca="false">IF(AE1008=1,(AA1008-J$1030)^2,0)</f>
        <v>#N/A</v>
      </c>
    </row>
    <row r="1009" customFormat="false" ht="12" hidden="false" customHeight="false" outlineLevel="0" collapsed="false">
      <c r="A1009" s="29" t="n">
        <v>992</v>
      </c>
      <c r="B1009" s="45" t="n">
        <f aca="true">IF(RAND()&lt;$D$8,1,0)</f>
        <v>1</v>
      </c>
      <c r="C1009" s="34" t="n">
        <f aca="true">-LN(RAND())/$D$2</f>
        <v>0.963826188206609</v>
      </c>
      <c r="D1009" s="46" t="n">
        <f aca="false">D1008+C1009</f>
        <v>1509.17350705968</v>
      </c>
      <c r="E1009" s="47" t="e">
        <f aca="false">MAX($D$3,(1+P1008-VLOOKUP(VALUE(D1009),$J$18:$Q1008,7,TRUE()))*$D$3)</f>
        <v>#N/A</v>
      </c>
      <c r="F1009" s="47" t="e">
        <f aca="false">MAX($D$4,(1+Q1008-VLOOKUP(VALUE(D1009),$M$18:$Q1008,5,TRUE()))*$D$4)</f>
        <v>#N/A</v>
      </c>
      <c r="G1009" s="48" t="n">
        <v>0.5</v>
      </c>
      <c r="H1009" s="46" t="e">
        <f aca="true">IF((B1009=1),(IF((F1009&lt;E1009),1,(IF((F1009=E1009),(IF(RAND()&lt;G1009,1,0)),0)))),(IF((RAND()&lt;G1009),1,0)))</f>
        <v>#N/A</v>
      </c>
      <c r="I1009" s="46" t="e">
        <f aca="true">IF((H1009=1),0,$D$3+$D$5*(RAND()-0.5))</f>
        <v>#N/A</v>
      </c>
      <c r="J1009" s="46" t="e">
        <f aca="false">I1009+MAX(D1009,J1008)</f>
        <v>#N/A</v>
      </c>
      <c r="K1009" s="46" t="e">
        <f aca="false">IF((H1009=0),J1009-D1009,0)</f>
        <v>#N/A</v>
      </c>
      <c r="L1009" s="46" t="e">
        <f aca="true">IF(($H1009=0),0,$D$4+$D$5*(RAND()-0.5))</f>
        <v>#N/A</v>
      </c>
      <c r="M1009" s="46" t="e">
        <f aca="false">L1009+MAX(D1009,M1008)</f>
        <v>#N/A</v>
      </c>
      <c r="N1009" s="46" t="e">
        <f aca="false">IF((H1009=1),M1009-D1009,0)</f>
        <v>#N/A</v>
      </c>
      <c r="O1009" s="29" t="n">
        <v>992</v>
      </c>
      <c r="P1009" s="49" t="e">
        <f aca="false">IF((Arterial=0),P1008+1,P1008)</f>
        <v>#N/A</v>
      </c>
      <c r="Q1009" s="49" t="e">
        <f aca="false">IF((Arterial=1),Q1008+1,Q1008)</f>
        <v>#N/A</v>
      </c>
      <c r="R1009" s="50" t="n">
        <f aca="false">IF((RESET=1),0,R1009+K1009)</f>
        <v>0</v>
      </c>
      <c r="S1009" s="19" t="n">
        <f aca="false">IF(RESET=1,0,S1009+N1009)</f>
        <v>0</v>
      </c>
      <c r="T1009" s="0" t="n">
        <f aca="false">IF(RESET=1,0,T1009+IF(H1009=0,1,0))</f>
        <v>0</v>
      </c>
      <c r="U1009" s="0" t="n">
        <f aca="false">IF(RESET=1,0,U1009+H1009)</f>
        <v>0</v>
      </c>
      <c r="V1009" s="19" t="n">
        <f aca="false">R1009/(T1009+0.00001)</f>
        <v>0</v>
      </c>
      <c r="W1009" s="19" t="n">
        <f aca="false">S1009/(U1009+0.0001)</f>
        <v>0</v>
      </c>
      <c r="X1009" s="47" t="e">
        <f aca="false">IF(Informed=1,K1009,0)</f>
        <v>#N/A</v>
      </c>
      <c r="Y1009" s="47" t="n">
        <f aca="false">IF(Informed=0,K1009,0)</f>
        <v>0</v>
      </c>
      <c r="Z1009" s="47" t="e">
        <f aca="false">IF(Informed=1,N1009,0)</f>
        <v>#N/A</v>
      </c>
      <c r="AA1009" s="47" t="n">
        <f aca="false">IF(Informed=0,N1009,0)</f>
        <v>0</v>
      </c>
      <c r="AB1009" s="51" t="e">
        <f aca="false">IF(Arterial=0,IF(Informed=1,1,0),0)</f>
        <v>#N/A</v>
      </c>
      <c r="AC1009" s="51" t="e">
        <f aca="false">IF(Arterial=0,IF(Informed=0,1,0),0)</f>
        <v>#N/A</v>
      </c>
      <c r="AD1009" s="51" t="e">
        <f aca="false">IF(Arterial=1,IF(Informed=1,1,0),0)</f>
        <v>#N/A</v>
      </c>
      <c r="AE1009" s="51" t="e">
        <f aca="false">IF(Arterial=1,IF(Informed=0,1,0),0)</f>
        <v>#N/A</v>
      </c>
      <c r="AF1009" s="44" t="e">
        <f aca="false">IF(AB1009=1,(X1009-G$1030)^2,0)</f>
        <v>#N/A</v>
      </c>
      <c r="AG1009" s="44" t="e">
        <f aca="false">IF(AC1009=1,(Y1009-H$1030)^2,0)</f>
        <v>#N/A</v>
      </c>
      <c r="AH1009" s="44" t="e">
        <f aca="false">IF(AD1009=1,(Z1009-I$1030)^2,0)</f>
        <v>#N/A</v>
      </c>
      <c r="AI1009" s="44" t="e">
        <f aca="false">IF(AE1009=1,(AA1009-J$1030)^2,0)</f>
        <v>#N/A</v>
      </c>
    </row>
    <row r="1010" customFormat="false" ht="12" hidden="false" customHeight="false" outlineLevel="0" collapsed="false">
      <c r="A1010" s="29" t="n">
        <v>993</v>
      </c>
      <c r="B1010" s="45" t="n">
        <f aca="true">IF(RAND()&lt;$D$8,1,0)</f>
        <v>1</v>
      </c>
      <c r="C1010" s="34" t="n">
        <f aca="true">-LN(RAND())/$D$2</f>
        <v>1.55682181097261</v>
      </c>
      <c r="D1010" s="46" t="n">
        <f aca="false">D1009+C1010</f>
        <v>1510.73032887066</v>
      </c>
      <c r="E1010" s="47" t="e">
        <f aca="false">MAX($D$3,(1+P1009-VLOOKUP(VALUE(D1010),$J$18:$Q1009,7,TRUE()))*$D$3)</f>
        <v>#N/A</v>
      </c>
      <c r="F1010" s="47" t="e">
        <f aca="false">MAX($D$4,(1+Q1009-VLOOKUP(VALUE(D1010),$M$18:$Q1009,5,TRUE()))*$D$4)</f>
        <v>#N/A</v>
      </c>
      <c r="G1010" s="48" t="n">
        <v>0.5</v>
      </c>
      <c r="H1010" s="46" t="e">
        <f aca="true">IF((B1010=1),(IF((F1010&lt;E1010),1,(IF((F1010=E1010),(IF(RAND()&lt;G1010,1,0)),0)))),(IF((RAND()&lt;G1010),1,0)))</f>
        <v>#N/A</v>
      </c>
      <c r="I1010" s="46" t="e">
        <f aca="true">IF((H1010=1),0,$D$3+$D$5*(RAND()-0.5))</f>
        <v>#N/A</v>
      </c>
      <c r="J1010" s="46" t="e">
        <f aca="false">I1010+MAX(D1010,J1009)</f>
        <v>#N/A</v>
      </c>
      <c r="K1010" s="46" t="e">
        <f aca="false">IF((H1010=0),J1010-D1010,0)</f>
        <v>#N/A</v>
      </c>
      <c r="L1010" s="46" t="e">
        <f aca="true">IF(($H1010=0),0,$D$4+$D$5*(RAND()-0.5))</f>
        <v>#N/A</v>
      </c>
      <c r="M1010" s="46" t="e">
        <f aca="false">L1010+MAX(D1010,M1009)</f>
        <v>#N/A</v>
      </c>
      <c r="N1010" s="46" t="e">
        <f aca="false">IF((H1010=1),M1010-D1010,0)</f>
        <v>#N/A</v>
      </c>
      <c r="O1010" s="29" t="n">
        <v>993</v>
      </c>
      <c r="P1010" s="49" t="e">
        <f aca="false">IF((Arterial=0),P1009+1,P1009)</f>
        <v>#N/A</v>
      </c>
      <c r="Q1010" s="49" t="e">
        <f aca="false">IF((Arterial=1),Q1009+1,Q1009)</f>
        <v>#N/A</v>
      </c>
      <c r="R1010" s="50" t="n">
        <f aca="false">IF((RESET=1),0,R1010+K1010)</f>
        <v>0</v>
      </c>
      <c r="S1010" s="19" t="n">
        <f aca="false">IF(RESET=1,0,S1010+N1010)</f>
        <v>0</v>
      </c>
      <c r="T1010" s="0" t="n">
        <f aca="false">IF(RESET=1,0,T1010+IF(H1010=0,1,0))</f>
        <v>0</v>
      </c>
      <c r="U1010" s="0" t="n">
        <f aca="false">IF(RESET=1,0,U1010+H1010)</f>
        <v>0</v>
      </c>
      <c r="V1010" s="19" t="n">
        <f aca="false">R1010/(T1010+0.00001)</f>
        <v>0</v>
      </c>
      <c r="W1010" s="19" t="n">
        <f aca="false">S1010/(U1010+0.0001)</f>
        <v>0</v>
      </c>
      <c r="X1010" s="47" t="e">
        <f aca="false">IF(Informed=1,K1010,0)</f>
        <v>#N/A</v>
      </c>
      <c r="Y1010" s="47" t="n">
        <f aca="false">IF(Informed=0,K1010,0)</f>
        <v>0</v>
      </c>
      <c r="Z1010" s="47" t="e">
        <f aca="false">IF(Informed=1,N1010,0)</f>
        <v>#N/A</v>
      </c>
      <c r="AA1010" s="47" t="n">
        <f aca="false">IF(Informed=0,N1010,0)</f>
        <v>0</v>
      </c>
      <c r="AB1010" s="51" t="e">
        <f aca="false">IF(Arterial=0,IF(Informed=1,1,0),0)</f>
        <v>#N/A</v>
      </c>
      <c r="AC1010" s="51" t="e">
        <f aca="false">IF(Arterial=0,IF(Informed=0,1,0),0)</f>
        <v>#N/A</v>
      </c>
      <c r="AD1010" s="51" t="e">
        <f aca="false">IF(Arterial=1,IF(Informed=1,1,0),0)</f>
        <v>#N/A</v>
      </c>
      <c r="AE1010" s="51" t="e">
        <f aca="false">IF(Arterial=1,IF(Informed=0,1,0),0)</f>
        <v>#N/A</v>
      </c>
      <c r="AF1010" s="44" t="e">
        <f aca="false">IF(AB1010=1,(X1010-G$1030)^2,0)</f>
        <v>#N/A</v>
      </c>
      <c r="AG1010" s="44" t="e">
        <f aca="false">IF(AC1010=1,(Y1010-H$1030)^2,0)</f>
        <v>#N/A</v>
      </c>
      <c r="AH1010" s="44" t="e">
        <f aca="false">IF(AD1010=1,(Z1010-I$1030)^2,0)</f>
        <v>#N/A</v>
      </c>
      <c r="AI1010" s="44" t="e">
        <f aca="false">IF(AE1010=1,(AA1010-J$1030)^2,0)</f>
        <v>#N/A</v>
      </c>
    </row>
    <row r="1011" customFormat="false" ht="12" hidden="false" customHeight="false" outlineLevel="0" collapsed="false">
      <c r="A1011" s="29" t="n">
        <v>994</v>
      </c>
      <c r="B1011" s="45" t="n">
        <f aca="true">IF(RAND()&lt;$D$8,1,0)</f>
        <v>1</v>
      </c>
      <c r="C1011" s="34" t="n">
        <f aca="true">-LN(RAND())/$D$2</f>
        <v>2.52444981974394</v>
      </c>
      <c r="D1011" s="46" t="n">
        <f aca="false">D1010+C1011</f>
        <v>1513.2547786904</v>
      </c>
      <c r="E1011" s="47" t="e">
        <f aca="false">MAX($D$3,(1+P1010-VLOOKUP(VALUE(D1011),$J$18:$Q1010,7,TRUE()))*$D$3)</f>
        <v>#N/A</v>
      </c>
      <c r="F1011" s="47" t="e">
        <f aca="false">MAX($D$4,(1+Q1010-VLOOKUP(VALUE(D1011),$M$18:$Q1010,5,TRUE()))*$D$4)</f>
        <v>#N/A</v>
      </c>
      <c r="G1011" s="48" t="n">
        <v>0.5</v>
      </c>
      <c r="H1011" s="46" t="e">
        <f aca="true">IF((B1011=1),(IF((F1011&lt;E1011),1,(IF((F1011=E1011),(IF(RAND()&lt;G1011,1,0)),0)))),(IF((RAND()&lt;G1011),1,0)))</f>
        <v>#N/A</v>
      </c>
      <c r="I1011" s="46" t="e">
        <f aca="true">IF((H1011=1),0,$D$3+$D$5*(RAND()-0.5))</f>
        <v>#N/A</v>
      </c>
      <c r="J1011" s="46" t="e">
        <f aca="false">I1011+MAX(D1011,J1010)</f>
        <v>#N/A</v>
      </c>
      <c r="K1011" s="46" t="e">
        <f aca="false">IF((H1011=0),J1011-D1011,0)</f>
        <v>#N/A</v>
      </c>
      <c r="L1011" s="46" t="e">
        <f aca="true">IF(($H1011=0),0,$D$4+$D$5*(RAND()-0.5))</f>
        <v>#N/A</v>
      </c>
      <c r="M1011" s="46" t="e">
        <f aca="false">L1011+MAX(D1011,M1010)</f>
        <v>#N/A</v>
      </c>
      <c r="N1011" s="46" t="e">
        <f aca="false">IF((H1011=1),M1011-D1011,0)</f>
        <v>#N/A</v>
      </c>
      <c r="O1011" s="29" t="n">
        <v>994</v>
      </c>
      <c r="P1011" s="49" t="e">
        <f aca="false">IF((Arterial=0),P1010+1,P1010)</f>
        <v>#N/A</v>
      </c>
      <c r="Q1011" s="49" t="e">
        <f aca="false">IF((Arterial=1),Q1010+1,Q1010)</f>
        <v>#N/A</v>
      </c>
      <c r="R1011" s="50" t="n">
        <f aca="false">IF((RESET=1),0,R1011+K1011)</f>
        <v>0</v>
      </c>
      <c r="S1011" s="19" t="n">
        <f aca="false">IF(RESET=1,0,S1011+N1011)</f>
        <v>0</v>
      </c>
      <c r="T1011" s="0" t="n">
        <f aca="false">IF(RESET=1,0,T1011+IF(H1011=0,1,0))</f>
        <v>0</v>
      </c>
      <c r="U1011" s="0" t="n">
        <f aca="false">IF(RESET=1,0,U1011+H1011)</f>
        <v>0</v>
      </c>
      <c r="V1011" s="19" t="n">
        <f aca="false">R1011/(T1011+0.00001)</f>
        <v>0</v>
      </c>
      <c r="W1011" s="19" t="n">
        <f aca="false">S1011/(U1011+0.0001)</f>
        <v>0</v>
      </c>
      <c r="X1011" s="47" t="e">
        <f aca="false">IF(Informed=1,K1011,0)</f>
        <v>#N/A</v>
      </c>
      <c r="Y1011" s="47" t="n">
        <f aca="false">IF(Informed=0,K1011,0)</f>
        <v>0</v>
      </c>
      <c r="Z1011" s="47" t="e">
        <f aca="false">IF(Informed=1,N1011,0)</f>
        <v>#N/A</v>
      </c>
      <c r="AA1011" s="47" t="n">
        <f aca="false">IF(Informed=0,N1011,0)</f>
        <v>0</v>
      </c>
      <c r="AB1011" s="51" t="e">
        <f aca="false">IF(Arterial=0,IF(Informed=1,1,0),0)</f>
        <v>#N/A</v>
      </c>
      <c r="AC1011" s="51" t="e">
        <f aca="false">IF(Arterial=0,IF(Informed=0,1,0),0)</f>
        <v>#N/A</v>
      </c>
      <c r="AD1011" s="51" t="e">
        <f aca="false">IF(Arterial=1,IF(Informed=1,1,0),0)</f>
        <v>#N/A</v>
      </c>
      <c r="AE1011" s="51" t="e">
        <f aca="false">IF(Arterial=1,IF(Informed=0,1,0),0)</f>
        <v>#N/A</v>
      </c>
      <c r="AF1011" s="44" t="e">
        <f aca="false">IF(AB1011=1,(X1011-G$1030)^2,0)</f>
        <v>#N/A</v>
      </c>
      <c r="AG1011" s="44" t="e">
        <f aca="false">IF(AC1011=1,(Y1011-H$1030)^2,0)</f>
        <v>#N/A</v>
      </c>
      <c r="AH1011" s="44" t="e">
        <f aca="false">IF(AD1011=1,(Z1011-I$1030)^2,0)</f>
        <v>#N/A</v>
      </c>
      <c r="AI1011" s="44" t="e">
        <f aca="false">IF(AE1011=1,(AA1011-J$1030)^2,0)</f>
        <v>#N/A</v>
      </c>
    </row>
    <row r="1012" customFormat="false" ht="12" hidden="false" customHeight="false" outlineLevel="0" collapsed="false">
      <c r="A1012" s="29" t="n">
        <v>995</v>
      </c>
      <c r="B1012" s="45" t="n">
        <f aca="true">IF(RAND()&lt;$D$8,1,0)</f>
        <v>1</v>
      </c>
      <c r="C1012" s="34" t="n">
        <f aca="true">-LN(RAND())/$D$2</f>
        <v>1.44704810008597</v>
      </c>
      <c r="D1012" s="46" t="n">
        <f aca="false">D1011+C1012</f>
        <v>1514.70182679049</v>
      </c>
      <c r="E1012" s="47" t="e">
        <f aca="false">MAX($D$3,(1+P1011-VLOOKUP(VALUE(D1012),$J$18:$Q1011,7,TRUE()))*$D$3)</f>
        <v>#N/A</v>
      </c>
      <c r="F1012" s="47" t="e">
        <f aca="false">MAX($D$4,(1+Q1011-VLOOKUP(VALUE(D1012),$M$18:$Q1011,5,TRUE()))*$D$4)</f>
        <v>#N/A</v>
      </c>
      <c r="G1012" s="48" t="n">
        <v>0.5</v>
      </c>
      <c r="H1012" s="46" t="e">
        <f aca="true">IF((B1012=1),(IF((F1012&lt;E1012),1,(IF((F1012=E1012),(IF(RAND()&lt;G1012,1,0)),0)))),(IF((RAND()&lt;G1012),1,0)))</f>
        <v>#N/A</v>
      </c>
      <c r="I1012" s="46" t="e">
        <f aca="true">IF((H1012=1),0,$D$3+$D$5*(RAND()-0.5))</f>
        <v>#N/A</v>
      </c>
      <c r="J1012" s="46" t="e">
        <f aca="false">I1012+MAX(D1012,J1011)</f>
        <v>#N/A</v>
      </c>
      <c r="K1012" s="46" t="e">
        <f aca="false">IF((H1012=0),J1012-D1012,0)</f>
        <v>#N/A</v>
      </c>
      <c r="L1012" s="46" t="e">
        <f aca="true">IF(($H1012=0),0,$D$4+$D$5*(RAND()-0.5))</f>
        <v>#N/A</v>
      </c>
      <c r="M1012" s="46" t="e">
        <f aca="false">L1012+MAX(D1012,M1011)</f>
        <v>#N/A</v>
      </c>
      <c r="N1012" s="46" t="e">
        <f aca="false">IF((H1012=1),M1012-D1012,0)</f>
        <v>#N/A</v>
      </c>
      <c r="O1012" s="29" t="n">
        <v>995</v>
      </c>
      <c r="P1012" s="49" t="e">
        <f aca="false">IF((Arterial=0),P1011+1,P1011)</f>
        <v>#N/A</v>
      </c>
      <c r="Q1012" s="49" t="e">
        <f aca="false">IF((Arterial=1),Q1011+1,Q1011)</f>
        <v>#N/A</v>
      </c>
      <c r="R1012" s="50" t="n">
        <f aca="false">IF((RESET=1),0,R1012+K1012)</f>
        <v>0</v>
      </c>
      <c r="S1012" s="19" t="n">
        <f aca="false">IF(RESET=1,0,S1012+N1012)</f>
        <v>0</v>
      </c>
      <c r="T1012" s="0" t="n">
        <f aca="false">IF(RESET=1,0,T1012+IF(H1012=0,1,0))</f>
        <v>0</v>
      </c>
      <c r="U1012" s="0" t="n">
        <f aca="false">IF(RESET=1,0,U1012+H1012)</f>
        <v>0</v>
      </c>
      <c r="V1012" s="19" t="n">
        <f aca="false">R1012/(T1012+0.00001)</f>
        <v>0</v>
      </c>
      <c r="W1012" s="19" t="n">
        <f aca="false">S1012/(U1012+0.0001)</f>
        <v>0</v>
      </c>
      <c r="X1012" s="47" t="e">
        <f aca="false">IF(Informed=1,K1012,0)</f>
        <v>#N/A</v>
      </c>
      <c r="Y1012" s="47" t="n">
        <f aca="false">IF(Informed=0,K1012,0)</f>
        <v>0</v>
      </c>
      <c r="Z1012" s="47" t="e">
        <f aca="false">IF(Informed=1,N1012,0)</f>
        <v>#N/A</v>
      </c>
      <c r="AA1012" s="47" t="n">
        <f aca="false">IF(Informed=0,N1012,0)</f>
        <v>0</v>
      </c>
      <c r="AB1012" s="51" t="e">
        <f aca="false">IF(Arterial=0,IF(Informed=1,1,0),0)</f>
        <v>#N/A</v>
      </c>
      <c r="AC1012" s="51" t="e">
        <f aca="false">IF(Arterial=0,IF(Informed=0,1,0),0)</f>
        <v>#N/A</v>
      </c>
      <c r="AD1012" s="51" t="e">
        <f aca="false">IF(Arterial=1,IF(Informed=1,1,0),0)</f>
        <v>#N/A</v>
      </c>
      <c r="AE1012" s="51" t="e">
        <f aca="false">IF(Arterial=1,IF(Informed=0,1,0),0)</f>
        <v>#N/A</v>
      </c>
      <c r="AF1012" s="44" t="e">
        <f aca="false">IF(AB1012=1,(X1012-G$1030)^2,0)</f>
        <v>#N/A</v>
      </c>
      <c r="AG1012" s="44" t="e">
        <f aca="false">IF(AC1012=1,(Y1012-H$1030)^2,0)</f>
        <v>#N/A</v>
      </c>
      <c r="AH1012" s="44" t="e">
        <f aca="false">IF(AD1012=1,(Z1012-I$1030)^2,0)</f>
        <v>#N/A</v>
      </c>
      <c r="AI1012" s="44" t="e">
        <f aca="false">IF(AE1012=1,(AA1012-J$1030)^2,0)</f>
        <v>#N/A</v>
      </c>
    </row>
    <row r="1013" customFormat="false" ht="12" hidden="false" customHeight="false" outlineLevel="0" collapsed="false">
      <c r="A1013" s="29" t="n">
        <v>996</v>
      </c>
      <c r="B1013" s="45" t="n">
        <f aca="true">IF(RAND()&lt;$D$8,1,0)</f>
        <v>1</v>
      </c>
      <c r="C1013" s="34" t="n">
        <f aca="true">-LN(RAND())/$D$2</f>
        <v>0.334527196184914</v>
      </c>
      <c r="D1013" s="46" t="n">
        <f aca="false">D1012+C1013</f>
        <v>1515.03635398667</v>
      </c>
      <c r="E1013" s="47" t="e">
        <f aca="false">MAX($D$3,(1+P1012-VLOOKUP(VALUE(D1013),$J$18:$Q1012,7,TRUE()))*$D$3)</f>
        <v>#N/A</v>
      </c>
      <c r="F1013" s="47" t="e">
        <f aca="false">MAX($D$4,(1+Q1012-VLOOKUP(VALUE(D1013),$M$18:$Q1012,5,TRUE()))*$D$4)</f>
        <v>#N/A</v>
      </c>
      <c r="G1013" s="48" t="n">
        <v>0.5</v>
      </c>
      <c r="H1013" s="46" t="e">
        <f aca="true">IF((B1013=1),(IF((F1013&lt;E1013),1,(IF((F1013=E1013),(IF(RAND()&lt;G1013,1,0)),0)))),(IF((RAND()&lt;G1013),1,0)))</f>
        <v>#N/A</v>
      </c>
      <c r="I1013" s="46" t="e">
        <f aca="true">IF((H1013=1),0,$D$3+$D$5*(RAND()-0.5))</f>
        <v>#N/A</v>
      </c>
      <c r="J1013" s="46" t="e">
        <f aca="false">I1013+MAX(D1013,J1012)</f>
        <v>#N/A</v>
      </c>
      <c r="K1013" s="46" t="e">
        <f aca="false">IF((H1013=0),J1013-D1013,0)</f>
        <v>#N/A</v>
      </c>
      <c r="L1013" s="46" t="e">
        <f aca="true">IF(($H1013=0),0,$D$4+$D$5*(RAND()-0.5))</f>
        <v>#N/A</v>
      </c>
      <c r="M1013" s="46" t="e">
        <f aca="false">L1013+MAX(D1013,M1012)</f>
        <v>#N/A</v>
      </c>
      <c r="N1013" s="46" t="e">
        <f aca="false">IF((H1013=1),M1013-D1013,0)</f>
        <v>#N/A</v>
      </c>
      <c r="O1013" s="29" t="n">
        <v>996</v>
      </c>
      <c r="P1013" s="49" t="e">
        <f aca="false">IF((Arterial=0),P1012+1,P1012)</f>
        <v>#N/A</v>
      </c>
      <c r="Q1013" s="49" t="e">
        <f aca="false">IF((Arterial=1),Q1012+1,Q1012)</f>
        <v>#N/A</v>
      </c>
      <c r="R1013" s="50" t="n">
        <f aca="false">IF((RESET=1),0,R1013+K1013)</f>
        <v>0</v>
      </c>
      <c r="S1013" s="19" t="n">
        <f aca="false">IF(RESET=1,0,S1013+N1013)</f>
        <v>0</v>
      </c>
      <c r="T1013" s="0" t="n">
        <f aca="false">IF(RESET=1,0,T1013+IF(H1013=0,1,0))</f>
        <v>0</v>
      </c>
      <c r="U1013" s="0" t="n">
        <f aca="false">IF(RESET=1,0,U1013+H1013)</f>
        <v>0</v>
      </c>
      <c r="V1013" s="19" t="n">
        <f aca="false">R1013/(T1013+0.00001)</f>
        <v>0</v>
      </c>
      <c r="W1013" s="19" t="n">
        <f aca="false">S1013/(U1013+0.0001)</f>
        <v>0</v>
      </c>
      <c r="X1013" s="47" t="e">
        <f aca="false">IF(Informed=1,K1013,0)</f>
        <v>#N/A</v>
      </c>
      <c r="Y1013" s="47" t="n">
        <f aca="false">IF(Informed=0,K1013,0)</f>
        <v>0</v>
      </c>
      <c r="Z1013" s="47" t="e">
        <f aca="false">IF(Informed=1,N1013,0)</f>
        <v>#N/A</v>
      </c>
      <c r="AA1013" s="47" t="n">
        <f aca="false">IF(Informed=0,N1013,0)</f>
        <v>0</v>
      </c>
      <c r="AB1013" s="51" t="e">
        <f aca="false">IF(Arterial=0,IF(Informed=1,1,0),0)</f>
        <v>#N/A</v>
      </c>
      <c r="AC1013" s="51" t="e">
        <f aca="false">IF(Arterial=0,IF(Informed=0,1,0),0)</f>
        <v>#N/A</v>
      </c>
      <c r="AD1013" s="51" t="e">
        <f aca="false">IF(Arterial=1,IF(Informed=1,1,0),0)</f>
        <v>#N/A</v>
      </c>
      <c r="AE1013" s="51" t="e">
        <f aca="false">IF(Arterial=1,IF(Informed=0,1,0),0)</f>
        <v>#N/A</v>
      </c>
      <c r="AF1013" s="44" t="e">
        <f aca="false">IF(AB1013=1,(X1013-G$1030)^2,0)</f>
        <v>#N/A</v>
      </c>
      <c r="AG1013" s="44" t="e">
        <f aca="false">IF(AC1013=1,(Y1013-H$1030)^2,0)</f>
        <v>#N/A</v>
      </c>
      <c r="AH1013" s="44" t="e">
        <f aca="false">IF(AD1013=1,(Z1013-I$1030)^2,0)</f>
        <v>#N/A</v>
      </c>
      <c r="AI1013" s="44" t="e">
        <f aca="false">IF(AE1013=1,(AA1013-J$1030)^2,0)</f>
        <v>#N/A</v>
      </c>
    </row>
    <row r="1014" customFormat="false" ht="12" hidden="false" customHeight="false" outlineLevel="0" collapsed="false">
      <c r="A1014" s="29" t="n">
        <v>997</v>
      </c>
      <c r="B1014" s="45" t="n">
        <f aca="true">IF(RAND()&lt;$D$8,1,0)</f>
        <v>1</v>
      </c>
      <c r="C1014" s="34" t="n">
        <f aca="true">-LN(RAND())/$D$2</f>
        <v>1.70632679759991</v>
      </c>
      <c r="D1014" s="46" t="n">
        <f aca="false">D1013+C1014</f>
        <v>1516.74268078427</v>
      </c>
      <c r="E1014" s="47" t="e">
        <f aca="false">MAX($D$3,(1+P1013-VLOOKUP(VALUE(D1014),$J$18:$Q1013,7,TRUE()))*$D$3)</f>
        <v>#N/A</v>
      </c>
      <c r="F1014" s="47" t="e">
        <f aca="false">MAX($D$4,(1+Q1013-VLOOKUP(VALUE(D1014),$M$18:$Q1013,5,TRUE()))*$D$4)</f>
        <v>#N/A</v>
      </c>
      <c r="G1014" s="48" t="n">
        <v>0.5</v>
      </c>
      <c r="H1014" s="46" t="e">
        <f aca="true">IF((B1014=1),(IF((F1014&lt;E1014),1,(IF((F1014=E1014),(IF(RAND()&lt;G1014,1,0)),0)))),(IF((RAND()&lt;G1014),1,0)))</f>
        <v>#N/A</v>
      </c>
      <c r="I1014" s="46" t="e">
        <f aca="true">IF((H1014=1),0,$D$3+$D$5*(RAND()-0.5))</f>
        <v>#N/A</v>
      </c>
      <c r="J1014" s="46" t="e">
        <f aca="false">I1014+MAX(D1014,J1013)</f>
        <v>#N/A</v>
      </c>
      <c r="K1014" s="46" t="e">
        <f aca="false">IF((H1014=0),J1014-D1014,0)</f>
        <v>#N/A</v>
      </c>
      <c r="L1014" s="46" t="e">
        <f aca="true">IF(($H1014=0),0,$D$4+$D$5*(RAND()-0.5))</f>
        <v>#N/A</v>
      </c>
      <c r="M1014" s="46" t="e">
        <f aca="false">L1014+MAX(D1014,M1013)</f>
        <v>#N/A</v>
      </c>
      <c r="N1014" s="46" t="e">
        <f aca="false">IF((H1014=1),M1014-D1014,0)</f>
        <v>#N/A</v>
      </c>
      <c r="O1014" s="29" t="n">
        <v>997</v>
      </c>
      <c r="P1014" s="49" t="e">
        <f aca="false">IF((Arterial=0),P1013+1,P1013)</f>
        <v>#N/A</v>
      </c>
      <c r="Q1014" s="49" t="e">
        <f aca="false">IF((Arterial=1),Q1013+1,Q1013)</f>
        <v>#N/A</v>
      </c>
      <c r="R1014" s="50" t="n">
        <f aca="false">IF((RESET=1),0,R1014+K1014)</f>
        <v>0</v>
      </c>
      <c r="S1014" s="19" t="n">
        <f aca="false">IF(RESET=1,0,S1014+N1014)</f>
        <v>0</v>
      </c>
      <c r="T1014" s="0" t="n">
        <f aca="false">IF(RESET=1,0,T1014+IF(H1014=0,1,0))</f>
        <v>0</v>
      </c>
      <c r="U1014" s="0" t="n">
        <f aca="false">IF(RESET=1,0,U1014+H1014)</f>
        <v>0</v>
      </c>
      <c r="V1014" s="19" t="n">
        <f aca="false">R1014/(T1014+0.00001)</f>
        <v>0</v>
      </c>
      <c r="W1014" s="19" t="n">
        <f aca="false">S1014/(U1014+0.0001)</f>
        <v>0</v>
      </c>
      <c r="X1014" s="47" t="e">
        <f aca="false">IF(Informed=1,K1014,0)</f>
        <v>#N/A</v>
      </c>
      <c r="Y1014" s="47" t="n">
        <f aca="false">IF(Informed=0,K1014,0)</f>
        <v>0</v>
      </c>
      <c r="Z1014" s="47" t="e">
        <f aca="false">IF(Informed=1,N1014,0)</f>
        <v>#N/A</v>
      </c>
      <c r="AA1014" s="47" t="n">
        <f aca="false">IF(Informed=0,N1014,0)</f>
        <v>0</v>
      </c>
      <c r="AB1014" s="51" t="e">
        <f aca="false">IF(Arterial=0,IF(Informed=1,1,0),0)</f>
        <v>#N/A</v>
      </c>
      <c r="AC1014" s="51" t="e">
        <f aca="false">IF(Arterial=0,IF(Informed=0,1,0),0)</f>
        <v>#N/A</v>
      </c>
      <c r="AD1014" s="51" t="e">
        <f aca="false">IF(Arterial=1,IF(Informed=1,1,0),0)</f>
        <v>#N/A</v>
      </c>
      <c r="AE1014" s="51" t="e">
        <f aca="false">IF(Arterial=1,IF(Informed=0,1,0),0)</f>
        <v>#N/A</v>
      </c>
      <c r="AF1014" s="44" t="e">
        <f aca="false">IF(AB1014=1,(X1014-G$1030)^2,0)</f>
        <v>#N/A</v>
      </c>
      <c r="AG1014" s="44" t="e">
        <f aca="false">IF(AC1014=1,(Y1014-H$1030)^2,0)</f>
        <v>#N/A</v>
      </c>
      <c r="AH1014" s="44" t="e">
        <f aca="false">IF(AD1014=1,(Z1014-I$1030)^2,0)</f>
        <v>#N/A</v>
      </c>
      <c r="AI1014" s="44" t="e">
        <f aca="false">IF(AE1014=1,(AA1014-J$1030)^2,0)</f>
        <v>#N/A</v>
      </c>
    </row>
    <row r="1015" customFormat="false" ht="12" hidden="false" customHeight="false" outlineLevel="0" collapsed="false">
      <c r="A1015" s="29" t="n">
        <v>998</v>
      </c>
      <c r="B1015" s="45" t="n">
        <f aca="true">IF(RAND()&lt;$D$8,1,0)</f>
        <v>1</v>
      </c>
      <c r="C1015" s="34" t="n">
        <f aca="true">-LN(RAND())/$D$2</f>
        <v>1.66597109880098</v>
      </c>
      <c r="D1015" s="46" t="n">
        <f aca="false">D1014+C1015</f>
        <v>1518.40865188307</v>
      </c>
      <c r="E1015" s="47" t="e">
        <f aca="false">MAX($D$3,(1+P1014-VLOOKUP(VALUE(D1015),$J$18:$Q1014,7,TRUE()))*$D$3)</f>
        <v>#N/A</v>
      </c>
      <c r="F1015" s="47" t="e">
        <f aca="false">MAX($D$4,(1+Q1014-VLOOKUP(VALUE(D1015),$M$18:$Q1014,5,TRUE()))*$D$4)</f>
        <v>#N/A</v>
      </c>
      <c r="G1015" s="48" t="n">
        <v>0.5</v>
      </c>
      <c r="H1015" s="46" t="e">
        <f aca="true">IF((B1015=1),(IF((F1015&lt;E1015),1,(IF((F1015=E1015),(IF(RAND()&lt;G1015,1,0)),0)))),(IF((RAND()&lt;G1015),1,0)))</f>
        <v>#N/A</v>
      </c>
      <c r="I1015" s="46" t="e">
        <f aca="true">IF((H1015=1),0,$D$3+$D$5*(RAND()-0.5))</f>
        <v>#N/A</v>
      </c>
      <c r="J1015" s="46" t="e">
        <f aca="false">I1015+MAX(D1015,J1014)</f>
        <v>#N/A</v>
      </c>
      <c r="K1015" s="46" t="e">
        <f aca="false">IF((H1015=0),J1015-D1015,0)</f>
        <v>#N/A</v>
      </c>
      <c r="L1015" s="46" t="e">
        <f aca="true">IF(($H1015=0),0,$D$4+$D$5*(RAND()-0.5))</f>
        <v>#N/A</v>
      </c>
      <c r="M1015" s="46" t="e">
        <f aca="false">L1015+MAX(D1015,M1014)</f>
        <v>#N/A</v>
      </c>
      <c r="N1015" s="46" t="e">
        <f aca="false">IF((H1015=1),M1015-D1015,0)</f>
        <v>#N/A</v>
      </c>
      <c r="O1015" s="29" t="n">
        <v>998</v>
      </c>
      <c r="P1015" s="49" t="e">
        <f aca="false">IF((Arterial=0),P1014+1,P1014)</f>
        <v>#N/A</v>
      </c>
      <c r="Q1015" s="49" t="e">
        <f aca="false">IF((Arterial=1),Q1014+1,Q1014)</f>
        <v>#N/A</v>
      </c>
      <c r="R1015" s="50" t="n">
        <f aca="false">IF((RESET=1),0,R1015+K1015)</f>
        <v>0</v>
      </c>
      <c r="S1015" s="19" t="n">
        <f aca="false">IF(RESET=1,0,S1015+N1015)</f>
        <v>0</v>
      </c>
      <c r="T1015" s="0" t="n">
        <f aca="false">IF(RESET=1,0,T1015+IF(H1015=0,1,0))</f>
        <v>0</v>
      </c>
      <c r="U1015" s="0" t="n">
        <f aca="false">IF(RESET=1,0,U1015+H1015)</f>
        <v>0</v>
      </c>
      <c r="V1015" s="19" t="n">
        <f aca="false">R1015/(T1015+0.00001)</f>
        <v>0</v>
      </c>
      <c r="W1015" s="19" t="n">
        <f aca="false">S1015/(U1015+0.0001)</f>
        <v>0</v>
      </c>
      <c r="X1015" s="47" t="e">
        <f aca="false">IF(Informed=1,K1015,0)</f>
        <v>#N/A</v>
      </c>
      <c r="Y1015" s="47" t="n">
        <f aca="false">IF(Informed=0,K1015,0)</f>
        <v>0</v>
      </c>
      <c r="Z1015" s="47" t="e">
        <f aca="false">IF(Informed=1,N1015,0)</f>
        <v>#N/A</v>
      </c>
      <c r="AA1015" s="47" t="n">
        <f aca="false">IF(Informed=0,N1015,0)</f>
        <v>0</v>
      </c>
      <c r="AB1015" s="51" t="e">
        <f aca="false">IF(Arterial=0,IF(Informed=1,1,0),0)</f>
        <v>#N/A</v>
      </c>
      <c r="AC1015" s="51" t="e">
        <f aca="false">IF(Arterial=0,IF(Informed=0,1,0),0)</f>
        <v>#N/A</v>
      </c>
      <c r="AD1015" s="51" t="e">
        <f aca="false">IF(Arterial=1,IF(Informed=1,1,0),0)</f>
        <v>#N/A</v>
      </c>
      <c r="AE1015" s="51" t="e">
        <f aca="false">IF(Arterial=1,IF(Informed=0,1,0),0)</f>
        <v>#N/A</v>
      </c>
      <c r="AF1015" s="44" t="e">
        <f aca="false">IF(AB1015=1,(X1015-G$1030)^2,0)</f>
        <v>#N/A</v>
      </c>
      <c r="AG1015" s="44" t="e">
        <f aca="false">IF(AC1015=1,(Y1015-H$1030)^2,0)</f>
        <v>#N/A</v>
      </c>
      <c r="AH1015" s="44" t="e">
        <f aca="false">IF(AD1015=1,(Z1015-I$1030)^2,0)</f>
        <v>#N/A</v>
      </c>
      <c r="AI1015" s="44" t="e">
        <f aca="false">IF(AE1015=1,(AA1015-J$1030)^2,0)</f>
        <v>#N/A</v>
      </c>
    </row>
    <row r="1016" customFormat="false" ht="12" hidden="false" customHeight="false" outlineLevel="0" collapsed="false">
      <c r="A1016" s="29" t="n">
        <v>999</v>
      </c>
      <c r="B1016" s="45" t="n">
        <f aca="true">IF(RAND()&lt;$D$8,1,0)</f>
        <v>1</v>
      </c>
      <c r="C1016" s="34" t="n">
        <f aca="true">-LN(RAND())/$D$2</f>
        <v>2.02133069009928</v>
      </c>
      <c r="D1016" s="46" t="n">
        <f aca="false">D1015+C1016</f>
        <v>1520.42998257317</v>
      </c>
      <c r="E1016" s="47" t="e">
        <f aca="false">MAX($D$3,(1+P1015-VLOOKUP(VALUE(D1016),$J$18:$Q1015,7,TRUE()))*$D$3)</f>
        <v>#N/A</v>
      </c>
      <c r="F1016" s="47" t="e">
        <f aca="false">MAX($D$4,(1+Q1015-VLOOKUP(VALUE(D1016),$M$18:$Q1015,5,TRUE()))*$D$4)</f>
        <v>#N/A</v>
      </c>
      <c r="G1016" s="48" t="n">
        <v>0.5</v>
      </c>
      <c r="H1016" s="46" t="e">
        <f aca="true">IF((B1016=1),(IF((F1016&lt;E1016),1,(IF((F1016=E1016),(IF(RAND()&lt;G1016,1,0)),0)))),(IF((RAND()&lt;G1016),1,0)))</f>
        <v>#N/A</v>
      </c>
      <c r="I1016" s="46" t="e">
        <f aca="true">IF((H1016=1),0,$D$3+$D$5*(RAND()-0.5))</f>
        <v>#N/A</v>
      </c>
      <c r="J1016" s="46" t="e">
        <f aca="false">I1016+MAX(D1016,J1015)</f>
        <v>#N/A</v>
      </c>
      <c r="K1016" s="46" t="e">
        <f aca="false">IF((H1016=0),J1016-D1016,0)</f>
        <v>#N/A</v>
      </c>
      <c r="L1016" s="46" t="e">
        <f aca="true">IF(($H1016=0),0,$D$4+$D$5*(RAND()-0.5))</f>
        <v>#N/A</v>
      </c>
      <c r="M1016" s="46" t="e">
        <f aca="false">L1016+MAX(D1016,M1015)</f>
        <v>#N/A</v>
      </c>
      <c r="N1016" s="46" t="e">
        <f aca="false">IF((H1016=1),M1016-D1016,0)</f>
        <v>#N/A</v>
      </c>
      <c r="O1016" s="29" t="n">
        <v>999</v>
      </c>
      <c r="P1016" s="49" t="e">
        <f aca="false">IF((Arterial=0),P1015+1,P1015)</f>
        <v>#N/A</v>
      </c>
      <c r="Q1016" s="49" t="e">
        <f aca="false">IF((Arterial=1),Q1015+1,Q1015)</f>
        <v>#N/A</v>
      </c>
      <c r="R1016" s="50" t="n">
        <f aca="false">IF((RESET=1),0,R1016+K1016)</f>
        <v>0</v>
      </c>
      <c r="S1016" s="19" t="n">
        <f aca="false">IF(RESET=1,0,S1016+N1016)</f>
        <v>0</v>
      </c>
      <c r="T1016" s="0" t="n">
        <f aca="false">IF(RESET=1,0,T1016+IF(H1016=0,1,0))</f>
        <v>0</v>
      </c>
      <c r="U1016" s="0" t="n">
        <f aca="false">IF(RESET=1,0,U1016+H1016)</f>
        <v>0</v>
      </c>
      <c r="V1016" s="19" t="n">
        <f aca="false">R1016/(T1016+0.00001)</f>
        <v>0</v>
      </c>
      <c r="W1016" s="19" t="n">
        <f aca="false">S1016/(U1016+0.0001)</f>
        <v>0</v>
      </c>
      <c r="X1016" s="47" t="e">
        <f aca="false">IF(Informed=1,K1016,0)</f>
        <v>#N/A</v>
      </c>
      <c r="Y1016" s="47" t="n">
        <f aca="false">IF(Informed=0,K1016,0)</f>
        <v>0</v>
      </c>
      <c r="Z1016" s="47" t="e">
        <f aca="false">IF(Informed=1,N1016,0)</f>
        <v>#N/A</v>
      </c>
      <c r="AA1016" s="47" t="n">
        <f aca="false">IF(Informed=0,N1016,0)</f>
        <v>0</v>
      </c>
      <c r="AB1016" s="51" t="e">
        <f aca="false">IF(Arterial=0,IF(Informed=1,1,0),0)</f>
        <v>#N/A</v>
      </c>
      <c r="AC1016" s="51" t="e">
        <f aca="false">IF(Arterial=0,IF(Informed=0,1,0),0)</f>
        <v>#N/A</v>
      </c>
      <c r="AD1016" s="51" t="e">
        <f aca="false">IF(Arterial=1,IF(Informed=1,1,0),0)</f>
        <v>#N/A</v>
      </c>
      <c r="AE1016" s="51" t="e">
        <f aca="false">IF(Arterial=1,IF(Informed=0,1,0),0)</f>
        <v>#N/A</v>
      </c>
      <c r="AF1016" s="44" t="e">
        <f aca="false">IF(AB1016=1,(X1016-G$1030)^2,0)</f>
        <v>#N/A</v>
      </c>
      <c r="AG1016" s="44" t="e">
        <f aca="false">IF(AC1016=1,(Y1016-H$1030)^2,0)</f>
        <v>#N/A</v>
      </c>
      <c r="AH1016" s="44" t="e">
        <f aca="false">IF(AD1016=1,(Z1016-I$1030)^2,0)</f>
        <v>#N/A</v>
      </c>
      <c r="AI1016" s="44" t="e">
        <f aca="false">IF(AE1016=1,(AA1016-J$1030)^2,0)</f>
        <v>#N/A</v>
      </c>
    </row>
    <row r="1017" customFormat="false" ht="12" hidden="false" customHeight="false" outlineLevel="0" collapsed="false">
      <c r="A1017" s="29" t="n">
        <v>1000</v>
      </c>
      <c r="B1017" s="45" t="n">
        <f aca="true">IF(RAND()&lt;$D$8,1,0)</f>
        <v>1</v>
      </c>
      <c r="C1017" s="34" t="n">
        <f aca="true">-LN(RAND())/$D$2</f>
        <v>3.99000275684202</v>
      </c>
      <c r="D1017" s="46" t="n">
        <f aca="false">D1016+C1017</f>
        <v>1524.41998533001</v>
      </c>
      <c r="E1017" s="47" t="e">
        <f aca="false">MAX($D$3,(1+P1016-VLOOKUP(VALUE(D1017),$J$18:$Q1016,7,TRUE()))*$D$3)</f>
        <v>#N/A</v>
      </c>
      <c r="F1017" s="47" t="e">
        <f aca="false">MAX($D$4,(1+Q1016-VLOOKUP(VALUE(D1017),$M$18:$Q1016,5,TRUE()))*$D$4)</f>
        <v>#N/A</v>
      </c>
      <c r="G1017" s="48" t="n">
        <v>0.5</v>
      </c>
      <c r="H1017" s="46" t="e">
        <f aca="true">IF((B1017=1),(IF((F1017&lt;E1017),1,(IF((F1017=E1017),(IF(RAND()&lt;G1017,1,0)),0)))),(IF((RAND()&lt;G1017),1,0)))</f>
        <v>#N/A</v>
      </c>
      <c r="I1017" s="46" t="e">
        <f aca="true">IF((H1017=1),0,$D$3+$D$5*(RAND()-0.5))</f>
        <v>#N/A</v>
      </c>
      <c r="J1017" s="46" t="e">
        <f aca="false">I1017+MAX(D1017,J1016)</f>
        <v>#N/A</v>
      </c>
      <c r="K1017" s="46" t="e">
        <f aca="false">IF((H1017=0),J1017-D1017,0)</f>
        <v>#N/A</v>
      </c>
      <c r="L1017" s="46" t="e">
        <f aca="true">IF(($H1017=0),0,$D$4+$D$5*(RAND()-0.5))</f>
        <v>#N/A</v>
      </c>
      <c r="M1017" s="46" t="e">
        <f aca="false">L1017+MAX(D1017,M1016)</f>
        <v>#N/A</v>
      </c>
      <c r="N1017" s="46" t="e">
        <f aca="false">IF((H1017=1),M1017-D1017,0)</f>
        <v>#N/A</v>
      </c>
      <c r="O1017" s="29" t="n">
        <v>1000</v>
      </c>
      <c r="P1017" s="49" t="e">
        <f aca="false">IF((Arterial=0),P1016+1,P1016)</f>
        <v>#N/A</v>
      </c>
      <c r="Q1017" s="49" t="e">
        <f aca="false">IF((Arterial=1),Q1016+1,Q1016)</f>
        <v>#N/A</v>
      </c>
      <c r="R1017" s="50" t="n">
        <f aca="false">IF((RESET=1),0,R1017+K1017)</f>
        <v>0</v>
      </c>
      <c r="S1017" s="19" t="n">
        <f aca="false">IF(RESET=1,0,S1017+N1017)</f>
        <v>0</v>
      </c>
      <c r="T1017" s="0" t="n">
        <f aca="false">IF(RESET=1,0,T1017+IF(H1017=0,1,0))</f>
        <v>0</v>
      </c>
      <c r="U1017" s="0" t="n">
        <f aca="false">IF(RESET=1,0,U1017+H1017)</f>
        <v>0</v>
      </c>
      <c r="V1017" s="19" t="n">
        <f aca="false">R1017/(T1017+0.00001)</f>
        <v>0</v>
      </c>
      <c r="W1017" s="19" t="n">
        <f aca="false">S1017/(U1017+0.0001)</f>
        <v>0</v>
      </c>
      <c r="X1017" s="47" t="e">
        <f aca="false">IF(Informed=1,K1017,0)</f>
        <v>#N/A</v>
      </c>
      <c r="Y1017" s="47" t="n">
        <f aca="false">IF(Informed=0,K1017,0)</f>
        <v>0</v>
      </c>
      <c r="Z1017" s="47" t="e">
        <f aca="false">IF(Informed=1,N1017,0)</f>
        <v>#N/A</v>
      </c>
      <c r="AA1017" s="47" t="n">
        <f aca="false">IF(Informed=0,N1017,0)</f>
        <v>0</v>
      </c>
      <c r="AB1017" s="51" t="e">
        <f aca="false">IF(Arterial=0,IF(Informed=1,1,0),0)</f>
        <v>#N/A</v>
      </c>
      <c r="AC1017" s="51" t="e">
        <f aca="false">IF(Arterial=0,IF(Informed=0,1,0),0)</f>
        <v>#N/A</v>
      </c>
      <c r="AD1017" s="51" t="e">
        <f aca="false">IF(Arterial=1,IF(Informed=1,1,0),0)</f>
        <v>#N/A</v>
      </c>
      <c r="AE1017" s="51" t="e">
        <f aca="false">IF(Arterial=1,IF(Informed=0,1,0),0)</f>
        <v>#N/A</v>
      </c>
      <c r="AF1017" s="44" t="e">
        <f aca="false">IF(AB1017=1,(X1017-G$1030)^2,0)</f>
        <v>#N/A</v>
      </c>
      <c r="AG1017" s="44" t="e">
        <f aca="false">IF(AC1017=1,(Y1017-H$1030)^2,0)</f>
        <v>#N/A</v>
      </c>
      <c r="AH1017" s="44" t="e">
        <f aca="false">IF(AD1017=1,(Z1017-I$1030)^2,0)</f>
        <v>#N/A</v>
      </c>
      <c r="AI1017" s="44" t="e">
        <f aca="false">IF(AE1017=1,(AA1017-J$1030)^2,0)</f>
        <v>#N/A</v>
      </c>
    </row>
    <row r="1018" customFormat="false" ht="12" hidden="false" customHeight="false" outlineLevel="0" collapsed="false">
      <c r="C1018" s="25"/>
      <c r="AF1018" s="44" t="n">
        <f aca="false">IF(AB1018=1,(X1018-G$1030)^2,0)</f>
        <v>0</v>
      </c>
      <c r="AG1018" s="44" t="n">
        <f aca="false">IF(AC1018=1,(Y1018-H$1030)^2,0)</f>
        <v>0</v>
      </c>
      <c r="AH1018" s="44" t="n">
        <f aca="false">IF(AD1018=1,(Z1018-I$1030)^2,0)</f>
        <v>0</v>
      </c>
      <c r="AI1018" s="44" t="n">
        <f aca="false">IF(AE1018=1,(AA1018-J$1030)^2,0)</f>
        <v>0</v>
      </c>
    </row>
    <row r="1019" customFormat="false" ht="12" hidden="false" customHeight="false" outlineLevel="0" collapsed="false">
      <c r="A1019" s="51" t="s">
        <v>88</v>
      </c>
      <c r="B1019" s="51" t="n">
        <f aca="false">SUM(B18:B1017)</f>
        <v>1000</v>
      </c>
      <c r="C1019" s="51" t="n">
        <f aca="false">SUM(C18:C1017)</f>
        <v>1524.41998533001</v>
      </c>
      <c r="D1019" s="51" t="n">
        <f aca="false">SUM(D18:D1017)</f>
        <v>774305.827639204</v>
      </c>
      <c r="E1019" s="51" t="e">
        <f aca="false">SUM(E18:E1017)</f>
        <v>#N/A</v>
      </c>
      <c r="F1019" s="51" t="e">
        <f aca="false">SUM(F18:F1017)</f>
        <v>#N/A</v>
      </c>
      <c r="G1019" s="51" t="n">
        <f aca="false">SUM(G18:G1017)</f>
        <v>500</v>
      </c>
      <c r="H1019" s="51" t="e">
        <f aca="false">SUM(H18:H1017)</f>
        <v>#N/A</v>
      </c>
      <c r="I1019" s="51" t="e">
        <f aca="false">SUM(I18:I1017)</f>
        <v>#N/A</v>
      </c>
      <c r="J1019" s="51" t="e">
        <f aca="false">SUM(J18:J1017)</f>
        <v>#N/A</v>
      </c>
      <c r="K1019" s="51" t="e">
        <f aca="false">SUM(K18:K1017)</f>
        <v>#N/A</v>
      </c>
      <c r="L1019" s="51" t="e">
        <f aca="false">SUM(L18:L1017)</f>
        <v>#N/A</v>
      </c>
      <c r="M1019" s="51" t="e">
        <f aca="false">SUM(M18:M1017)</f>
        <v>#N/A</v>
      </c>
      <c r="N1019" s="51" t="e">
        <f aca="false">SUM(N18:N1017)</f>
        <v>#N/A</v>
      </c>
      <c r="O1019" s="51" t="n">
        <f aca="false">SUM(O18:O1017)</f>
        <v>500500</v>
      </c>
      <c r="P1019" s="51" t="e">
        <f aca="false">SUM(P18:P1017)</f>
        <v>#N/A</v>
      </c>
      <c r="Q1019" s="51" t="e">
        <f aca="false">SUM(Q18:Q1017)</f>
        <v>#N/A</v>
      </c>
      <c r="R1019" s="52" t="n">
        <f aca="false">SUM(R18:R1017)</f>
        <v>0</v>
      </c>
      <c r="S1019" s="52" t="n">
        <f aca="false">SUM(S18:S1017)</f>
        <v>0</v>
      </c>
      <c r="T1019" s="51" t="n">
        <f aca="false">SUM(T18:T1017)</f>
        <v>0</v>
      </c>
      <c r="U1019" s="51" t="n">
        <f aca="false">SUM(U18:U1017)</f>
        <v>0</v>
      </c>
      <c r="V1019" s="52" t="n">
        <f aca="false">SUM(V18:V1017)</f>
        <v>0</v>
      </c>
      <c r="W1019" s="52" t="n">
        <f aca="false">SUM(W18:W1017)</f>
        <v>0</v>
      </c>
      <c r="X1019" s="51" t="e">
        <f aca="false">SUM(X18:X1017)</f>
        <v>#N/A</v>
      </c>
      <c r="Y1019" s="51" t="n">
        <f aca="false">SUM(Y18:Y1017)</f>
        <v>0</v>
      </c>
      <c r="Z1019" s="51" t="e">
        <f aca="false">SUM(Z18:Z1017)</f>
        <v>#N/A</v>
      </c>
      <c r="AA1019" s="51" t="n">
        <f aca="false">SUM(AA18:AA1017)</f>
        <v>0</v>
      </c>
      <c r="AB1019" s="51" t="e">
        <f aca="false">SUM(AB18:AB1017)</f>
        <v>#N/A</v>
      </c>
      <c r="AC1019" s="51" t="e">
        <f aca="false">SUM(AC18:AC1017)</f>
        <v>#N/A</v>
      </c>
      <c r="AD1019" s="51" t="e">
        <f aca="false">SUM(AD18:AD1017)</f>
        <v>#N/A</v>
      </c>
      <c r="AE1019" s="51" t="e">
        <f aca="false">SUM(AE18:AE1017)</f>
        <v>#N/A</v>
      </c>
      <c r="AF1019" s="44" t="e">
        <f aca="false">IF(AB1019=1,(X1019-G$1030)^2,0)</f>
        <v>#N/A</v>
      </c>
      <c r="AG1019" s="44" t="e">
        <f aca="false">IF(AC1019=1,(Y1019-H$1030)^2,0)</f>
        <v>#N/A</v>
      </c>
      <c r="AH1019" s="44" t="e">
        <f aca="false">IF(AD1019=1,(Z1019-I$1030)^2,0)</f>
        <v>#N/A</v>
      </c>
      <c r="AI1019" s="44" t="e">
        <f aca="false">IF(AE1019=1,(AA1019-J$1030)^2,0)</f>
        <v>#N/A</v>
      </c>
    </row>
    <row r="1020" customFormat="false" ht="12" hidden="false" customHeight="false" outlineLevel="0" collapsed="false">
      <c r="A1020" s="0" t="s">
        <v>89</v>
      </c>
      <c r="C1020" s="53" t="n">
        <f aca="false">C1019/1000</f>
        <v>1.52441998533001</v>
      </c>
      <c r="E1020" s="53" t="e">
        <f aca="false">E1019/(1000-H1019)</f>
        <v>#N/A</v>
      </c>
      <c r="F1020" s="53" t="e">
        <f aca="false">F1019/H1019</f>
        <v>#N/A</v>
      </c>
      <c r="G1020" s="20" t="n">
        <f aca="false">G1019/1000</f>
        <v>0.5</v>
      </c>
      <c r="H1020" s="53" t="e">
        <f aca="false">H1019/COUNT(H18:H1017)</f>
        <v>#N/A</v>
      </c>
      <c r="T1020" s="19" t="n">
        <f aca="false">AVERAGE(T18:T1017)</f>
        <v>0</v>
      </c>
      <c r="U1020" s="19" t="n">
        <f aca="false">AVERAGE(U18:U1017)</f>
        <v>0</v>
      </c>
      <c r="X1020" s="19" t="e">
        <f aca="false">X1019/AB1019</f>
        <v>#N/A</v>
      </c>
      <c r="Y1020" s="19" t="e">
        <f aca="false">Y1019/AC1019</f>
        <v>#N/A</v>
      </c>
      <c r="Z1020" s="19" t="e">
        <f aca="false">Z1019/AD1019</f>
        <v>#N/A</v>
      </c>
      <c r="AA1020" s="19" t="e">
        <f aca="false">AA1019/AE1019</f>
        <v>#N/A</v>
      </c>
    </row>
    <row r="1021" customFormat="false" ht="12" hidden="false" customHeight="false" outlineLevel="0" collapsed="false">
      <c r="C1021" s="25"/>
      <c r="T1021" s="19" t="n">
        <f aca="false">STDEV(T18:T1017)</f>
        <v>0</v>
      </c>
      <c r="U1021" s="19" t="n">
        <f aca="false">STDEV(U18:U1017)</f>
        <v>0</v>
      </c>
    </row>
    <row r="1022" customFormat="false" ht="12" hidden="false" customHeight="false" outlineLevel="0" collapsed="false">
      <c r="A1022" s="0" t="s">
        <v>90</v>
      </c>
      <c r="B1022" s="51" t="n">
        <f aca="false">IF(RESET=1,0,B1022+B1019)</f>
        <v>0</v>
      </c>
      <c r="C1022" s="51" t="n">
        <f aca="false">IF(RESET=1,0,C1022+C1019)</f>
        <v>0</v>
      </c>
      <c r="D1022" s="51" t="n">
        <f aca="false">IF(RESET=1,0,D1022+D1019)</f>
        <v>0</v>
      </c>
      <c r="E1022" s="51" t="n">
        <f aca="false">IF(RESET=1,0,E1022+E1019)</f>
        <v>0</v>
      </c>
      <c r="F1022" s="51" t="n">
        <f aca="false">IF(RESET=1,0,F1022+F1019)</f>
        <v>0</v>
      </c>
      <c r="G1022" s="51" t="n">
        <f aca="false">IF(RESET=1,0,G1022+G1019)</f>
        <v>0</v>
      </c>
      <c r="H1022" s="51" t="n">
        <f aca="false">IF(RESET=1,0,H1022+H1019)</f>
        <v>0</v>
      </c>
      <c r="I1022" s="51" t="n">
        <f aca="false">IF(RESET=1,0,I1022+I1019)</f>
        <v>0</v>
      </c>
      <c r="J1022" s="51" t="n">
        <f aca="false">IF(RESET=1,0,J1022+J1019)</f>
        <v>0</v>
      </c>
      <c r="K1022" s="51" t="n">
        <f aca="false">IF(RESET=1,0,K1022+K1019)</f>
        <v>0</v>
      </c>
      <c r="L1022" s="51" t="n">
        <f aca="false">IF(RESET=1,0,L1022+L1019)</f>
        <v>0</v>
      </c>
      <c r="M1022" s="51" t="n">
        <f aca="false">IF(RESET=1,0,M1022+M1019)</f>
        <v>0</v>
      </c>
      <c r="N1022" s="51" t="n">
        <f aca="false">IF(RESET=1,0,N1022+N1019)</f>
        <v>0</v>
      </c>
      <c r="O1022" s="51" t="n">
        <f aca="false">IF(RESET=1,0,O1022+O1019)</f>
        <v>0</v>
      </c>
      <c r="P1022" s="51" t="n">
        <f aca="false">IF(RESET=1,0,P1022+P1019)</f>
        <v>0</v>
      </c>
      <c r="Q1022" s="51" t="n">
        <f aca="false">IF(RESET=1,0,Q1022+Q1019)</f>
        <v>0</v>
      </c>
      <c r="R1022" s="51" t="n">
        <f aca="false">IF(RESET=1,0,R1022+R1019)</f>
        <v>0</v>
      </c>
      <c r="S1022" s="51" t="n">
        <f aca="false">IF(RESET=1,0,S1022+S1019)</f>
        <v>0</v>
      </c>
      <c r="T1022" s="51" t="n">
        <f aca="false">IF(RESET=1,0,T1022+T1019)</f>
        <v>0</v>
      </c>
      <c r="U1022" s="51" t="n">
        <f aca="false">IF(RESET=1,0,U1022+U1019)</f>
        <v>0</v>
      </c>
      <c r="V1022" s="51" t="n">
        <f aca="false">IF(RESET=1,0,V1022+V1019)</f>
        <v>0</v>
      </c>
      <c r="W1022" s="51" t="n">
        <f aca="false">IF(RESET=1,0,W1022+W1019)</f>
        <v>0</v>
      </c>
      <c r="X1022" s="51" t="n">
        <f aca="false">IF(RESET=1,0,X1022+X1019)</f>
        <v>0</v>
      </c>
      <c r="Y1022" s="51" t="n">
        <f aca="false">IF(RESET=1,0,Y1022+Y1019)</f>
        <v>0</v>
      </c>
      <c r="Z1022" s="51" t="n">
        <f aca="false">IF(RESET=1,0,Z1022+Z1019)</f>
        <v>0</v>
      </c>
      <c r="AA1022" s="51" t="n">
        <f aca="false">IF(RESET=1,0,AA1022+AA1019)</f>
        <v>0</v>
      </c>
      <c r="AB1022" s="51" t="n">
        <f aca="false">IF(RESET=1,0,AB1022+AB1019)</f>
        <v>0</v>
      </c>
      <c r="AC1022" s="51" t="n">
        <f aca="false">IF(RESET=1,0,AC1022+AC1019)</f>
        <v>0</v>
      </c>
      <c r="AD1022" s="51" t="n">
        <f aca="false">IF(RESET=1,0,AD1022+AD1019)</f>
        <v>0</v>
      </c>
      <c r="AE1022" s="51" t="n">
        <f aca="false">IF(RESET=1,0,AE1022+AE1019)</f>
        <v>0</v>
      </c>
    </row>
    <row r="1023" customFormat="false" ht="12" hidden="false" customHeight="false" outlineLevel="0" collapsed="false">
      <c r="A1023" s="0" t="s">
        <v>91</v>
      </c>
      <c r="X1023" s="19" t="e">
        <f aca="false">X1022/AB1022</f>
        <v>#DIV/0!</v>
      </c>
      <c r="Y1023" s="19" t="e">
        <f aca="false">Y1022/AC1022</f>
        <v>#DIV/0!</v>
      </c>
      <c r="Z1023" s="19" t="e">
        <f aca="false">Z1022/AD1022</f>
        <v>#DIV/0!</v>
      </c>
      <c r="AA1023" s="19" t="e">
        <f aca="false">AA1022/AE1022</f>
        <v>#DIV/0!</v>
      </c>
    </row>
    <row r="1025" customFormat="false" ht="12" hidden="false" customHeight="false" outlineLevel="0" collapsed="false">
      <c r="A1025" s="28"/>
      <c r="B1025" s="28"/>
      <c r="C1025" s="28"/>
      <c r="D1025" s="28"/>
      <c r="F1025" s="33"/>
      <c r="G1025" s="28"/>
    </row>
    <row r="1026" customFormat="false" ht="12" hidden="false" customHeight="false" outlineLevel="0" collapsed="false">
      <c r="A1026" s="54" t="s">
        <v>92</v>
      </c>
      <c r="B1026" s="35" t="s">
        <v>93</v>
      </c>
      <c r="C1026" s="24" t="s">
        <v>93</v>
      </c>
      <c r="D1026" s="32" t="s">
        <v>93</v>
      </c>
      <c r="E1026" s="35" t="s">
        <v>93</v>
      </c>
      <c r="F1026" s="24" t="s">
        <v>93</v>
      </c>
      <c r="G1026" s="23" t="s">
        <v>42</v>
      </c>
      <c r="H1026" s="23" t="s">
        <v>42</v>
      </c>
      <c r="I1026" s="24" t="s">
        <v>43</v>
      </c>
      <c r="J1026" s="24" t="s">
        <v>43</v>
      </c>
      <c r="K1026" s="23"/>
      <c r="L1026" s="23"/>
      <c r="M1026" s="23"/>
      <c r="N1026" s="23"/>
      <c r="O1026" s="23"/>
      <c r="P1026" s="23"/>
      <c r="Q1026" s="23"/>
      <c r="R1026" s="36"/>
      <c r="S1026" s="36"/>
      <c r="T1026" s="23"/>
      <c r="U1026" s="23"/>
      <c r="V1026" s="36"/>
      <c r="W1026" s="36"/>
      <c r="AF1026" s="23" t="s">
        <v>42</v>
      </c>
      <c r="AG1026" s="23" t="s">
        <v>42</v>
      </c>
      <c r="AH1026" s="24" t="s">
        <v>43</v>
      </c>
      <c r="AI1026" s="24" t="s">
        <v>43</v>
      </c>
    </row>
    <row r="1027" customFormat="false" ht="12.75" hidden="false" customHeight="false" outlineLevel="0" collapsed="false">
      <c r="A1027" s="22"/>
      <c r="B1027" s="55" t="s">
        <v>42</v>
      </c>
      <c r="C1027" s="55" t="s">
        <v>43</v>
      </c>
      <c r="D1027" s="56" t="s">
        <v>93</v>
      </c>
      <c r="E1027" s="22" t="s">
        <v>47</v>
      </c>
      <c r="F1027" s="55" t="s">
        <v>48</v>
      </c>
      <c r="G1027" s="22" t="s">
        <v>47</v>
      </c>
      <c r="H1027" s="22" t="s">
        <v>48</v>
      </c>
      <c r="I1027" s="22" t="s">
        <v>47</v>
      </c>
      <c r="J1027" s="22" t="s">
        <v>48</v>
      </c>
      <c r="K1027" s="22"/>
      <c r="L1027" s="22"/>
      <c r="M1027" s="22"/>
      <c r="N1027" s="22"/>
      <c r="O1027" s="22"/>
      <c r="P1027" s="22"/>
      <c r="Q1027" s="22"/>
      <c r="R1027" s="57"/>
      <c r="S1027" s="57"/>
      <c r="T1027" s="22"/>
      <c r="U1027" s="22"/>
      <c r="V1027" s="57"/>
      <c r="W1027" s="57"/>
      <c r="AF1027" s="22" t="s">
        <v>47</v>
      </c>
      <c r="AG1027" s="22" t="s">
        <v>48</v>
      </c>
      <c r="AH1027" s="22" t="s">
        <v>47</v>
      </c>
      <c r="AI1027" s="22" t="s">
        <v>48</v>
      </c>
    </row>
    <row r="1028" customFormat="false" ht="12" hidden="false" customHeight="false" outlineLevel="0" collapsed="false">
      <c r="A1028" s="28" t="s">
        <v>94</v>
      </c>
      <c r="B1028" s="44" t="e">
        <f aca="false">SUM(X18:Y1017)</f>
        <v>#N/A</v>
      </c>
      <c r="C1028" s="44" t="e">
        <f aca="false">SUM(Z18:AA1017)</f>
        <v>#N/A</v>
      </c>
      <c r="D1028" s="44" t="e">
        <f aca="false">SUM(X18:AA1017)</f>
        <v>#N/A</v>
      </c>
      <c r="E1028" s="44" t="e">
        <f aca="false">SUM(X18:X1017)+SUM(Z18:Z1017)</f>
        <v>#N/A</v>
      </c>
      <c r="F1028" s="44" t="n">
        <f aca="false">SUM(Y18:Y1017)+SUM(AA18:AA1017)</f>
        <v>0</v>
      </c>
      <c r="G1028" s="44" t="e">
        <f aca="false">SUM(X18:X1017)</f>
        <v>#N/A</v>
      </c>
      <c r="H1028" s="44" t="n">
        <f aca="false">SUM(Y18:Y1017)</f>
        <v>0</v>
      </c>
      <c r="I1028" s="44" t="e">
        <f aca="false">SUM(Z18:Z1017)</f>
        <v>#N/A</v>
      </c>
      <c r="J1028" s="44" t="n">
        <f aca="false">SUM(AA18:AA1017)</f>
        <v>0</v>
      </c>
      <c r="K1028" s="58" t="s">
        <v>95</v>
      </c>
      <c r="L1028" s="59"/>
      <c r="M1028" s="59"/>
      <c r="N1028" s="59"/>
      <c r="O1028" s="59"/>
      <c r="P1028" s="59"/>
      <c r="Q1028" s="59"/>
      <c r="R1028" s="60"/>
      <c r="S1028" s="60"/>
      <c r="T1028" s="59"/>
      <c r="U1028" s="59"/>
      <c r="V1028" s="60"/>
      <c r="W1028" s="60"/>
      <c r="AE1028" s="59" t="s">
        <v>96</v>
      </c>
      <c r="AF1028" s="59" t="e">
        <f aca="false">SQRT(SUM(AF18:AF1017)/AB1019)</f>
        <v>#N/A</v>
      </c>
      <c r="AG1028" s="59" t="e">
        <f aca="false">SQRT(SUM(AG18:AG1017)/AC1019)</f>
        <v>#N/A</v>
      </c>
      <c r="AH1028" s="59" t="e">
        <f aca="false">SQRT(SUM(AH18:AH1017)/AD1019)</f>
        <v>#N/A</v>
      </c>
      <c r="AI1028" s="59" t="e">
        <f aca="false">SQRT(SUM(AI18:AI1017)/AE1019)</f>
        <v>#N/A</v>
      </c>
    </row>
    <row r="1029" customFormat="false" ht="12" hidden="false" customHeight="false" outlineLevel="0" collapsed="false">
      <c r="A1029" s="28" t="s">
        <v>35</v>
      </c>
      <c r="B1029" s="44" t="e">
        <f aca="false">AB1019+AC1019</f>
        <v>#N/A</v>
      </c>
      <c r="C1029" s="44" t="e">
        <f aca="false">AD1019+AE1019</f>
        <v>#N/A</v>
      </c>
      <c r="D1029" s="44" t="e">
        <f aca="false">AB1019+AC1019+AD1019+AE1019</f>
        <v>#N/A</v>
      </c>
      <c r="E1029" s="44" t="e">
        <f aca="false">AB1019+AD1019</f>
        <v>#N/A</v>
      </c>
      <c r="F1029" s="44" t="e">
        <f aca="false">AC1019+AE1019</f>
        <v>#N/A</v>
      </c>
      <c r="G1029" s="44" t="e">
        <f aca="false">AB1019</f>
        <v>#N/A</v>
      </c>
      <c r="H1029" s="44" t="e">
        <f aca="false">AC1019</f>
        <v>#N/A</v>
      </c>
      <c r="I1029" s="44" t="e">
        <f aca="false">AD1019</f>
        <v>#N/A</v>
      </c>
      <c r="J1029" s="44" t="e">
        <f aca="false">AE1019</f>
        <v>#N/A</v>
      </c>
      <c r="K1029" s="58"/>
      <c r="L1029" s="59"/>
      <c r="M1029" s="59"/>
      <c r="N1029" s="59"/>
      <c r="O1029" s="59"/>
      <c r="P1029" s="59"/>
      <c r="Q1029" s="59"/>
      <c r="R1029" s="60"/>
      <c r="S1029" s="60"/>
      <c r="T1029" s="59"/>
      <c r="U1029" s="59"/>
      <c r="V1029" s="60"/>
      <c r="W1029" s="60"/>
      <c r="AE1029" s="59" t="s">
        <v>35</v>
      </c>
      <c r="AF1029" s="44" t="e">
        <f aca="false">AB1019</f>
        <v>#N/A</v>
      </c>
      <c r="AG1029" s="44" t="e">
        <f aca="false">AC1019</f>
        <v>#N/A</v>
      </c>
      <c r="AH1029" s="44" t="e">
        <f aca="false">AD1019</f>
        <v>#N/A</v>
      </c>
      <c r="AI1029" s="44" t="e">
        <f aca="false">AE1019</f>
        <v>#N/A</v>
      </c>
    </row>
    <row r="1030" customFormat="false" ht="12" hidden="false" customHeight="false" outlineLevel="0" collapsed="false">
      <c r="A1030" s="28" t="s">
        <v>97</v>
      </c>
      <c r="B1030" s="61" t="e">
        <f aca="false">SUM(X18:Y1017)/(AB1019+AC1019)</f>
        <v>#N/A</v>
      </c>
      <c r="C1030" s="61" t="e">
        <f aca="false">SUM(Z18:AA1017)/(AD1019+AE1019)</f>
        <v>#N/A</v>
      </c>
      <c r="D1030" s="61" t="e">
        <f aca="false">SUM(X18:AA1017)/(AB1019+AC1019+AD1019+AE1019)</f>
        <v>#N/A</v>
      </c>
      <c r="E1030" s="61" t="e">
        <f aca="false">(SUM(X18:X1017)+SUM(Z18:Z1017))/(AB1019+AD1019)</f>
        <v>#N/A</v>
      </c>
      <c r="F1030" s="61" t="e">
        <f aca="false">(SUM(Y18:Y1017)+SUM(AA18:AA1017))/(AC1019+AE1019)</f>
        <v>#N/A</v>
      </c>
      <c r="G1030" s="61" t="e">
        <f aca="false">SUM(X18:X1017)/(AB1019)</f>
        <v>#N/A</v>
      </c>
      <c r="H1030" s="61" t="e">
        <f aca="false">SUM(Y18:Y1017)/(AC1019)</f>
        <v>#N/A</v>
      </c>
      <c r="I1030" s="61" t="e">
        <f aca="false">SUM(Z18:Z1017)/(AD1019)</f>
        <v>#N/A</v>
      </c>
      <c r="J1030" s="61" t="e">
        <f aca="false">SUM(AA18:AA1017)/(AE1019)</f>
        <v>#N/A</v>
      </c>
      <c r="K1030" s="58"/>
      <c r="L1030" s="59"/>
      <c r="M1030" s="59"/>
      <c r="N1030" s="59"/>
      <c r="O1030" s="59"/>
      <c r="P1030" s="59"/>
      <c r="Q1030" s="59"/>
      <c r="R1030" s="60"/>
      <c r="S1030" s="60"/>
      <c r="T1030" s="59"/>
      <c r="U1030" s="59"/>
      <c r="V1030" s="60"/>
      <c r="W1030" s="60"/>
      <c r="AF1030" s="61"/>
      <c r="AG1030" s="61"/>
      <c r="AH1030" s="61"/>
      <c r="AI1030" s="61"/>
    </row>
    <row r="1031" customFormat="false" ht="12" hidden="false" customHeight="false" outlineLevel="0" collapsed="false">
      <c r="A1031" s="28" t="s">
        <v>98</v>
      </c>
      <c r="B1031" s="52" t="n">
        <f aca="false">IF(RESET=1,0,B1031+B1028)</f>
        <v>0</v>
      </c>
      <c r="C1031" s="52" t="n">
        <f aca="false">IF(RESET=1,0,C1031+C1028)</f>
        <v>0</v>
      </c>
      <c r="D1031" s="52" t="n">
        <f aca="false">IF(RESET=1,0,D1031+D1028)</f>
        <v>0</v>
      </c>
      <c r="E1031" s="52" t="n">
        <f aca="false">IF(RESET=1,0,E1031+E1028)</f>
        <v>0</v>
      </c>
      <c r="F1031" s="52" t="n">
        <f aca="false">IF(RESET=1,0,F1031+F1028)</f>
        <v>0</v>
      </c>
      <c r="G1031" s="52" t="n">
        <f aca="false">IF(RESET=1,0,G1031+G1028)</f>
        <v>0</v>
      </c>
      <c r="H1031" s="52" t="n">
        <f aca="false">IF(RESET=1,0,H1031+H1028)</f>
        <v>0</v>
      </c>
      <c r="I1031" s="52" t="n">
        <f aca="false">IF(RESET=1,0,I1031+I1028)</f>
        <v>0</v>
      </c>
      <c r="J1031" s="52" t="n">
        <f aca="false">IF(RESET=1,0,J1031+J1028)</f>
        <v>0</v>
      </c>
      <c r="K1031" s="62" t="s">
        <v>95</v>
      </c>
      <c r="L1031" s="59"/>
      <c r="M1031" s="59"/>
      <c r="N1031" s="59"/>
      <c r="O1031" s="59"/>
      <c r="P1031" s="59"/>
      <c r="Q1031" s="59"/>
      <c r="R1031" s="60"/>
      <c r="S1031" s="60"/>
      <c r="T1031" s="59"/>
      <c r="U1031" s="59"/>
      <c r="V1031" s="60"/>
      <c r="W1031" s="60"/>
      <c r="AE1031" s="59" t="s">
        <v>99</v>
      </c>
      <c r="AF1031" s="52" t="n">
        <f aca="false">IF(RESET=1,0,AF1031+AF1029*AF1028)</f>
        <v>0</v>
      </c>
      <c r="AG1031" s="52" t="n">
        <f aca="false">IF(RESET=1,0,AG1031+AG1029*AG1028)</f>
        <v>0</v>
      </c>
      <c r="AH1031" s="52" t="n">
        <f aca="false">IF(RESET=1,0,AH1031+AH1029*AH1028)</f>
        <v>0</v>
      </c>
      <c r="AI1031" s="52" t="n">
        <f aca="false">IF(RESET=1,0,AI1031+AI1029*AI1028)</f>
        <v>0</v>
      </c>
    </row>
    <row r="1032" customFormat="false" ht="12" hidden="false" customHeight="false" outlineLevel="0" collapsed="false">
      <c r="A1032" s="63" t="s">
        <v>100</v>
      </c>
      <c r="B1032" s="0" t="n">
        <f aca="false">IF(RESET=1,0,B1032+B1029)</f>
        <v>0</v>
      </c>
      <c r="C1032" s="0" t="n">
        <f aca="false">IF(RESET=1,0,C1032+C1029)</f>
        <v>0</v>
      </c>
      <c r="D1032" s="0" t="n">
        <f aca="false">IF(RESET=1,0,D1032+D1029)</f>
        <v>0</v>
      </c>
      <c r="E1032" s="0" t="n">
        <f aca="false">IF(RESET=1,0,E1032+E1029)</f>
        <v>0</v>
      </c>
      <c r="F1032" s="0" t="n">
        <f aca="false">IF(RESET=1,0,F1032+F1029)</f>
        <v>0</v>
      </c>
      <c r="G1032" s="0" t="n">
        <f aca="false">IF(RESET=1,0,G1032+G1029)</f>
        <v>0</v>
      </c>
      <c r="H1032" s="0" t="n">
        <f aca="false">IF(RESET=1,0,H1032+H1029)</f>
        <v>0</v>
      </c>
      <c r="I1032" s="0" t="n">
        <f aca="false">IF(RESET=1,0,I1032+I1029)</f>
        <v>0</v>
      </c>
      <c r="J1032" s="0" t="n">
        <f aca="false">IF(RESET=1,0,J1032+J1029)</f>
        <v>0</v>
      </c>
      <c r="K1032" s="64"/>
      <c r="L1032" s="64"/>
      <c r="M1032" s="64"/>
      <c r="N1032" s="64"/>
      <c r="O1032" s="64"/>
      <c r="P1032" s="64"/>
      <c r="Q1032" s="64"/>
      <c r="R1032" s="65"/>
      <c r="S1032" s="65"/>
      <c r="T1032" s="64"/>
      <c r="U1032" s="64"/>
      <c r="V1032" s="65"/>
      <c r="W1032" s="65"/>
      <c r="AF1032" s="0" t="n">
        <f aca="false">IF(RESET=1,0,AF1032+AF1029)</f>
        <v>0</v>
      </c>
      <c r="AG1032" s="0" t="n">
        <f aca="false">IF(RESET=1,0,AG1032+AG1029)</f>
        <v>0</v>
      </c>
      <c r="AH1032" s="0" t="n">
        <f aca="false">IF(RESET=1,0,AH1032+AH1029)</f>
        <v>0</v>
      </c>
      <c r="AI1032" s="0" t="n">
        <f aca="false">IF(RESET=1,0,AI1032+AI1029)</f>
        <v>0</v>
      </c>
    </row>
    <row r="1033" customFormat="false" ht="11.25" hidden="false" customHeight="true" outlineLevel="0" collapsed="false">
      <c r="A1033" s="66" t="s">
        <v>101</v>
      </c>
      <c r="B1033" s="67" t="n">
        <f aca="false">IF(RESET=1,0,B1031/B1032)</f>
        <v>0</v>
      </c>
      <c r="C1033" s="67" t="n">
        <f aca="false">IF(RESET=1,0,C1031/C1032)</f>
        <v>0</v>
      </c>
      <c r="D1033" s="67" t="n">
        <f aca="false">IF(RESET=1,0,D1031/D1032)</f>
        <v>0</v>
      </c>
      <c r="E1033" s="67" t="n">
        <f aca="false">IF(RESET=1,0,E1031/E1032)</f>
        <v>0</v>
      </c>
      <c r="F1033" s="67" t="n">
        <f aca="false">IF(RESET=1,0,F1031/F1032)</f>
        <v>0</v>
      </c>
      <c r="G1033" s="67" t="n">
        <f aca="false">IF(RESET=1,0,G1031/G1032)</f>
        <v>0</v>
      </c>
      <c r="H1033" s="67" t="n">
        <f aca="false">IF(RESET=1,0,H1031/H1032)</f>
        <v>0</v>
      </c>
      <c r="I1033" s="67" t="n">
        <f aca="false">IF(RESET=1,0,I1031/I1032)</f>
        <v>0</v>
      </c>
      <c r="J1033" s="67" t="n">
        <f aca="false">IF(RESET=1,0,J1031/J1032)</f>
        <v>0</v>
      </c>
      <c r="K1033" s="42"/>
      <c r="L1033" s="42"/>
      <c r="M1033" s="42"/>
      <c r="N1033" s="42"/>
      <c r="O1033" s="42"/>
      <c r="P1033" s="42"/>
      <c r="Q1033" s="42"/>
      <c r="R1033" s="43"/>
      <c r="S1033" s="43"/>
      <c r="T1033" s="42"/>
      <c r="U1033" s="42"/>
      <c r="V1033" s="43"/>
      <c r="W1033" s="43"/>
      <c r="AE1033" s="42" t="s">
        <v>102</v>
      </c>
      <c r="AF1033" s="67" t="n">
        <f aca="false">IF(RESET=1,0,AF1031/AF1032)</f>
        <v>0</v>
      </c>
      <c r="AG1033" s="67" t="n">
        <f aca="false">IF(RESET=1,0,AG1031/AG1032)</f>
        <v>0</v>
      </c>
      <c r="AH1033" s="67" t="n">
        <f aca="false">IF(RESET=1,0,AH1031/AH1032)</f>
        <v>0</v>
      </c>
      <c r="AI1033" s="67" t="n">
        <f aca="false">IF(RESET=1,0,AI1031/AI1032)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1998-08-18T06:30:25Z</dcterms:created>
  <dc:creator>Joy Dahlgren</dc:creator>
  <dc:description/>
  <dc:language>en-AU</dc:language>
  <cp:lastModifiedBy>David Levinson</cp:lastModifiedBy>
  <cp:lastPrinted>1999-03-02T11:22:27Z</cp:lastPrinted>
  <cp:revision>0</cp:revision>
  <dc:subject/>
  <dc:title/>
</cp:coreProperties>
</file>